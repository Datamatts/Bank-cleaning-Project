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4.xml" ContentType="application/vnd.openxmlformats-officedocument.drawing+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Oluwatoyin\Documents\Data Analytics Project\"/>
    </mc:Choice>
  </mc:AlternateContent>
  <xr:revisionPtr revIDLastSave="0" documentId="13_ncr:1_{80985BD8-8AD9-4D55-A161-34D7D1244916}" xr6:coauthVersionLast="47" xr6:coauthVersionMax="47" xr10:uidLastSave="{00000000-0000-0000-0000-000000000000}"/>
  <bookViews>
    <workbookView xWindow="-110" yWindow="-110" windowWidth="19420" windowHeight="10300" firstSheet="6" activeTab="10" xr2:uid="{346724B3-1C49-40AE-AA36-C77CF5D6DD09}"/>
  </bookViews>
  <sheets>
    <sheet name="Pivot Tutor" sheetId="14" r:id="rId1"/>
    <sheet name="Pivot-Order Mode" sheetId="16" r:id="rId2"/>
    <sheet name="Sheet7" sheetId="19" r:id="rId3"/>
    <sheet name="Sheet8" sheetId="20" r:id="rId4"/>
    <sheet name="Sheet9" sheetId="21" r:id="rId5"/>
    <sheet name="Sheet10" sheetId="22" r:id="rId6"/>
    <sheet name="Sheet14" sheetId="27" r:id="rId7"/>
    <sheet name="Sheet17" sheetId="30" r:id="rId8"/>
    <sheet name="Data" sheetId="1" r:id="rId9"/>
    <sheet name="Questions &amp; KPIs" sheetId="2" r:id="rId10"/>
    <sheet name="Pivots" sheetId="6" r:id="rId11"/>
    <sheet name="Pivot worksheet" sheetId="11" state="hidden" r:id="rId12"/>
    <sheet name="Pivot_2" sheetId="9" state="hidden" r:id="rId13"/>
    <sheet name="Dashboard Tutorial" sheetId="12" r:id="rId14"/>
    <sheet name="Dashboard" sheetId="10" r:id="rId15"/>
    <sheet name="Sheet13" sheetId="26" r:id="rId16"/>
    <sheet name="Sheet16" sheetId="29" r:id="rId17"/>
  </sheets>
  <definedNames>
    <definedName name="_xlchart.v1.0" hidden="1">Pivots!$G$88:$G$145</definedName>
    <definedName name="_xlchart.v1.1" hidden="1">Pivots!$H$87</definedName>
    <definedName name="_xlchart.v1.2" hidden="1">Pivots!$H$88:$H$145</definedName>
    <definedName name="_xlchart.v1.3" hidden="1">Pivots!$I$87</definedName>
    <definedName name="_xlchart.v1.4" hidden="1">Pivots!$I$88:$I$145</definedName>
    <definedName name="Slicer_Gender_Value">#N/A</definedName>
    <definedName name="Slicer_Gender_Value1">#N/A</definedName>
    <definedName name="Slicer_Order_Mode">#N/A</definedName>
    <definedName name="Slicer_Order_Mode1">#N/A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6" l="1"/>
  <c r="E2" i="29"/>
  <c r="A8" i="6"/>
  <c r="B15" i="16" l="1"/>
  <c r="C15" i="16"/>
  <c r="D15" i="16"/>
  <c r="B16" i="16"/>
  <c r="C16" i="16"/>
  <c r="D16" i="16"/>
  <c r="B17" i="16"/>
  <c r="C17" i="16"/>
  <c r="D17" i="16"/>
  <c r="B18" i="16"/>
  <c r="C18" i="16"/>
  <c r="D18" i="16"/>
  <c r="C14" i="16"/>
  <c r="D14" i="16"/>
  <c r="B14" i="16"/>
  <c r="A15" i="16"/>
  <c r="A16" i="16"/>
  <c r="A17" i="16"/>
  <c r="A18" i="16"/>
  <c r="A14" i="16"/>
  <c r="H89" i="6"/>
  <c r="I89" i="6"/>
  <c r="H90" i="6"/>
  <c r="I90" i="6"/>
  <c r="H91" i="6"/>
  <c r="I91" i="6"/>
  <c r="H92" i="6"/>
  <c r="I92" i="6"/>
  <c r="H93" i="6"/>
  <c r="I93" i="6"/>
  <c r="H94" i="6"/>
  <c r="I94" i="6"/>
  <c r="H95" i="6"/>
  <c r="I95" i="6"/>
  <c r="H96" i="6"/>
  <c r="I96" i="6"/>
  <c r="H97" i="6"/>
  <c r="I97" i="6"/>
  <c r="H98" i="6"/>
  <c r="I98" i="6"/>
  <c r="H99" i="6"/>
  <c r="I99" i="6"/>
  <c r="H100" i="6"/>
  <c r="I100" i="6"/>
  <c r="H101" i="6"/>
  <c r="I101" i="6"/>
  <c r="H102" i="6"/>
  <c r="I102" i="6"/>
  <c r="H103" i="6"/>
  <c r="I103" i="6"/>
  <c r="H104" i="6"/>
  <c r="I104" i="6"/>
  <c r="H105" i="6"/>
  <c r="I105" i="6"/>
  <c r="H106" i="6"/>
  <c r="I106" i="6"/>
  <c r="H107" i="6"/>
  <c r="I107" i="6"/>
  <c r="H108" i="6"/>
  <c r="I108" i="6"/>
  <c r="H109" i="6"/>
  <c r="I109" i="6"/>
  <c r="H110" i="6"/>
  <c r="I110" i="6"/>
  <c r="H111" i="6"/>
  <c r="I111" i="6"/>
  <c r="H112" i="6"/>
  <c r="I112" i="6"/>
  <c r="H113" i="6"/>
  <c r="I113" i="6"/>
  <c r="H114" i="6"/>
  <c r="I114" i="6"/>
  <c r="H115" i="6"/>
  <c r="I115" i="6"/>
  <c r="H116" i="6"/>
  <c r="I116" i="6"/>
  <c r="H117" i="6"/>
  <c r="I117" i="6"/>
  <c r="H118" i="6"/>
  <c r="I118" i="6"/>
  <c r="H119" i="6"/>
  <c r="I119" i="6"/>
  <c r="H120" i="6"/>
  <c r="I120" i="6"/>
  <c r="H121" i="6"/>
  <c r="I121" i="6"/>
  <c r="H122" i="6"/>
  <c r="I122" i="6"/>
  <c r="H123" i="6"/>
  <c r="I123" i="6"/>
  <c r="H124" i="6"/>
  <c r="I124" i="6"/>
  <c r="H125" i="6"/>
  <c r="I125" i="6"/>
  <c r="H126" i="6"/>
  <c r="I126" i="6"/>
  <c r="H127" i="6"/>
  <c r="I127" i="6"/>
  <c r="H128" i="6"/>
  <c r="I128" i="6"/>
  <c r="H129" i="6"/>
  <c r="I129" i="6"/>
  <c r="H130" i="6"/>
  <c r="I130" i="6"/>
  <c r="H131" i="6"/>
  <c r="I131" i="6"/>
  <c r="H132" i="6"/>
  <c r="I132" i="6"/>
  <c r="H133" i="6"/>
  <c r="I133" i="6"/>
  <c r="H134" i="6"/>
  <c r="I134" i="6"/>
  <c r="H135" i="6"/>
  <c r="I135" i="6"/>
  <c r="H136" i="6"/>
  <c r="I136" i="6"/>
  <c r="H137" i="6"/>
  <c r="I137" i="6"/>
  <c r="H138" i="6"/>
  <c r="I138" i="6"/>
  <c r="H139" i="6"/>
  <c r="I139" i="6"/>
  <c r="H140" i="6"/>
  <c r="I140" i="6"/>
  <c r="H141" i="6"/>
  <c r="I141" i="6"/>
  <c r="H142" i="6"/>
  <c r="I142" i="6"/>
  <c r="H143" i="6"/>
  <c r="I143" i="6"/>
  <c r="H144" i="6"/>
  <c r="I144" i="6"/>
  <c r="H145" i="6"/>
  <c r="I145" i="6"/>
  <c r="I88" i="6"/>
  <c r="H88" i="6"/>
  <c r="G140" i="6"/>
  <c r="G141" i="6"/>
  <c r="G142" i="6"/>
  <c r="G143" i="6"/>
  <c r="G144" i="6"/>
  <c r="G145" i="6"/>
  <c r="G125" i="6"/>
  <c r="G126" i="6"/>
  <c r="G127" i="6"/>
  <c r="G128" i="6"/>
  <c r="G129" i="6"/>
  <c r="G130" i="6"/>
  <c r="G131" i="6"/>
  <c r="G132" i="6"/>
  <c r="G133" i="6"/>
  <c r="G134" i="6"/>
  <c r="G135" i="6"/>
  <c r="G136" i="6"/>
  <c r="G137" i="6"/>
  <c r="G138" i="6"/>
  <c r="G139" i="6"/>
  <c r="G107" i="6"/>
  <c r="G108" i="6"/>
  <c r="G109" i="6"/>
  <c r="G110" i="6"/>
  <c r="G111" i="6"/>
  <c r="G112" i="6"/>
  <c r="G113" i="6"/>
  <c r="G114" i="6"/>
  <c r="G115" i="6"/>
  <c r="G116" i="6"/>
  <c r="G117" i="6"/>
  <c r="G118" i="6"/>
  <c r="G119" i="6"/>
  <c r="G120" i="6"/>
  <c r="G121" i="6"/>
  <c r="G122" i="6"/>
  <c r="G123" i="6"/>
  <c r="G124" i="6"/>
  <c r="G94" i="6"/>
  <c r="G95" i="6"/>
  <c r="G96" i="6"/>
  <c r="G97" i="6"/>
  <c r="G98" i="6"/>
  <c r="G99" i="6"/>
  <c r="G100" i="6"/>
  <c r="G101" i="6"/>
  <c r="G102" i="6"/>
  <c r="G103" i="6"/>
  <c r="G104" i="6"/>
  <c r="G105" i="6"/>
  <c r="G106" i="6"/>
  <c r="G89" i="6"/>
  <c r="G90" i="6"/>
  <c r="G91" i="6"/>
  <c r="G92" i="6"/>
  <c r="G93" i="6"/>
  <c r="G88" i="6"/>
  <c r="C12" i="9"/>
  <c r="D12" i="9"/>
  <c r="B12" i="9"/>
  <c r="B14" i="9"/>
  <c r="C14" i="9"/>
  <c r="D14" i="9"/>
  <c r="B15" i="9"/>
  <c r="C15" i="9"/>
  <c r="D15" i="9"/>
  <c r="B16" i="9"/>
  <c r="C16" i="9"/>
  <c r="D16" i="9"/>
  <c r="B17" i="9"/>
  <c r="C17" i="9"/>
  <c r="D17" i="9"/>
  <c r="C13" i="9"/>
  <c r="D13" i="9"/>
  <c r="B13" i="9"/>
  <c r="A14" i="9"/>
  <c r="A15" i="9"/>
  <c r="A16" i="9"/>
  <c r="A17" i="9"/>
  <c r="A13" i="9"/>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 i="1"/>
  <c r="D8" i="6"/>
  <c r="C8" i="6"/>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C7" i="14"/>
  <c r="E7" i="14"/>
  <c r="D7" i="14"/>
  <c r="B7" i="14"/>
  <c r="A7" i="14"/>
  <c r="B8" i="6"/>
</calcChain>
</file>

<file path=xl/sharedStrings.xml><?xml version="1.0" encoding="utf-8"?>
<sst xmlns="http://schemas.openxmlformats.org/spreadsheetml/2006/main" count="14836" uniqueCount="2560">
  <si>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</si>
  <si>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</si>
  <si>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</si>
  <si>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</si>
  <si>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</si>
  <si>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</si>
  <si>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</si>
  <si>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</si>
  <si>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</si>
  <si>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</si>
  <si>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</si>
  <si>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</si>
  <si>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</si>
  <si>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</si>
  <si>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</si>
  <si>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</si>
  <si>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</si>
  <si>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</si>
  <si>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</si>
  <si>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</si>
  <si>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</si>
  <si>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</si>
  <si>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</si>
  <si>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</si>
  <si>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</si>
  <si>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</si>
  <si>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</si>
  <si>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</si>
  <si>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</si>
  <si>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</si>
  <si>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</si>
  <si>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</si>
  <si>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</si>
  <si>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</si>
  <si>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</si>
  <si>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</si>
  <si>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</si>
  <si>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</si>
  <si>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</si>
  <si>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</si>
  <si>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</si>
  <si>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</si>
  <si>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</si>
  <si>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</si>
  <si>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</si>
  <si>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</si>
  <si>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</si>
  <si>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</si>
  <si>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</si>
  <si>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</si>
  <si>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</si>
  <si>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</si>
  <si>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</si>
  <si>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</si>
  <si>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</si>
  <si>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</si>
  <si>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</si>
  <si>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</si>
  <si>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</si>
  <si>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</si>
  <si>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</si>
  <si>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</si>
  <si>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</si>
  <si>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</si>
  <si>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</si>
  <si>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</si>
  <si>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</si>
  <si>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</si>
  <si>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</si>
  <si>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</si>
  <si>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</si>
  <si>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</si>
  <si>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</si>
  <si>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</si>
  <si>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</si>
  <si>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</si>
  <si>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</si>
  <si>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</si>
  <si>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</si>
  <si>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</si>
  <si>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</si>
  <si>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</si>
  <si>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</si>
  <si>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</si>
  <si>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</si>
  <si>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</si>
  <si>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</si>
  <si>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</si>
  <si>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</si>
  <si>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</si>
  <si>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</si>
  <si>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</si>
  <si>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</si>
  <si>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</si>
  <si>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</si>
  <si>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</si>
  <si>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</si>
  <si>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</si>
  <si>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</si>
  <si>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</si>
  <si>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</si>
  <si>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</si>
  <si>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</si>
  <si>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</si>
  <si>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</si>
  <si>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</si>
  <si>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</si>
  <si>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</si>
  <si>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</si>
  <si>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</si>
  <si>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</si>
  <si>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</si>
  <si>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</si>
  <si>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</si>
  <si>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</si>
  <si>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</si>
  <si>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</si>
  <si>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</si>
  <si>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</si>
  <si>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</si>
  <si>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</si>
  <si>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</si>
  <si>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</si>
  <si>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</si>
  <si>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</si>
  <si>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</si>
  <si>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</si>
  <si>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</si>
  <si>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</si>
  <si>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</si>
  <si>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</si>
  <si>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</si>
  <si>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</si>
  <si>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</si>
  <si>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</si>
  <si>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</si>
  <si>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</si>
  <si>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</si>
  <si>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</si>
  <si>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</si>
  <si>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</si>
  <si>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</si>
  <si>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</si>
  <si>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</si>
  <si>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</si>
  <si>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</si>
  <si>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</si>
  <si>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</si>
  <si>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</si>
  <si>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</si>
  <si>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</si>
  <si>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</si>
  <si>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</si>
  <si>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</si>
  <si>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</si>
  <si>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</si>
  <si>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</si>
  <si>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</si>
  <si>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</si>
  <si>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</si>
  <si>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</si>
  <si>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</si>
  <si>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</si>
  <si>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</si>
  <si>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</si>
  <si>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</si>
  <si>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</si>
  <si>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</si>
  <si>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</si>
  <si>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</si>
  <si>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</si>
  <si>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</si>
  <si>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</si>
  <si>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</si>
  <si>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</si>
  <si>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</si>
  <si>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</si>
  <si>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</si>
  <si>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</si>
  <si>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</si>
  <si>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</si>
  <si>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</si>
  <si>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</si>
  <si>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</si>
  <si>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</si>
  <si>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</si>
  <si>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</si>
  <si>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</si>
  <si>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</si>
  <si>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</si>
  <si>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</si>
  <si>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</si>
  <si>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</si>
  <si>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</si>
  <si>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</si>
  <si>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</si>
  <si>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</si>
  <si>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</si>
  <si>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</si>
  <si>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</si>
  <si>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</si>
  <si>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</si>
  <si>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</si>
  <si>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</si>
  <si>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</si>
  <si>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</si>
  <si>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</si>
  <si>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</si>
  <si>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</si>
  <si>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</si>
  <si>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</si>
  <si>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</si>
  <si>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</si>
  <si>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</si>
  <si>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</si>
  <si>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</si>
  <si>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</si>
  <si>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</si>
  <si>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</si>
  <si>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</si>
  <si>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</si>
  <si>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</si>
  <si>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</si>
  <si>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</si>
  <si>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</si>
  <si>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</si>
  <si>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</si>
  <si>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</si>
  <si>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</si>
  <si>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</si>
  <si>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</si>
  <si>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</si>
  <si>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</si>
  <si>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</si>
  <si>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</si>
  <si>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</si>
  <si>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</si>
  <si>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</si>
  <si>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</si>
  <si>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</si>
  <si>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</si>
  <si>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</si>
  <si>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</si>
  <si>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</si>
  <si>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</si>
  <si>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</si>
  <si>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</si>
  <si>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</si>
  <si>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</si>
  <si>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</si>
  <si>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</si>
  <si>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</si>
  <si>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</si>
  <si>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</si>
  <si>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</si>
  <si>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</si>
  <si>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</si>
  <si>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</si>
  <si>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</si>
  <si>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</si>
  <si>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</si>
  <si>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</si>
  <si>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</si>
  <si>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</si>
  <si>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</si>
  <si>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</si>
  <si>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</si>
  <si>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</si>
  <si>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</si>
  <si>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</si>
  <si>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</si>
  <si>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</si>
  <si>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</si>
  <si>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</si>
  <si>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</si>
  <si>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</si>
  <si>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</si>
  <si>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</si>
  <si>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</si>
  <si>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</si>
  <si>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</si>
  <si>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</si>
  <si>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</si>
  <si>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</si>
  <si>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</si>
  <si>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</si>
  <si>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</si>
  <si>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</si>
  <si>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</si>
  <si>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</si>
  <si>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</si>
  <si>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</si>
  <si>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</si>
  <si>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</si>
  <si>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</si>
  <si>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</si>
  <si>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</si>
  <si>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</si>
  <si>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</si>
  <si>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</si>
  <si>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</si>
  <si>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</si>
  <si>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</si>
  <si>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</si>
  <si>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</si>
  <si>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</si>
  <si>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</si>
  <si>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</si>
  <si>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</si>
  <si>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</si>
  <si>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</si>
  <si>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</si>
  <si>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</si>
  <si>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</si>
  <si>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</si>
  <si>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</si>
  <si>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</si>
  <si>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</si>
  <si>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</si>
  <si>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</si>
  <si>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</si>
  <si>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</si>
  <si>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</si>
  <si>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</si>
  <si>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</si>
  <si>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</si>
  <si>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</si>
  <si>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</si>
  <si>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</si>
  <si>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</si>
  <si>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</si>
  <si>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</si>
  <si>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</si>
  <si>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</si>
  <si>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</si>
  <si>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</si>
  <si>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</si>
  <si>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</si>
  <si>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</si>
  <si>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</si>
  <si>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</si>
  <si>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</si>
  <si>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</si>
  <si>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</si>
  <si>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</si>
  <si>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</si>
  <si>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</si>
  <si>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</si>
  <si>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</si>
  <si>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</si>
  <si>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</si>
  <si>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</si>
  <si>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</si>
  <si>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</si>
  <si>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</si>
  <si>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</si>
  <si>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</si>
  <si>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</si>
  <si>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</si>
  <si>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</si>
  <si>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</si>
  <si>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</si>
  <si>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</si>
  <si>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</si>
  <si>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</si>
  <si>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</si>
  <si>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</si>
  <si>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</si>
  <si>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</si>
  <si>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</si>
  <si>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</si>
  <si>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</si>
  <si>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</si>
  <si>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</si>
  <si>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</si>
  <si>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</si>
  <si>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</si>
  <si>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</si>
  <si>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</si>
  <si>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</si>
  <si>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</si>
  <si>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</si>
  <si>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</si>
  <si>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</si>
  <si>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</si>
  <si>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</si>
  <si>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</si>
  <si>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</si>
  <si>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</si>
  <si>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</si>
  <si>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</si>
  <si>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</si>
  <si>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</si>
  <si>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</si>
  <si>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</si>
  <si>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</si>
  <si>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</si>
  <si>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</si>
  <si>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</si>
  <si>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</si>
  <si>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</si>
  <si>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</si>
  <si>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</si>
  <si>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</si>
  <si>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</si>
  <si>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</si>
  <si>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</si>
  <si>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</si>
  <si>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</si>
  <si>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</si>
  <si>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</si>
  <si>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</si>
  <si>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</si>
  <si>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</si>
  <si>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</si>
  <si>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</si>
  <si>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</si>
  <si>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</si>
  <si>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</si>
  <si>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</si>
  <si>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</si>
  <si>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</si>
  <si>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</si>
  <si>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</si>
  <si>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</si>
  <si>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</si>
  <si>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</si>
  <si>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</si>
  <si>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</si>
  <si>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</si>
  <si>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</si>
  <si>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</si>
  <si>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</si>
  <si>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</si>
  <si>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</si>
  <si>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</si>
  <si>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</si>
  <si>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</si>
  <si>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</si>
  <si>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</si>
  <si>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</si>
  <si>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</si>
  <si>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</si>
  <si>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</si>
  <si>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</si>
  <si>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</si>
  <si>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</si>
  <si>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</si>
  <si>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</si>
  <si>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</si>
  <si>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</si>
  <si>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</si>
  <si>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</si>
  <si>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</si>
  <si>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</si>
  <si>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</si>
  <si>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</si>
  <si>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</si>
  <si>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</si>
  <si>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</si>
  <si>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</si>
  <si>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</si>
  <si>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</si>
  <si>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</si>
  <si>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</si>
  <si>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</si>
  <si>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</si>
  <si>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</si>
  <si>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</si>
  <si>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</si>
  <si>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</si>
  <si>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</si>
  <si>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</si>
  <si>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</si>
  <si>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</si>
  <si>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</si>
  <si>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</si>
  <si>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</si>
  <si>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</si>
  <si>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</si>
  <si>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</si>
  <si>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</si>
  <si>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</si>
  <si>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</si>
  <si>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</si>
  <si>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</si>
  <si>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</si>
  <si>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</si>
  <si>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</si>
  <si>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</si>
  <si>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</si>
  <si>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</si>
  <si>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</si>
  <si>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</si>
  <si>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</si>
  <si>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</si>
  <si>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</si>
  <si>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</si>
  <si>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</si>
  <si>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</si>
  <si>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</si>
  <si>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</si>
  <si>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</si>
  <si>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</si>
  <si>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</si>
  <si>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</si>
  <si>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</si>
  <si>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</si>
  <si>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</si>
  <si>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</si>
  <si>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</si>
  <si>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</si>
  <si>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</si>
  <si>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</si>
  <si>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</si>
  <si>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</si>
  <si>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</si>
  <si>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</si>
  <si>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</si>
  <si>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</si>
  <si>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</si>
  <si>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</si>
  <si>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</si>
  <si>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</si>
  <si>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</si>
  <si>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</si>
  <si>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</si>
  <si>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</si>
  <si>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</si>
  <si>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</si>
  <si>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</si>
  <si>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</si>
  <si>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</si>
  <si>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</si>
  <si>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</si>
  <si>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</si>
  <si>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</si>
  <si>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</si>
  <si>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</si>
  <si>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</si>
  <si>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</si>
  <si>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</si>
  <si>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</si>
  <si>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</si>
  <si>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</si>
  <si>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</si>
  <si>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</si>
  <si>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</si>
  <si>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</si>
  <si>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</si>
  <si>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</si>
  <si>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</si>
  <si>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</si>
  <si>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</si>
  <si>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</si>
  <si>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</si>
  <si>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</si>
  <si>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</si>
  <si>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</si>
  <si>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</si>
  <si>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</si>
  <si>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</si>
  <si>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</si>
  <si>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</si>
  <si>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</si>
  <si>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</si>
  <si>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</si>
  <si>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</si>
  <si>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</si>
  <si>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</si>
  <si>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</si>
  <si>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</si>
  <si>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</si>
  <si>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</si>
  <si>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</si>
  <si>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</si>
  <si>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</si>
  <si>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</si>
  <si>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</si>
  <si>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</si>
  <si>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</si>
  <si>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</si>
  <si>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</si>
  <si>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</si>
  <si>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</si>
  <si>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</si>
  <si>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</si>
  <si>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</si>
  <si>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</si>
  <si>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</si>
  <si>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</si>
  <si>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</si>
  <si>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</si>
  <si>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</si>
  <si>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</si>
  <si>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</si>
  <si>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</si>
  <si>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</si>
  <si>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</si>
  <si>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</si>
  <si>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</si>
  <si>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</si>
  <si>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</si>
  <si>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</si>
  <si>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</si>
  <si>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</si>
  <si>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</si>
  <si>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</si>
  <si>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</si>
  <si>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</si>
  <si>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</si>
  <si>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</si>
  <si>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</si>
  <si>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</si>
  <si>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</si>
  <si>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</si>
  <si>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</si>
  <si>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</si>
  <si>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</si>
  <si>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</si>
  <si>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</si>
  <si>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</si>
  <si>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</si>
  <si>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</si>
  <si>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</si>
  <si>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</si>
  <si>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</si>
  <si>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</si>
  <si>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</si>
  <si>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</si>
  <si>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</si>
  <si>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</si>
  <si>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</si>
  <si>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</si>
  <si>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</si>
  <si>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</si>
  <si>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</si>
  <si>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</si>
  <si>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</si>
  <si>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</si>
  <si>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</si>
  <si>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</si>
  <si>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</si>
  <si>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</si>
  <si>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</si>
  <si>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</si>
  <si>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</si>
  <si>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</si>
  <si>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</si>
  <si>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</si>
  <si>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</si>
  <si>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</si>
  <si>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</si>
  <si>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</si>
  <si>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</si>
  <si>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</si>
  <si>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</si>
  <si>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</si>
  <si>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</si>
  <si>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</si>
  <si>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</si>
  <si>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</si>
  <si>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</si>
  <si>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</si>
  <si>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</si>
  <si>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</si>
  <si>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</si>
  <si>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</si>
  <si>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</si>
  <si>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</si>
  <si>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</si>
  <si>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</si>
  <si>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</si>
  <si>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</si>
  <si>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</si>
  <si>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</si>
  <si>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</si>
  <si>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</si>
  <si>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</si>
  <si>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</si>
  <si>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</si>
  <si>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</si>
  <si>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</si>
  <si>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</si>
  <si>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</si>
  <si>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</si>
  <si>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</si>
  <si>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</si>
  <si>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</si>
  <si>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</si>
  <si>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</si>
  <si>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</si>
  <si>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</si>
  <si>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</si>
  <si>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</si>
  <si>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</si>
  <si>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</si>
  <si>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</si>
  <si>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</si>
  <si>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</si>
  <si>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</si>
  <si>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</si>
  <si>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</si>
  <si>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</si>
  <si>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</si>
  <si>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</si>
  <si>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</si>
  <si>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</si>
  <si>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</si>
  <si>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</si>
  <si>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</si>
  <si>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</si>
  <si>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</si>
  <si>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</si>
  <si>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</si>
  <si>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</si>
  <si>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</si>
  <si>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</si>
  <si>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</si>
  <si>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</si>
  <si>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</si>
  <si>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</si>
  <si>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</si>
  <si>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</si>
  <si>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</si>
  <si>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</si>
  <si>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</si>
  <si>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</si>
  <si>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</si>
  <si>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</si>
  <si>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</si>
  <si>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</si>
  <si>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</si>
  <si>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</si>
  <si>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</si>
  <si>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</si>
  <si>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</si>
  <si>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</si>
  <si>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</si>
  <si>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</si>
  <si>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</si>
  <si>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</si>
  <si>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</si>
  <si>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</si>
  <si>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</si>
  <si>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</si>
  <si>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</si>
  <si>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</si>
  <si>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</si>
  <si>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</si>
  <si>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</si>
  <si>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</si>
  <si>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</si>
  <si>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</si>
  <si>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</si>
  <si>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</si>
  <si>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</si>
  <si>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</si>
  <si>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</si>
  <si>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</si>
  <si>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</si>
  <si>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</si>
  <si>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</si>
  <si>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</si>
  <si>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</si>
  <si>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</si>
  <si>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</si>
  <si>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</si>
  <si>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</si>
  <si>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</si>
  <si>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</si>
  <si>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</si>
  <si>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</si>
  <si>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</si>
  <si>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</si>
  <si>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</si>
  <si>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</si>
  <si>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</si>
  <si>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</si>
  <si>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</si>
  <si>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</si>
  <si>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</si>
  <si>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</si>
  <si>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</si>
  <si>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</si>
  <si>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</si>
  <si>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</si>
  <si>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</si>
  <si>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</si>
  <si>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</si>
  <si>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</si>
  <si>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</si>
  <si>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</si>
  <si>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</si>
  <si>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</si>
  <si>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</si>
  <si>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</si>
  <si>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</si>
  <si>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</si>
  <si>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</si>
  <si>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</si>
  <si>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</si>
  <si>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</si>
  <si>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</si>
  <si>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</si>
  <si>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</si>
  <si>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</si>
  <si>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</si>
  <si>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</si>
  <si>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</si>
  <si>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</si>
  <si>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</si>
  <si>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</si>
  <si>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</si>
  <si>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</si>
  <si>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</si>
  <si>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</si>
  <si>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</si>
  <si>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</si>
  <si>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</si>
  <si>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</si>
  <si>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</si>
  <si>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</si>
  <si>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</si>
  <si>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</si>
  <si>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</si>
  <si>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</si>
  <si>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</si>
  <si>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</si>
  <si>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</si>
  <si>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</si>
  <si>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</si>
  <si>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</si>
  <si>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</si>
  <si>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</si>
  <si>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</si>
  <si>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</si>
  <si>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</si>
  <si>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</si>
  <si>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</si>
  <si>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</si>
  <si>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</si>
  <si>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</si>
  <si>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</si>
  <si>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</si>
  <si>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</si>
  <si>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</si>
  <si>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</si>
  <si>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</si>
  <si>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</si>
  <si>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</si>
  <si>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</si>
  <si>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</si>
  <si>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</si>
  <si>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</si>
  <si>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</si>
  <si>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</si>
  <si>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</si>
  <si>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</si>
  <si>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</si>
  <si>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</si>
  <si>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</si>
  <si>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</si>
  <si>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</si>
  <si>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</si>
  <si>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</si>
  <si>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</si>
  <si>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</si>
  <si>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</si>
  <si>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</si>
  <si>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</si>
  <si>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</si>
  <si>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</si>
  <si>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</si>
  <si>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</si>
  <si>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</si>
  <si>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</si>
  <si>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</si>
  <si>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</si>
  <si>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</si>
  <si>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</si>
  <si>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</si>
  <si>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</si>
  <si>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</si>
  <si>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</si>
  <si>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</si>
  <si>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</si>
  <si>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</si>
  <si>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</si>
  <si>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</si>
  <si>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</si>
  <si>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</si>
  <si>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</si>
  <si>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</si>
  <si>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</si>
  <si>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</si>
  <si>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</si>
  <si>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</si>
  <si>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</si>
  <si>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</si>
  <si>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</si>
  <si>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</si>
  <si>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</si>
  <si>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</si>
  <si>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</si>
  <si>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</si>
  <si>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</si>
  <si>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</si>
  <si>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</si>
  <si>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</si>
  <si>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</si>
  <si>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</si>
  <si>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</si>
  <si>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</si>
  <si>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</si>
  <si>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</si>
  <si>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</si>
  <si>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</si>
  <si>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</si>
  <si>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</si>
  <si>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</si>
  <si>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</si>
  <si>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</si>
  <si>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</si>
  <si>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</si>
  <si>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</si>
  <si>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</si>
  <si>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</si>
  <si>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</si>
  <si>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</si>
  <si>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</si>
  <si>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</si>
  <si>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</si>
  <si>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</si>
  <si>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</si>
  <si>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</si>
  <si>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</si>
  <si>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</si>
  <si>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</si>
  <si>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</si>
  <si>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</si>
  <si>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</si>
  <si>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</si>
  <si>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</si>
  <si>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</si>
  <si>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</si>
  <si>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</si>
  <si>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</si>
  <si>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</si>
  <si>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</si>
  <si>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</si>
  <si>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</si>
  <si>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</si>
  <si>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</si>
  <si>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</si>
  <si>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</si>
  <si>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</si>
  <si>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</si>
  <si>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</si>
  <si>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</si>
  <si>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</si>
  <si>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</si>
  <si>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</si>
  <si>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</si>
  <si>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</si>
  <si>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</si>
  <si>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</si>
  <si>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</si>
  <si>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</si>
  <si>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</si>
  <si>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</si>
  <si>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</si>
  <si>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</si>
  <si>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</si>
  <si>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</si>
  <si>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</si>
  <si>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</si>
  <si>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</si>
  <si>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</si>
  <si>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</si>
  <si>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</si>
  <si>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</si>
  <si>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</si>
  <si>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</si>
  <si>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</si>
  <si>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</si>
  <si>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</si>
  <si>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</si>
  <si>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</si>
  <si>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</si>
  <si>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</si>
  <si>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</si>
  <si>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</si>
  <si>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</si>
  <si>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</si>
  <si>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</si>
  <si>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</si>
  <si>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</si>
  <si>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</si>
  <si>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</si>
  <si>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</si>
  <si>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</si>
  <si>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</si>
  <si>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</si>
  <si>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</si>
  <si>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</si>
  <si>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</si>
  <si>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</si>
  <si>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</si>
  <si>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</si>
  <si>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</si>
  <si>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</si>
  <si>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</si>
  <si>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</si>
  <si>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</si>
  <si>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</si>
  <si>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</si>
  <si>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</si>
  <si>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</si>
  <si>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</si>
  <si>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</si>
  <si>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</si>
  <si>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</si>
  <si>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</si>
  <si>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</si>
  <si>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</si>
  <si>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</si>
  <si>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</si>
  <si>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</si>
  <si>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</si>
  <si>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</si>
  <si>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</si>
  <si>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</si>
  <si>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</si>
  <si>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</si>
  <si>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</si>
  <si>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</si>
  <si>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</si>
  <si>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</si>
  <si>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</si>
  <si>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</si>
  <si>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</si>
  <si>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</si>
  <si>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</si>
  <si>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</si>
  <si>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</si>
  <si>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</si>
  <si>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</si>
  <si>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</si>
  <si>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</si>
  <si>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</si>
  <si>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</si>
  <si>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</si>
  <si>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</si>
  <si>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</si>
  <si>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</si>
  <si>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</si>
  <si>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</si>
  <si>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</si>
  <si>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</si>
  <si>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</si>
  <si>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</si>
  <si>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</si>
  <si>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</si>
  <si>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</si>
  <si>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</si>
  <si>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</si>
  <si>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</si>
  <si>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</si>
  <si>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</si>
  <si>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</si>
  <si>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</si>
  <si>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</si>
  <si>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</si>
  <si>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</si>
  <si>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</si>
  <si>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</si>
  <si>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</si>
  <si>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</si>
  <si>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</si>
  <si>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</si>
  <si>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</si>
  <si>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</si>
  <si>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</si>
  <si>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</si>
  <si>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</si>
  <si>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</si>
  <si>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</si>
  <si>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</si>
  <si>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</si>
  <si>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</si>
  <si>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</si>
  <si>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</si>
  <si>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</si>
  <si>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</si>
  <si>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</si>
  <si>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</si>
  <si>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</si>
  <si>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</si>
  <si>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</si>
  <si>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</si>
  <si>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</si>
  <si>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</si>
  <si>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</si>
  <si>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</si>
  <si>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</si>
  <si>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</si>
  <si>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</si>
  <si>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</si>
  <si>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</si>
  <si>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</si>
  <si>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</si>
  <si>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</si>
  <si>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</si>
  <si>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</si>
  <si>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</si>
  <si>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</si>
  <si>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</si>
  <si>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</si>
  <si>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</si>
  <si>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</si>
  <si>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</si>
  <si>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</si>
  <si>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</si>
  <si>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</si>
  <si>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</si>
  <si>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</si>
  <si>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</si>
  <si>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</si>
  <si>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</si>
  <si>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</si>
  <si>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</si>
  <si>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</si>
  <si>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</si>
  <si>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</si>
  <si>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</si>
  <si>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</si>
  <si>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</si>
  <si>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</si>
  <si>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</si>
  <si>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</si>
  <si>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</si>
  <si>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</si>
  <si>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</si>
  <si>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</si>
  <si>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</si>
  <si>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</si>
  <si>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</si>
  <si>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</si>
  <si>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</si>
  <si>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</si>
  <si>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</si>
  <si>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</si>
  <si>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</si>
  <si>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</si>
  <si>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</si>
  <si>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</si>
  <si>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</si>
  <si>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</si>
  <si>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</si>
  <si>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</si>
  <si>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</si>
  <si>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</si>
  <si>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</si>
  <si>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</si>
  <si>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</si>
  <si>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</si>
  <si>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</si>
  <si>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</si>
  <si>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</si>
  <si>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</si>
  <si>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</si>
  <si>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</si>
  <si>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</si>
  <si>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</si>
  <si>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</si>
  <si>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</si>
  <si>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</si>
  <si>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</si>
  <si>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</si>
  <si>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</si>
  <si>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</si>
  <si>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</si>
  <si>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</si>
  <si>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</si>
  <si>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</si>
  <si>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</si>
  <si>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</si>
  <si>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</si>
  <si>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</si>
  <si>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</si>
  <si>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</si>
  <si>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</si>
  <si>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</si>
  <si>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</si>
  <si>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</si>
  <si>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</si>
  <si>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</si>
  <si>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</si>
  <si>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</si>
  <si>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</si>
  <si>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</si>
  <si>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</si>
  <si>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</si>
  <si>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</si>
  <si>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</si>
  <si>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</si>
  <si>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</si>
  <si>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</si>
  <si>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</si>
  <si>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</si>
  <si>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</si>
  <si>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</si>
  <si>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</si>
  <si>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</si>
  <si>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</si>
  <si>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</si>
  <si>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</si>
  <si>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</si>
  <si>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</si>
  <si>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</si>
  <si>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</si>
  <si>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</si>
  <si>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</si>
  <si>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</si>
  <si>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</si>
  <si>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</si>
  <si>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</si>
  <si>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</si>
  <si>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</si>
  <si>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</si>
  <si>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</si>
  <si>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</si>
  <si>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</si>
  <si>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</si>
  <si>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</si>
  <si>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</si>
  <si>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</si>
  <si>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</si>
  <si>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</si>
  <si>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</si>
  <si>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</si>
  <si>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</si>
  <si>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</si>
  <si>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</si>
  <si>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</si>
  <si>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</si>
  <si>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</si>
  <si>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</si>
  <si>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</si>
  <si>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</si>
  <si>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</si>
  <si>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</si>
  <si>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</si>
  <si>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</si>
  <si>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</si>
  <si>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</si>
  <si>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</si>
  <si>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</si>
  <si>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</si>
  <si>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</si>
  <si>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</si>
  <si>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</si>
  <si>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</si>
  <si>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</si>
  <si>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</si>
  <si>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</si>
  <si>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</si>
  <si>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</si>
  <si>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</si>
  <si>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</si>
  <si>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</si>
  <si>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</si>
  <si>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</si>
  <si>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</si>
  <si>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</si>
  <si>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</si>
  <si>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</si>
  <si>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</si>
  <si>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</si>
  <si>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</si>
  <si>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</si>
  <si>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</si>
  <si>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</si>
  <si>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</si>
  <si>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</si>
  <si>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</si>
  <si>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</si>
  <si>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</si>
  <si>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</si>
  <si>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</si>
  <si>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</si>
  <si>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</si>
  <si>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</si>
  <si>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</si>
  <si>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</si>
  <si>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</si>
  <si>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</si>
  <si>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</si>
  <si>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</si>
  <si>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</si>
  <si>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</si>
  <si>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</si>
  <si>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</si>
  <si>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</si>
  <si>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</si>
  <si>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</si>
  <si>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</si>
  <si>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</si>
  <si>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</si>
  <si>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</si>
  <si>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</si>
  <si>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</si>
  <si>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</si>
  <si>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</si>
  <si>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</si>
  <si>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</si>
  <si>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</si>
  <si>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</si>
  <si>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</si>
  <si>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</si>
  <si>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</si>
  <si>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</si>
  <si>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</si>
  <si>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</si>
  <si>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</si>
  <si>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</si>
  <si>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</si>
  <si>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</si>
  <si>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</si>
  <si>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</si>
  <si>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</si>
  <si>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</si>
  <si>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</si>
  <si>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</si>
  <si>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</si>
  <si>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</si>
  <si>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</si>
  <si>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</si>
  <si>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</si>
  <si>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</si>
  <si>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</si>
  <si>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</si>
  <si>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</si>
  <si>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</si>
  <si>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</si>
  <si>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</si>
  <si>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</si>
  <si>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</si>
  <si>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</si>
  <si>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</si>
  <si>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</si>
  <si>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</si>
  <si>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</si>
  <si>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</si>
  <si>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</si>
  <si>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</si>
  <si>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</si>
  <si>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</si>
  <si>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</si>
  <si>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</si>
  <si>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</si>
  <si>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</si>
  <si>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</si>
  <si>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</si>
  <si>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</si>
  <si>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</si>
  <si>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</si>
  <si>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</si>
  <si>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</si>
  <si>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</si>
  <si>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</si>
  <si>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</si>
  <si>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</si>
  <si>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</si>
  <si>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</si>
  <si>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</si>
  <si>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</si>
  <si>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</si>
  <si>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</si>
  <si>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</si>
  <si>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</si>
  <si>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</si>
  <si>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</si>
  <si>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</si>
  <si>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</si>
  <si>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</si>
  <si>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</si>
  <si>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</si>
  <si>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</si>
  <si>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</si>
  <si>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</si>
  <si>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</si>
  <si>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</si>
  <si>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</si>
  <si>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</si>
  <si>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</si>
  <si>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</si>
  <si>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</si>
  <si>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</si>
  <si>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</si>
  <si>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</si>
  <si>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</si>
  <si>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</si>
  <si>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</si>
  <si>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</si>
  <si>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</si>
  <si>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</si>
  <si>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</si>
  <si>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</si>
  <si>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</si>
  <si>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</si>
  <si>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</si>
  <si>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</si>
  <si>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</si>
  <si>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</si>
  <si>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</si>
  <si>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</si>
  <si>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</si>
  <si>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</si>
  <si>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</si>
  <si>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</si>
  <si>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</si>
  <si>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</si>
  <si>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</si>
  <si>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</si>
  <si>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</si>
  <si>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</si>
  <si>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</si>
  <si>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</si>
  <si>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</si>
  <si>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</si>
  <si>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</si>
  <si>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</si>
  <si>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</si>
  <si>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</si>
  <si>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</si>
  <si>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</si>
  <si>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</si>
  <si>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</si>
  <si>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</si>
  <si>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</si>
  <si>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</si>
  <si>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</si>
  <si>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</si>
  <si>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</si>
  <si>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</si>
  <si>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</si>
  <si>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</si>
  <si>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</si>
  <si>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</si>
  <si>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</si>
  <si>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</si>
  <si>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</si>
  <si>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</si>
  <si>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</si>
  <si>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</si>
  <si>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</si>
  <si>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</si>
  <si>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</si>
  <si>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</si>
  <si>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</si>
  <si>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</si>
  <si>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</si>
  <si>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</si>
  <si>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</si>
  <si>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</si>
  <si>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</si>
  <si>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</si>
  <si>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</si>
  <si>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</si>
  <si>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</si>
  <si>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</si>
  <si>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</si>
  <si>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</si>
  <si>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</si>
  <si>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</si>
  <si>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</si>
  <si>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</si>
  <si>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</si>
  <si>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</si>
  <si>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</si>
  <si>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</si>
  <si>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</si>
  <si>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</si>
  <si>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</si>
  <si>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</si>
  <si>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</si>
  <si>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</si>
  <si>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</si>
  <si>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</si>
  <si>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</si>
  <si>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</si>
  <si>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</si>
  <si>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</si>
  <si>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</si>
  <si>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</si>
  <si>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</si>
  <si>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</si>
  <si>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</si>
  <si>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</si>
  <si>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</si>
  <si>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</si>
  <si>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</si>
  <si>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</si>
  <si>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</si>
  <si>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</si>
  <si>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</si>
  <si>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</si>
  <si>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</si>
  <si>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</si>
  <si>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</si>
  <si>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</si>
  <si>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</si>
  <si>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</si>
  <si>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</si>
  <si>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</si>
  <si>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</si>
  <si>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</si>
  <si>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</si>
  <si>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</si>
  <si>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</si>
  <si>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</si>
  <si>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</si>
  <si>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</si>
  <si>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</si>
  <si>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</si>
  <si>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</si>
  <si>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</si>
  <si>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</si>
  <si>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</si>
  <si>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</si>
  <si>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</si>
  <si>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</si>
  <si>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</si>
  <si>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</si>
  <si>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</si>
  <si>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</si>
  <si>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</si>
  <si>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</si>
  <si>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</si>
  <si>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</si>
  <si>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</si>
  <si>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</si>
  <si>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</si>
  <si>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</si>
  <si>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</si>
  <si>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</si>
  <si>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</si>
  <si>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</si>
  <si>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</si>
  <si>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</si>
  <si>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</si>
  <si>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</si>
  <si>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</si>
  <si>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</si>
  <si>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</si>
  <si>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</si>
  <si>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</si>
  <si>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</si>
  <si>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</si>
  <si>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</si>
  <si>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</si>
  <si>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</si>
  <si>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</si>
  <si>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</si>
  <si>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</si>
  <si>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</si>
  <si>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</si>
  <si>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</si>
  <si>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</si>
  <si>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</si>
  <si>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</si>
  <si>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</si>
  <si>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</si>
  <si>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</si>
  <si>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</si>
  <si>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</si>
  <si>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</si>
  <si>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</si>
  <si>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</si>
  <si>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</si>
  <si>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</si>
  <si>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</si>
  <si>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</si>
  <si>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</si>
  <si>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</si>
  <si>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</si>
  <si>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</si>
  <si>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</si>
  <si>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</si>
  <si>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</si>
  <si>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</si>
  <si>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</si>
  <si>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</si>
  <si>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</si>
  <si>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</si>
  <si>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</si>
  <si>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</si>
  <si>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</si>
  <si>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</si>
  <si>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</si>
  <si>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</si>
  <si>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</si>
  <si>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</si>
  <si>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</si>
  <si>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</si>
  <si>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</si>
  <si>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</si>
  <si>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</si>
  <si>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</si>
  <si>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</si>
  <si>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</si>
  <si>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</si>
  <si>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</si>
  <si>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</si>
  <si>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</si>
  <si>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</si>
  <si>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</si>
  <si>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</si>
  <si>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</si>
  <si>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</si>
  <si>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</si>
  <si>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</si>
  <si>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</si>
  <si>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</si>
  <si>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</si>
  <si>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</si>
  <si>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</si>
  <si>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</si>
  <si>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</si>
  <si>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</si>
  <si>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</si>
  <si>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</si>
  <si>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</si>
  <si>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</si>
  <si>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</si>
  <si>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</si>
  <si>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</si>
  <si>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</si>
  <si>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</si>
  <si>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</si>
  <si>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</si>
  <si>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</si>
  <si>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</si>
  <si>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</si>
  <si>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</si>
  <si>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</si>
  <si>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</si>
  <si>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</si>
  <si>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</si>
  <si>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</si>
  <si>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</si>
  <si>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</si>
  <si>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</si>
  <si>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</si>
  <si>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</si>
  <si>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</si>
  <si>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</si>
  <si>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</si>
  <si>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</si>
  <si>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</si>
  <si>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</si>
  <si>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</si>
  <si>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</si>
  <si>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</si>
  <si>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</si>
  <si>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</si>
  <si>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</si>
  <si>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</si>
  <si>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</si>
  <si>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</si>
  <si>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</si>
  <si>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</si>
  <si>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</si>
  <si>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</si>
  <si>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</si>
  <si>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</si>
  <si>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</si>
  <si>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</si>
  <si>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</si>
  <si>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</si>
  <si>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</si>
  <si>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</si>
  <si>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</si>
  <si>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</si>
  <si>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</si>
  <si>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</si>
  <si>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</si>
  <si>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</si>
  <si>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</si>
  <si>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</si>
  <si>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</si>
  <si>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</si>
  <si>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</si>
  <si>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</si>
  <si>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</si>
  <si>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</si>
  <si>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</si>
  <si>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</si>
  <si>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</si>
  <si>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</si>
  <si>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</si>
  <si>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</si>
  <si>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</si>
  <si>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</si>
  <si>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</si>
  <si>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</si>
  <si>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</si>
  <si>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</si>
  <si>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</si>
  <si>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</si>
  <si>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</si>
  <si>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</si>
  <si>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</si>
  <si>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</si>
  <si>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</si>
  <si>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</si>
  <si>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</si>
  <si>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</si>
  <si>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</si>
  <si>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</si>
  <si>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</si>
  <si>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</si>
  <si>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</si>
  <si>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</si>
  <si>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</si>
  <si>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</si>
  <si>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</si>
  <si>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</si>
  <si>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</si>
  <si>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</si>
  <si>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</si>
  <si>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</si>
  <si>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</si>
  <si>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</si>
  <si>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</si>
  <si>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</si>
  <si>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</si>
  <si>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</si>
  <si>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</si>
  <si>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</si>
  <si>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</si>
  <si>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</si>
  <si>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</si>
  <si>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</si>
  <si>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</si>
  <si>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</si>
  <si>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</si>
  <si>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</si>
  <si>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</si>
  <si>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</si>
  <si>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</si>
  <si>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</si>
  <si>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</si>
  <si>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</si>
  <si>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</si>
  <si>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</si>
  <si>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</si>
  <si>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</si>
  <si>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</si>
  <si>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</si>
  <si>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</si>
  <si>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</si>
  <si>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</si>
  <si>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</si>
  <si>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</si>
  <si>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</si>
  <si>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</si>
  <si>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</si>
  <si>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</si>
  <si>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</si>
  <si>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</si>
  <si>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</si>
  <si>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</si>
  <si>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</si>
  <si>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</si>
  <si>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</si>
  <si>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</si>
  <si>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</si>
  <si>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</si>
  <si>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</si>
  <si>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</si>
  <si>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</si>
  <si>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</si>
  <si>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</si>
  <si>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</si>
  <si>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</si>
  <si>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</si>
  <si>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</si>
  <si>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</si>
  <si>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</si>
  <si>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</si>
  <si>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</si>
  <si>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</si>
  <si>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</si>
  <si>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</si>
  <si>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</si>
  <si>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</si>
  <si>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</si>
  <si>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</si>
  <si>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</si>
  <si>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</si>
  <si>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</si>
  <si>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</si>
  <si>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</si>
  <si>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</si>
  <si>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</si>
  <si>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</si>
  <si>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</si>
  <si>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</si>
  <si>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</si>
  <si>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</si>
  <si>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</si>
  <si>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</si>
  <si>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</si>
  <si>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</si>
  <si>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</si>
  <si>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</si>
  <si>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</si>
  <si>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</si>
  <si>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</si>
  <si>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</si>
  <si>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</si>
  <si>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</si>
  <si>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</si>
  <si>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</si>
  <si>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</si>
  <si>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</si>
  <si>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</si>
  <si>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</si>
  <si>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</si>
  <si>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</si>
  <si>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</si>
  <si>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</si>
  <si>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</si>
  <si>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</si>
  <si>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</si>
  <si>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</si>
  <si>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</si>
  <si>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</si>
  <si>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</si>
  <si>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</si>
  <si>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</si>
  <si>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</si>
  <si>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</si>
  <si>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</si>
  <si>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</si>
  <si>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</si>
  <si>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</si>
  <si>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</si>
  <si>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</si>
  <si>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</si>
  <si>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</si>
  <si>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</si>
  <si>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</si>
  <si>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</si>
  <si>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</si>
  <si>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</si>
  <si>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</si>
  <si>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</si>
  <si>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</si>
  <si>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</si>
  <si>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</si>
  <si>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</si>
  <si>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</si>
  <si>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</si>
  <si>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</si>
  <si>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</si>
  <si>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</si>
  <si>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</si>
  <si>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</si>
  <si>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</si>
  <si>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</si>
  <si>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</si>
  <si>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</si>
  <si>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</si>
  <si>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</si>
  <si>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</si>
  <si>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</si>
  <si>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</si>
  <si>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</si>
  <si>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</si>
  <si>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</si>
  <si>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</si>
  <si>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</si>
  <si>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</si>
  <si>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</si>
  <si>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</si>
  <si>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</si>
  <si>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</si>
  <si>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</si>
  <si>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</si>
  <si>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</si>
  <si>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</si>
  <si>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</si>
  <si>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</si>
  <si>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</si>
  <si>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</si>
  <si>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</si>
  <si>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</si>
  <si>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</si>
  <si>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</si>
  <si>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</si>
  <si>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</si>
  <si>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</si>
  <si>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</si>
  <si>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</si>
  <si>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</si>
  <si>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</si>
  <si>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</si>
  <si>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</si>
  <si>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</si>
  <si>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</si>
  <si>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</si>
  <si>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</si>
  <si>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</si>
  <si>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</si>
  <si>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</si>
  <si>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</si>
  <si>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</si>
  <si>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</si>
  <si>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</si>
  <si>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</si>
  <si>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</si>
  <si>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</si>
  <si>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</si>
  <si>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</si>
  <si>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</si>
  <si>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</si>
  <si>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</si>
  <si>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</si>
  <si>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</si>
  <si>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</si>
  <si>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</si>
  <si>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</si>
  <si>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</si>
  <si>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</si>
  <si>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</si>
  <si>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</si>
  <si>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</si>
  <si>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</si>
  <si>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</si>
  <si>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</si>
  <si>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</si>
  <si>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</si>
  <si>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</si>
  <si>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</si>
  <si>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</si>
  <si>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</si>
  <si>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</si>
  <si>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</si>
  <si>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</si>
  <si>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</si>
  <si>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</si>
  <si>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</si>
  <si>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</si>
  <si>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</si>
  <si>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</si>
  <si>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</si>
  <si>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</si>
  <si>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</si>
  <si>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</si>
  <si>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</si>
  <si>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</si>
  <si>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</si>
  <si>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</si>
  <si>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</si>
  <si>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</si>
  <si>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</si>
  <si>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</si>
  <si>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</si>
  <si>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</si>
  <si>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</si>
  <si>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</si>
  <si>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</si>
  <si>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</si>
  <si>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</si>
  <si>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</si>
  <si>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</si>
  <si>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</si>
  <si>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</si>
  <si>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</si>
  <si>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</si>
  <si>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</si>
  <si>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</si>
  <si>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</si>
  <si>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</si>
  <si>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</si>
  <si>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</si>
  <si>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</si>
  <si>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</si>
  <si>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</si>
  <si>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</si>
  <si>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</si>
  <si>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</si>
  <si>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</si>
  <si>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</si>
  <si>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</si>
  <si>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</si>
  <si>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</si>
  <si>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</si>
  <si>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</si>
  <si>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</si>
  <si>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</si>
  <si>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</si>
  <si>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</si>
  <si>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</si>
  <si>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</si>
  <si>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</si>
  <si>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</si>
  <si>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</si>
  <si>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</si>
  <si>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</si>
  <si>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</si>
  <si>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</si>
  <si>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</si>
  <si>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</si>
  <si>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</si>
  <si>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</si>
  <si>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</si>
  <si>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</si>
  <si>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</si>
  <si>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</si>
  <si>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</si>
  <si>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</si>
  <si>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</si>
  <si>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</si>
  <si>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</si>
  <si>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</si>
  <si>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</si>
  <si>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</si>
  <si>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</si>
  <si>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</si>
  <si>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</si>
  <si>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</si>
  <si>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</si>
  <si>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</si>
  <si>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</si>
  <si>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</si>
  <si>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</si>
  <si>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</si>
  <si>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</si>
  <si>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</si>
  <si>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</si>
  <si>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</si>
  <si>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</si>
  <si>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</si>
  <si>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</si>
  <si>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</si>
  <si>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</si>
  <si>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</si>
  <si>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</si>
  <si>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</si>
  <si>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</si>
  <si>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</si>
  <si>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</si>
  <si>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</si>
  <si>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</si>
  <si>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</si>
  <si>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</si>
  <si>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</si>
  <si>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</si>
  <si>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</si>
  <si>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</si>
  <si>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</si>
  <si>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</si>
  <si>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</si>
  <si>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</si>
  <si>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</si>
  <si>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</si>
  <si>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</si>
  <si>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</si>
  <si>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</si>
  <si>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</si>
  <si>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</si>
  <si>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</si>
  <si>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</si>
  <si>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</si>
  <si>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</si>
  <si>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</si>
  <si>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</si>
  <si>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</si>
  <si>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</si>
  <si>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</si>
  <si>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</si>
  <si>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</si>
  <si>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</si>
  <si>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</si>
  <si>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</si>
  <si>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</si>
  <si>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</si>
  <si>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</si>
  <si>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</si>
  <si>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</si>
  <si>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</si>
  <si>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</si>
  <si>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</si>
  <si>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</si>
  <si>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</si>
  <si>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</si>
  <si>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</si>
  <si>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</si>
  <si>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</si>
  <si>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</si>
  <si>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</si>
  <si>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</si>
  <si>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</si>
  <si>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</si>
  <si>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</si>
  <si>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</si>
  <si>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</si>
  <si>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</si>
  <si>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</si>
  <si>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</si>
  <si>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</si>
  <si>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</si>
  <si>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</si>
  <si>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</si>
  <si>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</si>
  <si>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</si>
  <si>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</si>
  <si>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</si>
  <si>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</si>
  <si>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</si>
  <si>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</si>
  <si>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</si>
  <si>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</si>
  <si>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</si>
  <si>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</si>
  <si>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</si>
  <si>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</si>
  <si>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</si>
  <si>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</si>
  <si>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</si>
  <si>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</si>
  <si>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</si>
  <si>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</si>
  <si>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</si>
  <si>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</si>
  <si>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</si>
  <si>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</si>
  <si>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</si>
  <si>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</si>
  <si>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</si>
  <si>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</si>
  <si>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</si>
  <si>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</si>
  <si>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</si>
  <si>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</si>
  <si>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</si>
  <si>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</si>
  <si>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</si>
  <si>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</si>
  <si>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</si>
  <si>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</si>
  <si>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</si>
  <si>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</si>
  <si>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</si>
  <si>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</si>
  <si>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</si>
  <si>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</si>
  <si>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</si>
  <si>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</si>
  <si>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</si>
  <si>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</si>
  <si>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</si>
  <si>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</si>
  <si>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</si>
  <si>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</si>
  <si>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</si>
  <si>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</si>
  <si>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</si>
  <si>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</si>
  <si>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</si>
  <si>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</si>
  <si>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</si>
  <si>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</si>
  <si>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</si>
  <si>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</si>
  <si>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</si>
  <si>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</si>
  <si>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</si>
  <si>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</si>
  <si>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</si>
  <si>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</si>
  <si>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</si>
  <si>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</si>
  <si>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</si>
  <si>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</si>
  <si>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</si>
  <si>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</si>
  <si>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</si>
  <si>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</si>
  <si>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</si>
  <si>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</si>
  <si>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</si>
  <si>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</si>
  <si>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</si>
  <si>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</si>
  <si>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</si>
  <si>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</si>
  <si>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</si>
  <si>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</si>
  <si>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</si>
  <si>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</si>
  <si>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</si>
  <si>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</si>
  <si>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</si>
  <si>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</si>
  <si>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</si>
  <si>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</si>
  <si>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</si>
  <si>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</si>
  <si>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</si>
  <si>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</si>
  <si>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</si>
  <si>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</si>
  <si>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</si>
  <si>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</si>
  <si>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</si>
  <si>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</si>
  <si>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</si>
  <si>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</si>
  <si>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</si>
  <si>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</si>
  <si>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</si>
  <si>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</si>
  <si>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</si>
  <si>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</si>
  <si>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</si>
  <si>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</si>
  <si>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</si>
  <si>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</si>
  <si>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</si>
  <si>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</si>
  <si>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</si>
  <si>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</si>
  <si>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</si>
  <si>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</si>
  <si>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</si>
  <si>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</si>
  <si>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</si>
  <si>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</si>
  <si>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</si>
  <si>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</si>
  <si>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</si>
  <si>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</si>
  <si>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</si>
  <si>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</si>
  <si>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</si>
  <si>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</si>
  <si>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</si>
  <si>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</si>
  <si>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</si>
  <si>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</si>
  <si>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</si>
  <si>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</si>
  <si>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</si>
  <si>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</si>
  <si>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</si>
  <si>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</si>
  <si>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</si>
  <si>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</si>
  <si>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</si>
  <si>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</si>
  <si>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</si>
  <si>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</si>
  <si>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</si>
  <si>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</si>
  <si>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</si>
  <si>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</si>
  <si>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</si>
  <si>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</si>
  <si>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</si>
  <si>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</si>
  <si>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</si>
  <si>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</si>
  <si>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</si>
  <si>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</si>
  <si>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</si>
  <si>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</si>
  <si>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</si>
  <si>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</si>
  <si>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</si>
  <si>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</si>
  <si>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</si>
  <si>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</si>
  <si>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</si>
  <si>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</si>
  <si>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</si>
  <si>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</si>
  <si>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</si>
  <si>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</si>
  <si>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</si>
  <si>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</si>
  <si>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</si>
  <si>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</si>
  <si>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</si>
  <si>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</si>
  <si>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</si>
  <si>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</si>
  <si>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</si>
  <si>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</si>
  <si>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</si>
  <si>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</si>
  <si>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</si>
  <si>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</si>
  <si>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</si>
  <si>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</si>
  <si>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</si>
  <si>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</si>
  <si>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</si>
  <si>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</si>
  <si>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</si>
  <si>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</si>
  <si>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</si>
  <si>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</si>
  <si>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</si>
  <si>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</si>
  <si>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</si>
  <si>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</si>
  <si>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</si>
  <si>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</si>
  <si>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</si>
  <si>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</si>
  <si>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</si>
  <si>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</si>
  <si>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</si>
  <si>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</si>
  <si>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</si>
  <si>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</si>
  <si>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</si>
  <si>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</si>
  <si>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</si>
  <si>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</si>
  <si>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</si>
  <si>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</si>
  <si>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</si>
  <si>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</si>
  <si>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</si>
  <si>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</si>
  <si>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</si>
  <si>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</si>
  <si>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</si>
  <si>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</si>
  <si>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</si>
  <si>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</si>
  <si>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</si>
  <si>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</si>
  <si>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</si>
  <si>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</si>
  <si>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</si>
  <si>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</si>
  <si>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</si>
  <si>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</si>
  <si>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</si>
  <si>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</si>
  <si>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</si>
  <si>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</si>
  <si>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</si>
  <si>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</si>
  <si>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</si>
  <si>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</si>
  <si>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</si>
  <si>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</si>
  <si>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</si>
  <si>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</si>
  <si>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</si>
  <si>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</si>
  <si>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</si>
  <si>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</si>
  <si>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</si>
  <si>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</si>
  <si>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</si>
  <si>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</si>
  <si>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</si>
  <si>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</si>
  <si>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</si>
  <si>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</si>
  <si>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</si>
  <si>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</si>
  <si>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</si>
  <si>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</si>
  <si>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</si>
  <si>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</si>
  <si>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</si>
  <si>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</si>
  <si>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</si>
  <si>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</si>
  <si>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</si>
  <si>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</si>
  <si>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</si>
  <si>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</si>
  <si>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</si>
  <si>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</si>
  <si>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</si>
  <si>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</si>
  <si>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</si>
  <si>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</si>
  <si>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</si>
  <si>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</si>
  <si>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</si>
  <si>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</si>
  <si>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</si>
  <si>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</si>
  <si>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</si>
  <si>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</si>
  <si>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</si>
  <si>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</si>
  <si>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</si>
  <si>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</si>
  <si>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</si>
  <si>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</si>
  <si>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</si>
  <si>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</si>
  <si>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</si>
  <si>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</si>
  <si>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</si>
  <si>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</si>
  <si>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</si>
  <si>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</si>
  <si>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</si>
  <si>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</si>
  <si>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</si>
  <si>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</si>
  <si>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</si>
  <si>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</si>
  <si>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</si>
  <si>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</si>
  <si>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</si>
  <si>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</si>
  <si>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</si>
  <si>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</si>
  <si>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</si>
  <si>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</si>
  <si>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</si>
  <si>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</si>
  <si>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</si>
  <si>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</si>
  <si>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</si>
  <si>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</si>
  <si>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</si>
  <si>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</si>
  <si>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</si>
  <si>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</si>
  <si>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</si>
  <si>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</si>
  <si>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</si>
  <si>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</si>
  <si>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</si>
  <si>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</si>
  <si>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</si>
  <si>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</si>
  <si>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</si>
  <si>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</si>
  <si>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</si>
  <si>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</si>
  <si>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</si>
  <si>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</si>
  <si>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</si>
  <si>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</si>
  <si>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</si>
  <si>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</si>
  <si>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</si>
  <si>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</si>
  <si>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</si>
  <si>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</si>
  <si>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</si>
  <si>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</si>
  <si>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</si>
  <si>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</si>
  <si>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</si>
  <si>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</si>
  <si>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</si>
  <si>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</si>
  <si>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</si>
  <si>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</si>
  <si>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</si>
  <si>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</si>
  <si>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</si>
  <si>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</si>
  <si>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</si>
  <si>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</si>
  <si>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</si>
  <si>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</si>
  <si>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</si>
  <si>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</si>
  <si>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</si>
  <si>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</si>
  <si>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</si>
  <si>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</si>
  <si>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</si>
  <si>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</si>
  <si>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</si>
  <si>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</si>
  <si>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</si>
  <si>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</si>
  <si>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</si>
  <si>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</si>
  <si>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</si>
  <si>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</si>
  <si>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</si>
  <si>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</si>
  <si>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</si>
  <si>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</si>
  <si>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</si>
  <si>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</si>
  <si>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</si>
  <si>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</si>
  <si>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</si>
  <si>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</si>
  <si>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</si>
  <si>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</si>
  <si>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</si>
  <si>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</si>
  <si>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</si>
  <si>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</si>
  <si>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</si>
  <si>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</si>
  <si>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</si>
  <si>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</si>
  <si>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</si>
  <si>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Rating C</t>
  </si>
  <si>
    <t>Average of Days to Deliver</t>
  </si>
  <si>
    <t>Calculated KPIs</t>
  </si>
  <si>
    <t>Display KPIs</t>
  </si>
  <si>
    <t>Average Rating</t>
  </si>
  <si>
    <t>Average Days to Deliver</t>
  </si>
  <si>
    <t>Trends Analysis in the last 13 weeks</t>
  </si>
  <si>
    <t>Female</t>
  </si>
  <si>
    <t>Male</t>
  </si>
  <si>
    <t>Unkown</t>
  </si>
  <si>
    <t>Column Labels</t>
  </si>
  <si>
    <t>How our customer like to buy</t>
  </si>
  <si>
    <t>Matrix</t>
  </si>
  <si>
    <t>How many they buy</t>
  </si>
  <si>
    <t>6-10</t>
  </si>
  <si>
    <t>More than 10</t>
  </si>
  <si>
    <t>Which product are popular?</t>
  </si>
  <si>
    <t>FOR Gender</t>
  </si>
  <si>
    <t>Where do our customer live?</t>
  </si>
  <si>
    <t>Display Table</t>
  </si>
  <si>
    <t>How long to deliver?</t>
  </si>
  <si>
    <t>Customer Satisfaction</t>
  </si>
  <si>
    <t>Jan</t>
  </si>
  <si>
    <t>Feb</t>
  </si>
  <si>
    <t>Mar</t>
  </si>
  <si>
    <t>`</t>
  </si>
  <si>
    <t>X Axis</t>
  </si>
  <si>
    <t>v</t>
  </si>
  <si>
    <t>Unknown</t>
  </si>
  <si>
    <t>data set</t>
  </si>
  <si>
    <t>pivot</t>
  </si>
  <si>
    <t>display KPI</t>
  </si>
  <si>
    <t>Dashboard</t>
  </si>
  <si>
    <t>to connect</t>
  </si>
  <si>
    <t>select pivot</t>
  </si>
  <si>
    <t>=</t>
  </si>
  <si>
    <t>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</si>
</sst>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0.0%"/>
  </numFmts>
  <fonts count="3" x14ac:knownFonts="1">
    <font>
      <sz val="11"/>
      <color theme="1"/>
      <name val="Aptos Narrow"/>
      <family val="2"/>
      <scheme val="minor"/>
    </font>
    <font>
      <b/>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1"/>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0" xfId="0" applyNumberFormat="1"/>
    <xf numFmtId="0" fontId="2" fillId="3" borderId="0" xfId="0" applyFont="1" applyFill="1" applyAlignment="1">
      <alignment horizontal="center"/>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86AB49"/>
      <color rgb="FF6F896B"/>
      <color rgb="FF69E5A1"/>
      <color rgb="FF1B9D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Female</c:v>
                </c:pt>
              </c:strCache>
            </c:strRef>
          </c:tx>
          <c:spPr>
            <a:solidFill>
              <a:schemeClr val="accent1"/>
            </a:solidFill>
            <a:ln>
              <a:noFill/>
            </a:ln>
            <a:effectLst/>
          </c:spPr>
          <c:invertIfNegative val="0"/>
          <c:cat>
            <c:strRef>
              <c:f>Sheet7!$A$5:$A$25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Sheet7!$B$5:$B$25</c:f>
              <c:numCache>
                <c:formatCode>General</c:formatCode>
                <c:ptCount val="20"/>
                <c:pt idx="0">
                  <c:v>43</c:v>
                </c:pt>
                <c:pt idx="1">
                  <c:v>482</c:v>
                </c:pt>
                <c:pt idx="2">
                  <c:v>234</c:v>
                </c:pt>
                <c:pt idx="3">
                  <c:v>153</c:v>
                </c:pt>
                <c:pt idx="4">
                  <c:v>431</c:v>
                </c:pt>
                <c:pt idx="5">
                  <c:v>264</c:v>
                </c:pt>
                <c:pt idx="6">
                  <c:v>716</c:v>
                </c:pt>
                <c:pt idx="7">
                  <c:v>26</c:v>
                </c:pt>
                <c:pt idx="8">
                  <c:v>189</c:v>
                </c:pt>
                <c:pt idx="9">
                  <c:v>179</c:v>
                </c:pt>
                <c:pt idx="10">
                  <c:v>127</c:v>
                </c:pt>
                <c:pt idx="11">
                  <c:v>296</c:v>
                </c:pt>
                <c:pt idx="12">
                  <c:v>428</c:v>
                </c:pt>
                <c:pt idx="13">
                  <c:v>627</c:v>
                </c:pt>
                <c:pt idx="14">
                  <c:v>445</c:v>
                </c:pt>
                <c:pt idx="15">
                  <c:v>99</c:v>
                </c:pt>
                <c:pt idx="16">
                  <c:v>568</c:v>
                </c:pt>
                <c:pt idx="17">
                  <c:v>75</c:v>
                </c:pt>
                <c:pt idx="18">
                  <c:v>744</c:v>
                </c:pt>
                <c:pt idx="19">
                  <c:v>146</c:v>
                </c:pt>
              </c:numCache>
            </c:numRef>
          </c:val>
          <c:extLst>
            <c:ext xmlns:c16="http://schemas.microsoft.com/office/drawing/2014/chart" uri="{C3380CC4-5D6E-409C-BE32-E72D297353CC}">
              <c16:uniqueId val="{00000000-199D-4E95-B928-BFE61B9ED203}"/>
            </c:ext>
          </c:extLst>
        </c:ser>
        <c:ser>
          <c:idx val="1"/>
          <c:order val="1"/>
          <c:tx>
            <c:strRef>
              <c:f>Sheet7!$C$3:$C$4</c:f>
              <c:strCache>
                <c:ptCount val="1"/>
                <c:pt idx="0">
                  <c:v>Male</c:v>
                </c:pt>
              </c:strCache>
            </c:strRef>
          </c:tx>
          <c:spPr>
            <a:solidFill>
              <a:schemeClr val="accent2"/>
            </a:solidFill>
            <a:ln>
              <a:noFill/>
            </a:ln>
            <a:effectLst/>
          </c:spPr>
          <c:invertIfNegative val="0"/>
          <c:cat>
            <c:strRef>
              <c:f>Sheet7!$A$5:$A$25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Sheet7!$C$5:$C$25</c:f>
              <c:numCache>
                <c:formatCode>General</c:formatCode>
                <c:ptCount val="20"/>
                <c:pt idx="0">
                  <c:v>90</c:v>
                </c:pt>
                <c:pt idx="1">
                  <c:v>295</c:v>
                </c:pt>
                <c:pt idx="2">
                  <c:v>93</c:v>
                </c:pt>
                <c:pt idx="3">
                  <c:v>246</c:v>
                </c:pt>
                <c:pt idx="4">
                  <c:v>187</c:v>
                </c:pt>
                <c:pt idx="5">
                  <c:v>318</c:v>
                </c:pt>
                <c:pt idx="6">
                  <c:v>598</c:v>
                </c:pt>
                <c:pt idx="7">
                  <c:v>35</c:v>
                </c:pt>
                <c:pt idx="8">
                  <c:v>168</c:v>
                </c:pt>
                <c:pt idx="9">
                  <c:v>76</c:v>
                </c:pt>
                <c:pt idx="10">
                  <c:v>118</c:v>
                </c:pt>
                <c:pt idx="11">
                  <c:v>275</c:v>
                </c:pt>
                <c:pt idx="12">
                  <c:v>293</c:v>
                </c:pt>
                <c:pt idx="13">
                  <c:v>393</c:v>
                </c:pt>
                <c:pt idx="14">
                  <c:v>202</c:v>
                </c:pt>
                <c:pt idx="15">
                  <c:v>69</c:v>
                </c:pt>
                <c:pt idx="16">
                  <c:v>306</c:v>
                </c:pt>
                <c:pt idx="17">
                  <c:v>103</c:v>
                </c:pt>
                <c:pt idx="18">
                  <c:v>713</c:v>
                </c:pt>
                <c:pt idx="19">
                  <c:v>94</c:v>
                </c:pt>
              </c:numCache>
            </c:numRef>
          </c:val>
          <c:extLst>
            <c:ext xmlns:c16="http://schemas.microsoft.com/office/drawing/2014/chart" uri="{C3380CC4-5D6E-409C-BE32-E72D297353CC}">
              <c16:uniqueId val="{00000015-199D-4E95-B928-BFE61B9ED203}"/>
            </c:ext>
          </c:extLst>
        </c:ser>
        <c:ser>
          <c:idx val="2"/>
          <c:order val="2"/>
          <c:tx>
            <c:strRef>
              <c:f>Sheet7!$D$3:$D$4</c:f>
              <c:strCache>
                <c:ptCount val="1"/>
                <c:pt idx="0">
                  <c:v>Unkown</c:v>
                </c:pt>
              </c:strCache>
            </c:strRef>
          </c:tx>
          <c:spPr>
            <a:solidFill>
              <a:schemeClr val="accent3"/>
            </a:solidFill>
            <a:ln>
              <a:noFill/>
            </a:ln>
            <a:effectLst/>
          </c:spPr>
          <c:invertIfNegative val="0"/>
          <c:cat>
            <c:strRef>
              <c:f>Sheet7!$A$5:$A$25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Sheet7!$D$5:$D$25</c:f>
              <c:numCache>
                <c:formatCode>General</c:formatCode>
                <c:ptCount val="20"/>
                <c:pt idx="0">
                  <c:v>14</c:v>
                </c:pt>
                <c:pt idx="1">
                  <c:v>30</c:v>
                </c:pt>
                <c:pt idx="2">
                  <c:v>43</c:v>
                </c:pt>
                <c:pt idx="3">
                  <c:v>38</c:v>
                </c:pt>
                <c:pt idx="4">
                  <c:v>29</c:v>
                </c:pt>
                <c:pt idx="5">
                  <c:v>24</c:v>
                </c:pt>
                <c:pt idx="6">
                  <c:v>232</c:v>
                </c:pt>
                <c:pt idx="7">
                  <c:v>4</c:v>
                </c:pt>
                <c:pt idx="8">
                  <c:v>41</c:v>
                </c:pt>
                <c:pt idx="9">
                  <c:v>3</c:v>
                </c:pt>
                <c:pt idx="10">
                  <c:v>25</c:v>
                </c:pt>
                <c:pt idx="11">
                  <c:v>32</c:v>
                </c:pt>
                <c:pt idx="12">
                  <c:v>24</c:v>
                </c:pt>
                <c:pt idx="13">
                  <c:v>166</c:v>
                </c:pt>
                <c:pt idx="14">
                  <c:v>53</c:v>
                </c:pt>
                <c:pt idx="15">
                  <c:v>27</c:v>
                </c:pt>
                <c:pt idx="16">
                  <c:v>38</c:v>
                </c:pt>
                <c:pt idx="17">
                  <c:v>10</c:v>
                </c:pt>
                <c:pt idx="18">
                  <c:v>188</c:v>
                </c:pt>
                <c:pt idx="19">
                  <c:v>32</c:v>
                </c:pt>
              </c:numCache>
            </c:numRef>
          </c:val>
          <c:extLst>
            <c:ext xmlns:c16="http://schemas.microsoft.com/office/drawing/2014/chart" uri="{C3380CC4-5D6E-409C-BE32-E72D297353CC}">
              <c16:uniqueId val="{00000016-199D-4E95-B928-BFE61B9ED203}"/>
            </c:ext>
          </c:extLst>
        </c:ser>
        <c:dLbls>
          <c:showLegendKey val="0"/>
          <c:showVal val="0"/>
          <c:showCatName val="0"/>
          <c:showSerName val="0"/>
          <c:showPercent val="0"/>
          <c:showBubbleSize val="0"/>
        </c:dLbls>
        <c:gapWidth val="219"/>
        <c:overlap val="100"/>
        <c:axId val="467362767"/>
        <c:axId val="467363247"/>
      </c:barChart>
      <c:catAx>
        <c:axId val="46736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63247"/>
        <c:crosses val="autoZero"/>
        <c:auto val="1"/>
        <c:lblAlgn val="ctr"/>
        <c:lblOffset val="100"/>
        <c:noMultiLvlLbl val="0"/>
      </c:catAx>
      <c:valAx>
        <c:axId val="467363247"/>
        <c:scaling>
          <c:orientation val="minMax"/>
          <c:max val="18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62767"/>
        <c:crosses val="autoZero"/>
        <c:crossBetween val="between"/>
        <c:majorUnit val="2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8092738407699"/>
          <c:y val="0.15175707203266259"/>
          <c:w val="0.5402537182852144"/>
          <c:h val="0.65890128317293672"/>
        </c:manualLayout>
      </c:layout>
      <c:lineChart>
        <c:grouping val="standard"/>
        <c:varyColors val="0"/>
        <c:ser>
          <c:idx val="1"/>
          <c:order val="1"/>
          <c:tx>
            <c:strRef>
              <c:f>Sheet8!$C$3</c:f>
              <c:strCache>
                <c:ptCount val="1"/>
                <c:pt idx="0">
                  <c:v>Sum of Amount</c:v>
                </c:pt>
              </c:strCache>
            </c:strRef>
          </c:tx>
          <c:spPr>
            <a:ln w="28575" cap="rnd">
              <a:solidFill>
                <a:schemeClr val="accent2"/>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Sheet8!$C$4:$C$17</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2-3070-41FE-AE42-5480C64E8246}"/>
            </c:ext>
          </c:extLst>
        </c:ser>
        <c:dLbls>
          <c:showLegendKey val="0"/>
          <c:showVal val="0"/>
          <c:showCatName val="0"/>
          <c:showSerName val="0"/>
          <c:showPercent val="0"/>
          <c:showBubbleSize val="0"/>
        </c:dLbls>
        <c:marker val="1"/>
        <c:smooth val="0"/>
        <c:axId val="891020319"/>
        <c:axId val="586777199"/>
      </c:lineChart>
      <c:lineChart>
        <c:grouping val="standard"/>
        <c:varyColors val="0"/>
        <c:ser>
          <c:idx val="0"/>
          <c:order val="0"/>
          <c:tx>
            <c:strRef>
              <c:f>Sheet8!$B$3</c:f>
              <c:strCache>
                <c:ptCount val="1"/>
                <c:pt idx="0">
                  <c:v>Sum of Quantity</c:v>
                </c:pt>
              </c:strCache>
            </c:strRef>
          </c:tx>
          <c:spPr>
            <a:ln w="28575" cap="rnd">
              <a:solidFill>
                <a:schemeClr val="accent1"/>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Sheet8!$B$4:$B$17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070-41FE-AE42-5480C64E8246}"/>
            </c:ext>
          </c:extLst>
        </c:ser>
        <c:dLbls>
          <c:showLegendKey val="0"/>
          <c:showVal val="0"/>
          <c:showCatName val="0"/>
          <c:showSerName val="0"/>
          <c:showPercent val="0"/>
          <c:showBubbleSize val="0"/>
        </c:dLbls>
        <c:marker val="1"/>
        <c:smooth val="0"/>
        <c:axId val="974903967"/>
        <c:axId val="974902527"/>
      </c:lineChart>
      <c:catAx>
        <c:axId val="8910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7199"/>
        <c:crosses val="autoZero"/>
        <c:auto val="1"/>
        <c:lblAlgn val="ctr"/>
        <c:lblOffset val="100"/>
        <c:noMultiLvlLbl val="0"/>
      </c:catAx>
      <c:valAx>
        <c:axId val="586777199"/>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1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20319"/>
        <c:crosses val="autoZero"/>
        <c:crossBetween val="between"/>
        <c:majorUnit val="20000"/>
        <c:minorUnit val="500"/>
      </c:valAx>
      <c:valAx>
        <c:axId val="974902527"/>
        <c:scaling>
          <c:orientation val="minMax"/>
          <c:max val="150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03967"/>
        <c:crosses val="max"/>
        <c:crossBetween val="between"/>
        <c:majorUnit val="500"/>
        <c:minorUnit val="100"/>
      </c:valAx>
      <c:catAx>
        <c:axId val="974903967"/>
        <c:scaling>
          <c:orientation val="minMax"/>
        </c:scaling>
        <c:delete val="1"/>
        <c:axPos val="b"/>
        <c:numFmt formatCode="General" sourceLinked="1"/>
        <c:majorTickMark val="out"/>
        <c:minorTickMark val="none"/>
        <c:tickLblPos val="nextTo"/>
        <c:crossAx val="974902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[ecommerce-blank.xlsx]Sheet9!PivotTable13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Sheet9!$B$4:$B$19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4-F0C0-4F5C-A3B8-7E1FEE0CC416}"/>
            </c:ext>
          </c:extLst>
        </c:ser>
        <c:dLbls>
          <c:showLegendKey val="0"/>
          <c:showVal val="0"/>
          <c:showCatName val="0"/>
          <c:showSerName val="0"/>
          <c:showPercent val="0"/>
          <c:showBubbleSize val="0"/>
        </c:dLbls>
        <c:gapWidth val="219"/>
        <c:overlap val="100"/>
        <c:axId val="707351103"/>
        <c:axId val="707351583"/>
      </c:barChart>
      <c:catAx>
        <c:axId val="7073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51583"/>
        <c:crosses val="autoZero"/>
        <c:auto val="1"/>
        <c:lblAlgn val="ctr"/>
        <c:lblOffset val="100"/>
        <c:noMultiLvlLbl val="0"/>
      </c:catAx>
      <c:valAx>
        <c:axId val="707351583"/>
        <c:scaling>
          <c:orientation val="minMax"/>
          <c:max val="1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51103"/>
        <c:crosses val="autoZero"/>
        <c:crossBetween val="between"/>
        <c:maj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[ecommerce-blank.xlsx]Sheet10!PivotTable14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1</c:v>
                </c:pt>
              </c:strCache>
            </c:strRef>
          </c:tx>
          <c:spPr>
            <a:solidFill>
              <a:schemeClr val="accent1"/>
            </a:solidFill>
            <a:ln>
              <a:noFill/>
            </a:ln>
            <a:effectLst/>
          </c:spPr>
          <c:invertIfNegative val="0"/>
          <c:cat>
            <c:strRef>
              <c:f>Sheet10!$A$5:$A$8</c:f>
              <c:strCache>
                <c:ptCount val="3"/>
                <c:pt idx="0">
                  <c:v>Jan</c:v>
                </c:pt>
                <c:pt idx="1">
                  <c:v>Feb</c:v>
                </c:pt>
                <c:pt idx="2">
                  <c:v>Mar</c:v>
                </c:pt>
              </c:strCache>
            </c:strRef>
          </c:cat>
          <c:val>
            <c:numRef>
              <c:f>Sheet10!$B$5:$B$8</c:f>
              <c:numCache>
                <c:formatCode>General</c:formatCode>
                <c:ptCount val="3"/>
                <c:pt idx="0">
                  <c:v>7</c:v>
                </c:pt>
                <c:pt idx="1">
                  <c:v>8</c:v>
                </c:pt>
                <c:pt idx="2">
                  <c:v>6</c:v>
                </c:pt>
              </c:numCache>
            </c:numRef>
          </c:val>
          <c:extLst>
            <c:ext xmlns:c16="http://schemas.microsoft.com/office/drawing/2014/chart" uri="{C3380CC4-5D6E-409C-BE32-E72D297353CC}">
              <c16:uniqueId val="{00000000-36B4-4AD2-B6F2-A3C51F1996F5}"/>
            </c:ext>
          </c:extLst>
        </c:ser>
        <c:ser>
          <c:idx val="1"/>
          <c:order val="1"/>
          <c:tx>
            <c:strRef>
              <c:f>Sheet10!$C$3:$C$4</c:f>
              <c:strCache>
                <c:ptCount val="1"/>
                <c:pt idx="0">
                  <c:v>2</c:v>
                </c:pt>
              </c:strCache>
            </c:strRef>
          </c:tx>
          <c:spPr>
            <a:solidFill>
              <a:schemeClr val="accent2"/>
            </a:solidFill>
            <a:ln>
              <a:noFill/>
            </a:ln>
            <a:effectLst/>
          </c:spPr>
          <c:invertIfNegative val="0"/>
          <c:cat>
            <c:strRef>
              <c:f>Sheet10!$A$5:$A$8</c:f>
              <c:strCache>
                <c:ptCount val="3"/>
                <c:pt idx="0">
                  <c:v>Jan</c:v>
                </c:pt>
                <c:pt idx="1">
                  <c:v>Feb</c:v>
                </c:pt>
                <c:pt idx="2">
                  <c:v>Mar</c:v>
                </c:pt>
              </c:strCache>
            </c:strRef>
          </c:cat>
          <c:val>
            <c:numRef>
              <c:f>Sheet10!$C$5:$C$8</c:f>
              <c:numCache>
                <c:formatCode>General</c:formatCode>
                <c:ptCount val="3"/>
                <c:pt idx="0">
                  <c:v>37</c:v>
                </c:pt>
                <c:pt idx="1">
                  <c:v>51</c:v>
                </c:pt>
                <c:pt idx="2">
                  <c:v>39</c:v>
                </c:pt>
              </c:numCache>
            </c:numRef>
          </c:val>
          <c:extLst>
            <c:ext xmlns:c16="http://schemas.microsoft.com/office/drawing/2014/chart" uri="{C3380CC4-5D6E-409C-BE32-E72D297353CC}">
              <c16:uniqueId val="{00000003-36B4-4AD2-B6F2-A3C51F1996F5}"/>
            </c:ext>
          </c:extLst>
        </c:ser>
        <c:ser>
          <c:idx val="2"/>
          <c:order val="2"/>
          <c:tx>
            <c:strRef>
              <c:f>Sheet10!$D$3:$D$4</c:f>
              <c:strCache>
                <c:ptCount val="1"/>
                <c:pt idx="0">
                  <c:v>3</c:v>
                </c:pt>
              </c:strCache>
            </c:strRef>
          </c:tx>
          <c:spPr>
            <a:solidFill>
              <a:schemeClr val="accent3"/>
            </a:solidFill>
            <a:ln>
              <a:noFill/>
            </a:ln>
            <a:effectLst/>
          </c:spPr>
          <c:invertIfNegative val="0"/>
          <c:cat>
            <c:strRef>
              <c:f>Sheet10!$A$5:$A$8</c:f>
              <c:strCache>
                <c:ptCount val="3"/>
                <c:pt idx="0">
                  <c:v>Jan</c:v>
                </c:pt>
                <c:pt idx="1">
                  <c:v>Feb</c:v>
                </c:pt>
                <c:pt idx="2">
                  <c:v>Mar</c:v>
                </c:pt>
              </c:strCache>
            </c:strRef>
          </c:cat>
          <c:val>
            <c:numRef>
              <c:f>Sheet10!$D$5:$D$8</c:f>
              <c:numCache>
                <c:formatCode>General</c:formatCode>
                <c:ptCount val="3"/>
                <c:pt idx="0">
                  <c:v>150</c:v>
                </c:pt>
                <c:pt idx="1">
                  <c:v>182</c:v>
                </c:pt>
                <c:pt idx="2">
                  <c:v>163</c:v>
                </c:pt>
              </c:numCache>
            </c:numRef>
          </c:val>
          <c:extLst>
            <c:ext xmlns:c16="http://schemas.microsoft.com/office/drawing/2014/chart" uri="{C3380CC4-5D6E-409C-BE32-E72D297353CC}">
              <c16:uniqueId val="{00000004-36B4-4AD2-B6F2-A3C51F1996F5}"/>
            </c:ext>
          </c:extLst>
        </c:ser>
        <c:ser>
          <c:idx val="3"/>
          <c:order val="3"/>
          <c:tx>
            <c:strRef>
              <c:f>Sheet10!$E$3:$E$4</c:f>
              <c:strCache>
                <c:ptCount val="1"/>
                <c:pt idx="0">
                  <c:v>4</c:v>
                </c:pt>
              </c:strCache>
            </c:strRef>
          </c:tx>
          <c:spPr>
            <a:solidFill>
              <a:schemeClr val="accent4"/>
            </a:solidFill>
            <a:ln>
              <a:noFill/>
            </a:ln>
            <a:effectLst/>
          </c:spPr>
          <c:invertIfNegative val="0"/>
          <c:cat>
            <c:strRef>
              <c:f>Sheet10!$A$5:$A$8</c:f>
              <c:strCache>
                <c:ptCount val="3"/>
                <c:pt idx="0">
                  <c:v>Jan</c:v>
                </c:pt>
                <c:pt idx="1">
                  <c:v>Feb</c:v>
                </c:pt>
                <c:pt idx="2">
                  <c:v>Mar</c:v>
                </c:pt>
              </c:strCache>
            </c:strRef>
          </c:cat>
          <c:val>
            <c:numRef>
              <c:f>Sheet10!$E$5:$E$8</c:f>
              <c:numCache>
                <c:formatCode>General</c:formatCode>
                <c:ptCount val="3"/>
                <c:pt idx="0">
                  <c:v>312</c:v>
                </c:pt>
                <c:pt idx="1">
                  <c:v>373</c:v>
                </c:pt>
                <c:pt idx="2">
                  <c:v>351</c:v>
                </c:pt>
              </c:numCache>
            </c:numRef>
          </c:val>
          <c:extLst>
            <c:ext xmlns:c16="http://schemas.microsoft.com/office/drawing/2014/chart" uri="{C3380CC4-5D6E-409C-BE32-E72D297353CC}">
              <c16:uniqueId val="{00000005-36B4-4AD2-B6F2-A3C51F1996F5}"/>
            </c:ext>
          </c:extLst>
        </c:ser>
        <c:ser>
          <c:idx val="4"/>
          <c:order val="4"/>
          <c:tx>
            <c:strRef>
              <c:f>Sheet10!$F$3:$F$4</c:f>
              <c:strCache>
                <c:ptCount val="1"/>
                <c:pt idx="0">
                  <c:v>5</c:v>
                </c:pt>
              </c:strCache>
            </c:strRef>
          </c:tx>
          <c:spPr>
            <a:solidFill>
              <a:schemeClr val="accent5"/>
            </a:solidFill>
            <a:ln>
              <a:noFill/>
            </a:ln>
            <a:effectLst/>
          </c:spPr>
          <c:invertIfNegative val="0"/>
          <c:cat>
            <c:strRef>
              <c:f>Sheet10!$A$5:$A$8</c:f>
              <c:strCache>
                <c:ptCount val="3"/>
                <c:pt idx="0">
                  <c:v>Jan</c:v>
                </c:pt>
                <c:pt idx="1">
                  <c:v>Feb</c:v>
                </c:pt>
                <c:pt idx="2">
                  <c:v>Mar</c:v>
                </c:pt>
              </c:strCache>
            </c:strRef>
          </c:cat>
          <c:val>
            <c:numRef>
              <c:f>Sheet10!$F$5:$F$8</c:f>
              <c:numCache>
                <c:formatCode>General</c:formatCode>
                <c:ptCount val="3"/>
                <c:pt idx="0">
                  <c:v>224</c:v>
                </c:pt>
                <c:pt idx="1">
                  <c:v>247</c:v>
                </c:pt>
                <c:pt idx="2">
                  <c:v>250</c:v>
                </c:pt>
              </c:numCache>
            </c:numRef>
          </c:val>
          <c:extLst>
            <c:ext xmlns:c16="http://schemas.microsoft.com/office/drawing/2014/chart" uri="{C3380CC4-5D6E-409C-BE32-E72D297353CC}">
              <c16:uniqueId val="{00000006-36B4-4AD2-B6F2-A3C51F1996F5}"/>
            </c:ext>
          </c:extLst>
        </c:ser>
        <c:dLbls>
          <c:showLegendKey val="0"/>
          <c:showVal val="0"/>
          <c:showCatName val="0"/>
          <c:showSerName val="0"/>
          <c:showPercent val="0"/>
          <c:showBubbleSize val="0"/>
        </c:dLbls>
        <c:gapWidth val="219"/>
        <c:overlap val="-27"/>
        <c:axId val="809695423"/>
        <c:axId val="809685343"/>
      </c:barChart>
      <c:catAx>
        <c:axId val="8096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85343"/>
        <c:crosses val="autoZero"/>
        <c:auto val="1"/>
        <c:lblAlgn val="ctr"/>
        <c:lblOffset val="100"/>
        <c:noMultiLvlLbl val="0"/>
      </c:catAx>
      <c:valAx>
        <c:axId val="80968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[ecommerce-blank.xlsx]Sheet17!PivotTable19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Sheet17!$B$1</c:f>
              <c:strCache>
                <c:ptCount val="1"/>
                <c:pt idx="0">
                  <c:v>Total</c:v>
                </c:pt>
              </c:strCache>
            </c:strRef>
          </c:tx>
          <c:spPr>
            <a:solidFill>
              <a:schemeClr val="accent1"/>
            </a:solidFill>
            <a:ln>
              <a:noFill/>
            </a:ln>
            <a:effectLst/>
          </c:spPr>
          <c:invertIfNegative val="0"/>
          <c:cat>
            <c:strRef>
              <c:f>Sheet17!$A$2:$A$60</c:f>
              <c:strCache>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Cache>
            </c:strRef>
          </c:cat>
          <c:val>
            <c:numRef>
              <c:f>Sheet17!$B$2:$B$60</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extLst>
            <c:ext xmlns:c16="http://schemas.microsoft.com/office/drawing/2014/chart" uri="{C3380CC4-5D6E-409C-BE32-E72D297353CC}">
              <c16:uniqueId val="{00000000-AFD0-4F7E-90D7-23952C7B10F3}"/>
            </c:ext>
          </c:extLst>
        </c:ser>
        <c:dLbls>
          <c:showLegendKey val="0"/>
          <c:showVal val="0"/>
          <c:showCatName val="0"/>
          <c:showSerName val="0"/>
          <c:showPercent val="0"/>
          <c:showBubbleSize val="0"/>
        </c:dLbls>
        <c:gapWidth val="219"/>
        <c:overlap val="-27"/>
        <c:axId val="891023199"/>
        <c:axId val="891026559"/>
      </c:barChart>
      <c:catAx>
        <c:axId val="8910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26559"/>
        <c:crosses val="autoZero"/>
        <c:auto val="1"/>
        <c:lblAlgn val="ctr"/>
        <c:lblOffset val="100"/>
        <c:noMultiLvlLbl val="0"/>
      </c:catAx>
      <c:valAx>
        <c:axId val="89102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2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[ecommerce-blank.xlsx]Pivots!Trend Analysis</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Sum of Quantity</c:v>
                </c:pt>
              </c:strCache>
            </c:strRef>
          </c:tx>
          <c:spPr>
            <a:ln w="28575" cap="rnd">
              <a:solidFill>
                <a:schemeClr val="accent1"/>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Pivots!$B$14:$B$27</c:f>
              <c:numCache>
                <c:formatCode>General</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0"/>
          <c:extLst>
            <c:ext xmlns:c16="http://schemas.microsoft.com/office/drawing/2014/chart" uri="{C3380CC4-5D6E-409C-BE32-E72D297353CC}">
              <c16:uniqueId val="{00000000-640A-43D3-9D67-D7692102417B}"/>
            </c:ext>
          </c:extLst>
        </c:ser>
        <c:dLbls>
          <c:showLegendKey val="0"/>
          <c:showVal val="0"/>
          <c:showCatName val="0"/>
          <c:showSerName val="0"/>
          <c:showPercent val="0"/>
          <c:showBubbleSize val="0"/>
        </c:dLbls>
        <c:marker val="1"/>
        <c:smooth val="0"/>
        <c:axId val="803919168"/>
        <c:axId val="803904288"/>
      </c:lineChart>
      <c:lineChart>
        <c:grouping val="standard"/>
        <c:varyColors val="0"/>
        <c:ser>
          <c:idx val="1"/>
          <c:order val="1"/>
          <c:tx>
            <c:strRef>
              <c:f>Pivots!$C$13</c:f>
              <c:strCache>
                <c:ptCount val="1"/>
                <c:pt idx="0">
                  <c:v>Sum of Amount</c:v>
                </c:pt>
              </c:strCache>
            </c:strRef>
          </c:tx>
          <c:spPr>
            <a:ln w="28575" cap="rnd">
              <a:solidFill>
                <a:schemeClr val="accent2"/>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Pivots!$C$14:$C$27</c:f>
              <c:numCache>
                <c:formatCode>"$"#,##0.00;[Red]"$"#,##0.00</c:formatCode>
                <c:ptCount val="13"/>
                <c:pt idx="0">
                  <c:v>11642</c:v>
                </c:pt>
                <c:pt idx="1">
                  <c:v>17823.7</c:v>
                </c:pt>
                <c:pt idx="2">
                  <c:v>12389.9</c:v>
                </c:pt>
                <c:pt idx="3">
                  <c:v>15169.500000000004</c:v>
                </c:pt>
                <c:pt idx="4">
                  <c:v>15742.1</c:v>
                </c:pt>
                <c:pt idx="5">
                  <c:v>22307.799999999996</c:v>
                </c:pt>
                <c:pt idx="6">
                  <c:v>17440.099999999995</c:v>
                </c:pt>
                <c:pt idx="7">
                  <c:v>18864.500000000004</c:v>
                </c:pt>
                <c:pt idx="8">
                  <c:v>25660.899999999994</c:v>
                </c:pt>
                <c:pt idx="9">
                  <c:v>21198.799999999999</c:v>
                </c:pt>
                <c:pt idx="10">
                  <c:v>14714.600000000008</c:v>
                </c:pt>
                <c:pt idx="11">
                  <c:v>17761.400000000001</c:v>
                </c:pt>
                <c:pt idx="12">
                  <c:v>18678.2</c:v>
                </c:pt>
              </c:numCache>
            </c:numRef>
          </c:val>
          <c:smooth val="0"/>
          <c:extLst>
            <c:ext xmlns:c16="http://schemas.microsoft.com/office/drawing/2014/chart" uri="{C3380CC4-5D6E-409C-BE32-E72D297353CC}">
              <c16:uniqueId val="{00000001-640A-43D3-9D67-D7692102417B}"/>
            </c:ext>
          </c:extLst>
        </c:ser>
        <c:dLbls>
          <c:showLegendKey val="0"/>
          <c:showVal val="0"/>
          <c:showCatName val="0"/>
          <c:showSerName val="0"/>
          <c:showPercent val="0"/>
          <c:showBubbleSize val="0"/>
        </c:dLbls>
        <c:marker val="1"/>
        <c:smooth val="0"/>
        <c:axId val="803893728"/>
        <c:axId val="803886528"/>
      </c:lineChart>
      <c:catAx>
        <c:axId val="80391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04288"/>
        <c:crosses val="autoZero"/>
        <c:auto val="1"/>
        <c:lblAlgn val="ctr"/>
        <c:lblOffset val="100"/>
        <c:noMultiLvlLbl val="0"/>
      </c:catAx>
      <c:valAx>
        <c:axId val="80390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19168"/>
        <c:crosses val="autoZero"/>
        <c:crossBetween val="between"/>
      </c:valAx>
      <c:valAx>
        <c:axId val="803886528"/>
        <c:scaling>
          <c:orientation val="minMax"/>
        </c:scaling>
        <c:delete val="0"/>
        <c:axPos val="r"/>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93728"/>
        <c:crosses val="max"/>
        <c:crossBetween val="between"/>
      </c:valAx>
      <c:catAx>
        <c:axId val="803893728"/>
        <c:scaling>
          <c:orientation val="minMax"/>
        </c:scaling>
        <c:delete val="1"/>
        <c:axPos val="b"/>
        <c:numFmt formatCode="General" sourceLinked="1"/>
        <c:majorTickMark val="out"/>
        <c:minorTickMark val="none"/>
        <c:tickLblPos val="nextTo"/>
        <c:crossAx val="803886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[ecommerce-blank.xlsx]Pivots!How many they buy?</c:name>
    <c:fmtId val="1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Pivots!$A$32:$A$39</c:f>
              <c:strCache>
                <c:ptCount val="7"/>
                <c:pt idx="0">
                  <c:v>1</c:v>
                </c:pt>
                <c:pt idx="1">
                  <c:v>2</c:v>
                </c:pt>
                <c:pt idx="2">
                  <c:v>3</c:v>
                </c:pt>
                <c:pt idx="3">
                  <c:v>4</c:v>
                </c:pt>
                <c:pt idx="4">
                  <c:v>5</c:v>
                </c:pt>
                <c:pt idx="5">
                  <c:v>6-10</c:v>
                </c:pt>
                <c:pt idx="6">
                  <c:v>More than 10</c:v>
                </c:pt>
              </c:strCache>
            </c:strRef>
          </c:cat>
          <c:val>
            <c:numRef>
              <c:f>Pivots!$B$32:$B$39</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A3E8-45BF-B62B-F5A44F134F35}"/>
            </c:ext>
          </c:extLst>
        </c:ser>
        <c:dLbls>
          <c:showLegendKey val="0"/>
          <c:showVal val="0"/>
          <c:showCatName val="0"/>
          <c:showSerName val="0"/>
          <c:showPercent val="0"/>
          <c:showBubbleSize val="0"/>
        </c:dLbls>
        <c:gapWidth val="164"/>
        <c:overlap val="-22"/>
        <c:axId val="632297728"/>
        <c:axId val="803894688"/>
      </c:barChart>
      <c:catAx>
        <c:axId val="6322977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94688"/>
        <c:crosses val="autoZero"/>
        <c:auto val="1"/>
        <c:lblAlgn val="ctr"/>
        <c:lblOffset val="100"/>
        <c:noMultiLvlLbl val="0"/>
      </c:catAx>
      <c:valAx>
        <c:axId val="80389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[ecommerce-blank.xlsx]Pivots!Popular Product</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Pivots!$B$48:$B$49</c:f>
              <c:strCache>
                <c:ptCount val="1"/>
                <c:pt idx="0">
                  <c:v>Female</c:v>
                </c:pt>
              </c:strCache>
            </c:strRef>
          </c:tx>
          <c:spPr>
            <a:solidFill>
              <a:schemeClr val="accent1"/>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Pivots!$B$50:$B$70</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9E88-4D26-94C1-64E166E1F855}"/>
            </c:ext>
          </c:extLst>
        </c:ser>
        <c:ser>
          <c:idx val="1"/>
          <c:order val="1"/>
          <c:tx>
            <c:strRef>
              <c:f>Pivots!$C$48:$C$49</c:f>
              <c:strCache>
                <c:ptCount val="1"/>
                <c:pt idx="0">
                  <c:v>Male</c:v>
                </c:pt>
              </c:strCache>
            </c:strRef>
          </c:tx>
          <c:spPr>
            <a:solidFill>
              <a:schemeClr val="accent2"/>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Pivots!$C$50:$C$70</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1-9E88-4D26-94C1-64E166E1F855}"/>
            </c:ext>
          </c:extLst>
        </c:ser>
        <c:ser>
          <c:idx val="2"/>
          <c:order val="2"/>
          <c:tx>
            <c:strRef>
              <c:f>Pivots!$D$48:$D$49</c:f>
              <c:strCache>
                <c:ptCount val="1"/>
                <c:pt idx="0">
                  <c:v>Unkown</c:v>
                </c:pt>
              </c:strCache>
            </c:strRef>
          </c:tx>
          <c:spPr>
            <a:solidFill>
              <a:schemeClr val="accent3"/>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Pivots!$D$50:$D$70</c:f>
              <c:numCache>
                <c:formatCode>General</c:formatCode>
                <c:ptCount val="20"/>
                <c:pt idx="0">
                  <c:v>79</c:v>
                </c:pt>
                <c:pt idx="1">
                  <c:v>59</c:v>
                </c:pt>
                <c:pt idx="2">
                  <c:v>97</c:v>
                </c:pt>
                <c:pt idx="3">
                  <c:v>12</c:v>
                </c:pt>
                <c:pt idx="4">
                  <c:v>11</c:v>
                </c:pt>
                <c:pt idx="5">
                  <c:v>1</c:v>
                </c:pt>
                <c:pt idx="6">
                  <c:v>16</c:v>
                </c:pt>
                <c:pt idx="8">
                  <c:v>15</c:v>
                </c:pt>
                <c:pt idx="9">
                  <c:v>11</c:v>
                </c:pt>
                <c:pt idx="10">
                  <c:v>3</c:v>
                </c:pt>
                <c:pt idx="11">
                  <c:v>12</c:v>
                </c:pt>
                <c:pt idx="12">
                  <c:v>6</c:v>
                </c:pt>
                <c:pt idx="13">
                  <c:v>18</c:v>
                </c:pt>
                <c:pt idx="14">
                  <c:v>3</c:v>
                </c:pt>
                <c:pt idx="15">
                  <c:v>4</c:v>
                </c:pt>
                <c:pt idx="17">
                  <c:v>14</c:v>
                </c:pt>
                <c:pt idx="18">
                  <c:v>12</c:v>
                </c:pt>
                <c:pt idx="19">
                  <c:v>2</c:v>
                </c:pt>
              </c:numCache>
            </c:numRef>
          </c:val>
          <c:extLst>
            <c:ext xmlns:c16="http://schemas.microsoft.com/office/drawing/2014/chart" uri="{C3380CC4-5D6E-409C-BE32-E72D297353CC}">
              <c16:uniqueId val="{00000002-9E88-4D26-94C1-64E166E1F855}"/>
            </c:ext>
          </c:extLst>
        </c:ser>
        <c:dLbls>
          <c:showLegendKey val="0"/>
          <c:showVal val="0"/>
          <c:showCatName val="0"/>
          <c:showSerName val="0"/>
          <c:showPercent val="0"/>
          <c:showBubbleSize val="0"/>
        </c:dLbls>
        <c:gapWidth val="150"/>
        <c:overlap val="100"/>
        <c:axId val="769250399"/>
        <c:axId val="769250879"/>
      </c:barChart>
      <c:catAx>
        <c:axId val="7692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50879"/>
        <c:crosses val="autoZero"/>
        <c:auto val="1"/>
        <c:lblAlgn val="ctr"/>
        <c:lblOffset val="100"/>
        <c:noMultiLvlLbl val="0"/>
      </c:catAx>
      <c:valAx>
        <c:axId val="76925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[ecommerce-blank.xlsx]Pivots!PivotTable4</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Pivots!$B$73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A2-46AB-9097-316F3B37A1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A2-46AB-9097-316F3B37A1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A2-46AB-9097-316F3B37A122}"/>
              </c:ext>
            </c:extLst>
          </c:dPt>
          <c:cat>
            <c:strRef>
              <c:f>Pivots!$A$74:$A$77</c:f>
              <c:strCache>
                <c:ptCount val="3"/>
                <c:pt idx="0">
                  <c:v>Female</c:v>
                </c:pt>
                <c:pt idx="1">
                  <c:v>Male</c:v>
                </c:pt>
                <c:pt idx="2">
                  <c:v>Unkown</c:v>
                </c:pt>
              </c:strCache>
            </c:strRef>
          </c:cat>
          <c:val>
            <c:numRef>
              <c:f>Pivots!$B$74:$B$77</c:f>
              <c:numCache>
                <c:formatCode>General</c:formatCode>
                <c:ptCount val="3"/>
                <c:pt idx="0">
                  <c:v>2240</c:v>
                </c:pt>
                <c:pt idx="1">
                  <c:v>1605</c:v>
                </c:pt>
                <c:pt idx="2">
                  <c:v>375</c:v>
                </c:pt>
              </c:numCache>
            </c:numRef>
          </c:val>
          <c:extLst>
            <c:ext xmlns:c16="http://schemas.microsoft.com/office/drawing/2014/chart" uri="{C3380CC4-5D6E-409C-BE32-E72D297353CC}">
              <c16:uniqueId val="{00000000-FD1E-47B8-9658-76722E0AAC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[ecommerce-blank.xlsx]Pivots!How long to deliver</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Pivots!$B$149</c:f>
              <c:strCache>
                <c:ptCount val="1"/>
                <c:pt idx="0">
                  <c:v>Total</c:v>
                </c:pt>
              </c:strCache>
            </c:strRef>
          </c:tx>
          <c:spPr>
            <a:solidFill>
              <a:schemeClr val="accent1"/>
            </a:solidFill>
            <a:ln>
              <a:noFill/>
            </a:ln>
            <a:effectLst/>
          </c:spPr>
          <c:invertIfNegative val="0"/>
          <c:cat>
            <c:strRef>
              <c:f>Pivots!$A$150:$A$165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Pivots!$B$150:$B$165</c:f>
              <c:numCache>
                <c:formatCode>General</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D901-44EE-9AEF-8DBC46DB106A}"/>
            </c:ext>
          </c:extLst>
        </c:ser>
        <c:dLbls>
          <c:showLegendKey val="0"/>
          <c:showVal val="0"/>
          <c:showCatName val="0"/>
          <c:showSerName val="0"/>
          <c:showPercent val="0"/>
          <c:showBubbleSize val="0"/>
        </c:dLbls>
        <c:gapWidth val="219"/>
        <c:overlap val="-27"/>
        <c:axId val="1356247423"/>
        <c:axId val="1356248863"/>
      </c:barChart>
      <c:catAx>
        <c:axId val="135624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8863"/>
        <c:crosses val="autoZero"/>
        <c:auto val="1"/>
        <c:lblAlgn val="ctr"/>
        <c:lblOffset val="100"/>
        <c:noMultiLvlLbl val="0"/>
      </c:catAx>
      <c:valAx>
        <c:axId val="135624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[ecommerce-blank.xlsx]Pivots!Rating</c:name>
    <c:fmtId val="4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79983253627044E-2"/>
          <c:y val="0.13803130723767443"/>
          <c:w val="0.74508756957527544"/>
          <c:h val="0.64663154515757471"/>
        </c:manualLayout>
      </c:layout>
      <c:barChart>
        <c:barDir val="col"/>
        <c:grouping val="clustered"/>
        <c:varyColors val="0"/>
        <c:ser>
          <c:idx val="0"/>
          <c:order val="0"/>
          <c:tx>
            <c:strRef>
              <c:f>Pivots!$B$169:$B$170</c:f>
              <c:strCache>
                <c:ptCount val="1"/>
                <c:pt idx="0">
                  <c:v>1</c:v>
                </c:pt>
              </c:strCache>
            </c:strRef>
          </c:tx>
          <c:spPr>
            <a:solidFill>
              <a:schemeClr val="accent1"/>
            </a:solidFill>
            <a:ln>
              <a:noFill/>
            </a:ln>
            <a:effectLst/>
          </c:spPr>
          <c:invertIfNegative val="0"/>
          <c:cat>
            <c:strRef>
              <c:f>Pivots!$A$171:$A$174</c:f>
              <c:strCache>
                <c:ptCount val="3"/>
                <c:pt idx="0">
                  <c:v>Jan</c:v>
                </c:pt>
                <c:pt idx="1">
                  <c:v>Feb</c:v>
                </c:pt>
                <c:pt idx="2">
                  <c:v>Mar</c:v>
                </c:pt>
              </c:strCache>
            </c:strRef>
          </c:cat>
          <c:val>
            <c:numRef>
              <c:f>Pivots!$B$171:$B$174</c:f>
              <c:numCache>
                <c:formatCode>General</c:formatCode>
                <c:ptCount val="3"/>
                <c:pt idx="0">
                  <c:v>2</c:v>
                </c:pt>
                <c:pt idx="1">
                  <c:v>5</c:v>
                </c:pt>
                <c:pt idx="2">
                  <c:v>2</c:v>
                </c:pt>
              </c:numCache>
            </c:numRef>
          </c:val>
          <c:extLst>
            <c:ext xmlns:c16="http://schemas.microsoft.com/office/drawing/2014/chart" uri="{C3380CC4-5D6E-409C-BE32-E72D297353CC}">
              <c16:uniqueId val="{00000000-B984-4D1E-BC5F-39FDBB50E994}"/>
            </c:ext>
          </c:extLst>
        </c:ser>
        <c:ser>
          <c:idx val="1"/>
          <c:order val="1"/>
          <c:tx>
            <c:strRef>
              <c:f>Pivots!$C$169:$C$170</c:f>
              <c:strCache>
                <c:ptCount val="1"/>
                <c:pt idx="0">
                  <c:v>2</c:v>
                </c:pt>
              </c:strCache>
            </c:strRef>
          </c:tx>
          <c:spPr>
            <a:solidFill>
              <a:schemeClr val="accent2"/>
            </a:solidFill>
            <a:ln>
              <a:noFill/>
            </a:ln>
            <a:effectLst/>
          </c:spPr>
          <c:invertIfNegative val="0"/>
          <c:cat>
            <c:strRef>
              <c:f>Pivots!$A$171:$A$174</c:f>
              <c:strCache>
                <c:ptCount val="3"/>
                <c:pt idx="0">
                  <c:v>Jan</c:v>
                </c:pt>
                <c:pt idx="1">
                  <c:v>Feb</c:v>
                </c:pt>
                <c:pt idx="2">
                  <c:v>Mar</c:v>
                </c:pt>
              </c:strCache>
            </c:strRef>
          </c:cat>
          <c:val>
            <c:numRef>
              <c:f>Pivots!$C$171:$C$174</c:f>
              <c:numCache>
                <c:formatCode>General</c:formatCode>
                <c:ptCount val="3"/>
                <c:pt idx="0">
                  <c:v>11</c:v>
                </c:pt>
                <c:pt idx="1">
                  <c:v>11</c:v>
                </c:pt>
                <c:pt idx="2">
                  <c:v>10</c:v>
                </c:pt>
              </c:numCache>
            </c:numRef>
          </c:val>
          <c:extLst>
            <c:ext xmlns:c16="http://schemas.microsoft.com/office/drawing/2014/chart" uri="{C3380CC4-5D6E-409C-BE32-E72D297353CC}">
              <c16:uniqueId val="{00000001-B984-4D1E-BC5F-39FDBB50E994}"/>
            </c:ext>
          </c:extLst>
        </c:ser>
        <c:ser>
          <c:idx val="2"/>
          <c:order val="2"/>
          <c:tx>
            <c:strRef>
              <c:f>Pivots!$D$169:$D$170</c:f>
              <c:strCache>
                <c:ptCount val="1"/>
                <c:pt idx="0">
                  <c:v>3</c:v>
                </c:pt>
              </c:strCache>
            </c:strRef>
          </c:tx>
          <c:spPr>
            <a:solidFill>
              <a:schemeClr val="accent3"/>
            </a:solidFill>
            <a:ln>
              <a:noFill/>
            </a:ln>
            <a:effectLst/>
          </c:spPr>
          <c:invertIfNegative val="0"/>
          <c:cat>
            <c:strRef>
              <c:f>Pivots!$A$171:$A$174</c:f>
              <c:strCache>
                <c:ptCount val="3"/>
                <c:pt idx="0">
                  <c:v>Jan</c:v>
                </c:pt>
                <c:pt idx="1">
                  <c:v>Feb</c:v>
                </c:pt>
                <c:pt idx="2">
                  <c:v>Mar</c:v>
                </c:pt>
              </c:strCache>
            </c:strRef>
          </c:cat>
          <c:val>
            <c:numRef>
              <c:f>Pivots!$D$171:$D$174</c:f>
              <c:numCache>
                <c:formatCode>General</c:formatCode>
                <c:ptCount val="3"/>
                <c:pt idx="0">
                  <c:v>39</c:v>
                </c:pt>
                <c:pt idx="1">
                  <c:v>70</c:v>
                </c:pt>
                <c:pt idx="2">
                  <c:v>64</c:v>
                </c:pt>
              </c:numCache>
            </c:numRef>
          </c:val>
          <c:extLst>
            <c:ext xmlns:c16="http://schemas.microsoft.com/office/drawing/2014/chart" uri="{C3380CC4-5D6E-409C-BE32-E72D297353CC}">
              <c16:uniqueId val="{00000002-B984-4D1E-BC5F-39FDBB50E994}"/>
            </c:ext>
          </c:extLst>
        </c:ser>
        <c:ser>
          <c:idx val="3"/>
          <c:order val="3"/>
          <c:tx>
            <c:strRef>
              <c:f>Pivots!$E$169:$E$170</c:f>
              <c:strCache>
                <c:ptCount val="1"/>
                <c:pt idx="0">
                  <c:v>4</c:v>
                </c:pt>
              </c:strCache>
            </c:strRef>
          </c:tx>
          <c:spPr>
            <a:solidFill>
              <a:schemeClr val="accent4"/>
            </a:solidFill>
            <a:ln>
              <a:noFill/>
            </a:ln>
            <a:effectLst/>
          </c:spPr>
          <c:invertIfNegative val="0"/>
          <c:cat>
            <c:strRef>
              <c:f>Pivots!$A$171:$A$174</c:f>
              <c:strCache>
                <c:ptCount val="3"/>
                <c:pt idx="0">
                  <c:v>Jan</c:v>
                </c:pt>
                <c:pt idx="1">
                  <c:v>Feb</c:v>
                </c:pt>
                <c:pt idx="2">
                  <c:v>Mar</c:v>
                </c:pt>
              </c:strCache>
            </c:strRef>
          </c:cat>
          <c:val>
            <c:numRef>
              <c:f>Pivots!$E$171:$E$174</c:f>
              <c:numCache>
                <c:formatCode>General</c:formatCode>
                <c:ptCount val="3"/>
                <c:pt idx="0">
                  <c:v>113</c:v>
                </c:pt>
                <c:pt idx="1">
                  <c:v>150</c:v>
                </c:pt>
                <c:pt idx="2">
                  <c:v>130</c:v>
                </c:pt>
              </c:numCache>
            </c:numRef>
          </c:val>
          <c:extLst>
            <c:ext xmlns:c16="http://schemas.microsoft.com/office/drawing/2014/chart" uri="{C3380CC4-5D6E-409C-BE32-E72D297353CC}">
              <c16:uniqueId val="{00000003-B984-4D1E-BC5F-39FDBB50E994}"/>
            </c:ext>
          </c:extLst>
        </c:ser>
        <c:ser>
          <c:idx val="4"/>
          <c:order val="4"/>
          <c:tx>
            <c:strRef>
              <c:f>Pivots!$F$169:$F$170</c:f>
              <c:strCache>
                <c:ptCount val="1"/>
                <c:pt idx="0">
                  <c:v>5</c:v>
                </c:pt>
              </c:strCache>
            </c:strRef>
          </c:tx>
          <c:spPr>
            <a:solidFill>
              <a:schemeClr val="accent5"/>
            </a:solidFill>
            <a:ln>
              <a:noFill/>
            </a:ln>
            <a:effectLst/>
          </c:spPr>
          <c:invertIfNegative val="0"/>
          <c:cat>
            <c:strRef>
              <c:f>Pivots!$A$171:$A$174</c:f>
              <c:strCache>
                <c:ptCount val="3"/>
                <c:pt idx="0">
                  <c:v>Jan</c:v>
                </c:pt>
                <c:pt idx="1">
                  <c:v>Feb</c:v>
                </c:pt>
                <c:pt idx="2">
                  <c:v>Mar</c:v>
                </c:pt>
              </c:strCache>
            </c:strRef>
          </c:cat>
          <c:val>
            <c:numRef>
              <c:f>Pivots!$F$171:$F$174</c:f>
              <c:numCache>
                <c:formatCode>General</c:formatCode>
                <c:ptCount val="3"/>
                <c:pt idx="0">
                  <c:v>92</c:v>
                </c:pt>
                <c:pt idx="1">
                  <c:v>84</c:v>
                </c:pt>
                <c:pt idx="2">
                  <c:v>85</c:v>
                </c:pt>
              </c:numCache>
            </c:numRef>
          </c:val>
          <c:extLst>
            <c:ext xmlns:c16="http://schemas.microsoft.com/office/drawing/2014/chart" uri="{C3380CC4-5D6E-409C-BE32-E72D297353CC}">
              <c16:uniqueId val="{00000006-B984-4D1E-BC5F-39FDBB50E994}"/>
            </c:ext>
          </c:extLst>
        </c:ser>
        <c:dLbls>
          <c:showLegendKey val="0"/>
          <c:showVal val="0"/>
          <c:showCatName val="0"/>
          <c:showSerName val="0"/>
          <c:showPercent val="0"/>
          <c:showBubbleSize val="0"/>
        </c:dLbls>
        <c:gapWidth val="219"/>
        <c:overlap val="-27"/>
        <c:axId val="1356244543"/>
        <c:axId val="1452565103"/>
      </c:barChart>
      <c:catAx>
        <c:axId val="13562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565103"/>
        <c:crosses val="autoZero"/>
        <c:auto val="1"/>
        <c:lblAlgn val="ctr"/>
        <c:lblOffset val="100"/>
        <c:noMultiLvlLbl val="0"/>
      </c:catAx>
      <c:valAx>
        <c:axId val="14525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4543"/>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b="0">
                <a:latin typeface="+mj-lt"/>
                <a:cs typeface="Arial" panose="020B0604020202020204" pitchFamily="34" charset="0"/>
              </a:rPr>
              <a:t>How Many They Bought</a:t>
            </a:r>
          </a:p>
        </c:rich>
      </c:tx>
      <c:layout>
        <c:manualLayout>
          <c:xMode val="edge"/>
          <c:yMode val="edge"/>
          <c:x val="0.27745300196850392"/>
          <c:y val="7.9365079365079361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7"/>
              <c:pt idx="0">
                <c:v>1</c:v>
              </c:pt>
              <c:pt idx="1">
                <c:v>2</c:v>
              </c:pt>
              <c:pt idx="2">
                <c:v>3</c:v>
              </c:pt>
              <c:pt idx="3">
                <c:v>5</c:v>
              </c:pt>
              <c:pt idx="4">
                <c:v>4</c:v>
              </c:pt>
              <c:pt idx="5">
                <c:v>6-10</c:v>
              </c:pt>
              <c:pt idx="6">
                <c:v>More than 10</c:v>
              </c:pt>
            </c:strLit>
          </c:cat>
          <c:val>
            <c:numLit>
              <c:formatCode>General</c:formatCode>
              <c:ptCount val="7"/>
              <c:pt idx="0">
                <c:v>397</c:v>
              </c:pt>
              <c:pt idx="1">
                <c:v>540</c:v>
              </c:pt>
              <c:pt idx="2">
                <c:v>375</c:v>
              </c:pt>
              <c:pt idx="3">
                <c:v>195</c:v>
              </c:pt>
              <c:pt idx="4">
                <c:v>246</c:v>
              </c:pt>
              <c:pt idx="5">
                <c:v>414</c:v>
              </c:pt>
              <c:pt idx="6">
                <c:v>233</c:v>
              </c:pt>
            </c:numLit>
          </c:val>
          <c:extLst>
            <c:ext xmlns:c16="http://schemas.microsoft.com/office/drawing/2014/chart" uri="{C3380CC4-5D6E-409C-BE32-E72D297353CC}">
              <c16:uniqueId val="{00000000-CC1E-41C6-BDBB-74958EDB741D}"/>
            </c:ext>
          </c:extLst>
        </c:ser>
        <c:dLbls>
          <c:showLegendKey val="0"/>
          <c:showVal val="0"/>
          <c:showCatName val="0"/>
          <c:showSerName val="0"/>
          <c:showPercent val="0"/>
          <c:showBubbleSize val="0"/>
        </c:dLbls>
        <c:gapWidth val="164"/>
        <c:overlap val="-22"/>
        <c:axId val="697660735"/>
        <c:axId val="697666015"/>
      </c:barChart>
      <c:catAx>
        <c:axId val="6976607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66015"/>
        <c:crosses val="autoZero"/>
        <c:auto val="1"/>
        <c:lblAlgn val="ctr"/>
        <c:lblOffset val="100"/>
        <c:noMultiLvlLbl val="0"/>
      </c:catAx>
      <c:valAx>
        <c:axId val="69766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9203849518811"/>
          <c:y val="0.14249781277340332"/>
          <c:w val="0.5402537182852144"/>
          <c:h val="0.65890128317293672"/>
        </c:manualLayout>
      </c:layout>
      <c:lineChart>
        <c:grouping val="standard"/>
        <c:varyColors val="0"/>
        <c:ser>
          <c:idx val="1"/>
          <c:order val="1"/>
          <c:tx>
            <c:strRef>
              <c:f>Sheet8!$C$3</c:f>
              <c:strCache>
                <c:ptCount val="1"/>
                <c:pt idx="0">
                  <c:v>Sum of Amount</c:v>
                </c:pt>
              </c:strCache>
            </c:strRef>
          </c:tx>
          <c:spPr>
            <a:ln w="28575" cap="rnd">
              <a:solidFill>
                <a:schemeClr val="accent2"/>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Sheet8!$C$4:$C$17</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F4D5-4632-895F-FEEEF6ECF62E}"/>
            </c:ext>
          </c:extLst>
        </c:ser>
        <c:dLbls>
          <c:showLegendKey val="0"/>
          <c:showVal val="0"/>
          <c:showCatName val="0"/>
          <c:showSerName val="0"/>
          <c:showPercent val="0"/>
          <c:showBubbleSize val="0"/>
        </c:dLbls>
        <c:marker val="1"/>
        <c:smooth val="0"/>
        <c:axId val="891020319"/>
        <c:axId val="586777199"/>
      </c:lineChart>
      <c:lineChart>
        <c:grouping val="standard"/>
        <c:varyColors val="0"/>
        <c:ser>
          <c:idx val="0"/>
          <c:order val="0"/>
          <c:tx>
            <c:strRef>
              <c:f>Sheet8!$B$3</c:f>
              <c:strCache>
                <c:ptCount val="1"/>
                <c:pt idx="0">
                  <c:v>Sum of Quantity</c:v>
                </c:pt>
              </c:strCache>
            </c:strRef>
          </c:tx>
          <c:spPr>
            <a:ln w="28575" cap="rnd">
              <a:solidFill>
                <a:schemeClr val="accent1"/>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Sheet8!$B$4:$B$17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F4D5-4632-895F-FEEEF6ECF62E}"/>
            </c:ext>
          </c:extLst>
        </c:ser>
        <c:dLbls>
          <c:showLegendKey val="0"/>
          <c:showVal val="0"/>
          <c:showCatName val="0"/>
          <c:showSerName val="0"/>
          <c:showPercent val="0"/>
          <c:showBubbleSize val="0"/>
        </c:dLbls>
        <c:marker val="1"/>
        <c:smooth val="0"/>
        <c:axId val="974903967"/>
        <c:axId val="974902527"/>
      </c:lineChart>
      <c:catAx>
        <c:axId val="8910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7199"/>
        <c:crosses val="autoZero"/>
        <c:auto val="1"/>
        <c:lblAlgn val="ctr"/>
        <c:lblOffset val="100"/>
        <c:noMultiLvlLbl val="0"/>
      </c:catAx>
      <c:valAx>
        <c:axId val="586777199"/>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1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20319"/>
        <c:crosses val="autoZero"/>
        <c:crossBetween val="between"/>
        <c:majorUnit val="20000"/>
        <c:minorUnit val="500"/>
      </c:valAx>
      <c:valAx>
        <c:axId val="974902527"/>
        <c:scaling>
          <c:orientation val="minMax"/>
          <c:max val="150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03967"/>
        <c:crosses val="max"/>
        <c:crossBetween val="between"/>
        <c:majorUnit val="500"/>
        <c:minorUnit val="100"/>
      </c:valAx>
      <c:catAx>
        <c:axId val="974903967"/>
        <c:scaling>
          <c:orientation val="minMax"/>
        </c:scaling>
        <c:delete val="1"/>
        <c:axPos val="b"/>
        <c:numFmt formatCode="General" sourceLinked="1"/>
        <c:majorTickMark val="out"/>
        <c:minorTickMark val="none"/>
        <c:tickLblPos val="nextTo"/>
        <c:crossAx val="974902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[ecommerce-blank.xlsx]Sheet9!PivotTable13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44869391326081E-2"/>
          <c:y val="0.15319444444444447"/>
          <c:w val="0.73447344081989752"/>
          <c:h val="0.72125801983085447"/>
        </c:manualLayout>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Sheet9!$B$4:$B$19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AE5-4527-9B40-28D8AFF5EAE0}"/>
            </c:ext>
          </c:extLst>
        </c:ser>
        <c:dLbls>
          <c:showLegendKey val="0"/>
          <c:showVal val="0"/>
          <c:showCatName val="0"/>
          <c:showSerName val="0"/>
          <c:showPercent val="0"/>
          <c:showBubbleSize val="0"/>
        </c:dLbls>
        <c:gapWidth val="219"/>
        <c:overlap val="100"/>
        <c:axId val="707351103"/>
        <c:axId val="707351583"/>
      </c:barChart>
      <c:catAx>
        <c:axId val="7073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51583"/>
        <c:crosses val="autoZero"/>
        <c:auto val="1"/>
        <c:lblAlgn val="ctr"/>
        <c:lblOffset val="100"/>
        <c:noMultiLvlLbl val="0"/>
      </c:catAx>
      <c:valAx>
        <c:axId val="70735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5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[ecommerce-blank.xlsx]Pivots!Rating</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79983253627044E-2"/>
          <c:y val="0.13803130723767443"/>
          <c:w val="0.74508756957527544"/>
          <c:h val="0.64663154515757471"/>
        </c:manualLayout>
      </c:layout>
      <c:barChart>
        <c:barDir val="col"/>
        <c:grouping val="clustered"/>
        <c:varyColors val="0"/>
        <c:ser>
          <c:idx val="0"/>
          <c:order val="0"/>
          <c:tx>
            <c:strRef>
              <c:f>Pivots!$B$169:$B$170</c:f>
              <c:strCache>
                <c:ptCount val="1"/>
                <c:pt idx="0">
                  <c:v>1</c:v>
                </c:pt>
              </c:strCache>
            </c:strRef>
          </c:tx>
          <c:spPr>
            <a:solidFill>
              <a:schemeClr val="accent1"/>
            </a:solidFill>
            <a:ln>
              <a:noFill/>
            </a:ln>
            <a:effectLst/>
          </c:spPr>
          <c:invertIfNegative val="0"/>
          <c:cat>
            <c:strRef>
              <c:f>Pivots!$A$171:$A$174</c:f>
              <c:strCache>
                <c:ptCount val="3"/>
                <c:pt idx="0">
                  <c:v>Jan</c:v>
                </c:pt>
                <c:pt idx="1">
                  <c:v>Feb</c:v>
                </c:pt>
                <c:pt idx="2">
                  <c:v>Mar</c:v>
                </c:pt>
              </c:strCache>
            </c:strRef>
          </c:cat>
          <c:val>
            <c:numRef>
              <c:f>Pivots!$B$171:$B$174</c:f>
              <c:numCache>
                <c:formatCode>General</c:formatCode>
                <c:ptCount val="3"/>
                <c:pt idx="0">
                  <c:v>2</c:v>
                </c:pt>
                <c:pt idx="1">
                  <c:v>5</c:v>
                </c:pt>
                <c:pt idx="2">
                  <c:v>2</c:v>
                </c:pt>
              </c:numCache>
            </c:numRef>
          </c:val>
          <c:extLst>
            <c:ext xmlns:c16="http://schemas.microsoft.com/office/drawing/2014/chart" uri="{C3380CC4-5D6E-409C-BE32-E72D297353CC}">
              <c16:uniqueId val="{00000000-01AC-4B68-8E45-356D79BE4971}"/>
            </c:ext>
          </c:extLst>
        </c:ser>
        <c:ser>
          <c:idx val="1"/>
          <c:order val="1"/>
          <c:tx>
            <c:strRef>
              <c:f>Pivots!$C$169:$C$170</c:f>
              <c:strCache>
                <c:ptCount val="1"/>
                <c:pt idx="0">
                  <c:v>2</c:v>
                </c:pt>
              </c:strCache>
            </c:strRef>
          </c:tx>
          <c:spPr>
            <a:solidFill>
              <a:schemeClr val="accent2"/>
            </a:solidFill>
            <a:ln>
              <a:noFill/>
            </a:ln>
            <a:effectLst/>
          </c:spPr>
          <c:invertIfNegative val="0"/>
          <c:cat>
            <c:strRef>
              <c:f>Pivots!$A$171:$A$174</c:f>
              <c:strCache>
                <c:ptCount val="3"/>
                <c:pt idx="0">
                  <c:v>Jan</c:v>
                </c:pt>
                <c:pt idx="1">
                  <c:v>Feb</c:v>
                </c:pt>
                <c:pt idx="2">
                  <c:v>Mar</c:v>
                </c:pt>
              </c:strCache>
            </c:strRef>
          </c:cat>
          <c:val>
            <c:numRef>
              <c:f>Pivots!$C$171:$C$174</c:f>
              <c:numCache>
                <c:formatCode>General</c:formatCode>
                <c:ptCount val="3"/>
                <c:pt idx="0">
                  <c:v>11</c:v>
                </c:pt>
                <c:pt idx="1">
                  <c:v>11</c:v>
                </c:pt>
                <c:pt idx="2">
                  <c:v>10</c:v>
                </c:pt>
              </c:numCache>
            </c:numRef>
          </c:val>
          <c:extLst>
            <c:ext xmlns:c16="http://schemas.microsoft.com/office/drawing/2014/chart" uri="{C3380CC4-5D6E-409C-BE32-E72D297353CC}">
              <c16:uniqueId val="{00000001-01AC-4B68-8E45-356D79BE4971}"/>
            </c:ext>
          </c:extLst>
        </c:ser>
        <c:ser>
          <c:idx val="2"/>
          <c:order val="2"/>
          <c:tx>
            <c:strRef>
              <c:f>Pivots!$D$169:$D$170</c:f>
              <c:strCache>
                <c:ptCount val="1"/>
                <c:pt idx="0">
                  <c:v>3</c:v>
                </c:pt>
              </c:strCache>
            </c:strRef>
          </c:tx>
          <c:spPr>
            <a:solidFill>
              <a:schemeClr val="accent3"/>
            </a:solidFill>
            <a:ln>
              <a:noFill/>
            </a:ln>
            <a:effectLst/>
          </c:spPr>
          <c:invertIfNegative val="0"/>
          <c:cat>
            <c:strRef>
              <c:f>Pivots!$A$171:$A$174</c:f>
              <c:strCache>
                <c:ptCount val="3"/>
                <c:pt idx="0">
                  <c:v>Jan</c:v>
                </c:pt>
                <c:pt idx="1">
                  <c:v>Feb</c:v>
                </c:pt>
                <c:pt idx="2">
                  <c:v>Mar</c:v>
                </c:pt>
              </c:strCache>
            </c:strRef>
          </c:cat>
          <c:val>
            <c:numRef>
              <c:f>Pivots!$D$171:$D$174</c:f>
              <c:numCache>
                <c:formatCode>General</c:formatCode>
                <c:ptCount val="3"/>
                <c:pt idx="0">
                  <c:v>39</c:v>
                </c:pt>
                <c:pt idx="1">
                  <c:v>70</c:v>
                </c:pt>
                <c:pt idx="2">
                  <c:v>64</c:v>
                </c:pt>
              </c:numCache>
            </c:numRef>
          </c:val>
          <c:extLst>
            <c:ext xmlns:c16="http://schemas.microsoft.com/office/drawing/2014/chart" uri="{C3380CC4-5D6E-409C-BE32-E72D297353CC}">
              <c16:uniqueId val="{00000002-01AC-4B68-8E45-356D79BE4971}"/>
            </c:ext>
          </c:extLst>
        </c:ser>
        <c:ser>
          <c:idx val="3"/>
          <c:order val="3"/>
          <c:tx>
            <c:strRef>
              <c:f>Pivots!$E$169:$E$170</c:f>
              <c:strCache>
                <c:ptCount val="1"/>
                <c:pt idx="0">
                  <c:v>4</c:v>
                </c:pt>
              </c:strCache>
            </c:strRef>
          </c:tx>
          <c:spPr>
            <a:solidFill>
              <a:schemeClr val="accent4"/>
            </a:solidFill>
            <a:ln>
              <a:noFill/>
            </a:ln>
            <a:effectLst/>
          </c:spPr>
          <c:invertIfNegative val="0"/>
          <c:cat>
            <c:strRef>
              <c:f>Pivots!$A$171:$A$174</c:f>
              <c:strCache>
                <c:ptCount val="3"/>
                <c:pt idx="0">
                  <c:v>Jan</c:v>
                </c:pt>
                <c:pt idx="1">
                  <c:v>Feb</c:v>
                </c:pt>
                <c:pt idx="2">
                  <c:v>Mar</c:v>
                </c:pt>
              </c:strCache>
            </c:strRef>
          </c:cat>
          <c:val>
            <c:numRef>
              <c:f>Pivots!$E$171:$E$174</c:f>
              <c:numCache>
                <c:formatCode>General</c:formatCode>
                <c:ptCount val="3"/>
                <c:pt idx="0">
                  <c:v>113</c:v>
                </c:pt>
                <c:pt idx="1">
                  <c:v>150</c:v>
                </c:pt>
                <c:pt idx="2">
                  <c:v>130</c:v>
                </c:pt>
              </c:numCache>
            </c:numRef>
          </c:val>
          <c:extLst>
            <c:ext xmlns:c16="http://schemas.microsoft.com/office/drawing/2014/chart" uri="{C3380CC4-5D6E-409C-BE32-E72D297353CC}">
              <c16:uniqueId val="{00000003-01AC-4B68-8E45-356D79BE4971}"/>
            </c:ext>
          </c:extLst>
        </c:ser>
        <c:ser>
          <c:idx val="4"/>
          <c:order val="4"/>
          <c:tx>
            <c:strRef>
              <c:f>Pivots!$F$169:$F$170</c:f>
              <c:strCache>
                <c:ptCount val="1"/>
                <c:pt idx="0">
                  <c:v>5</c:v>
                </c:pt>
              </c:strCache>
            </c:strRef>
          </c:tx>
          <c:spPr>
            <a:solidFill>
              <a:schemeClr val="accent5"/>
            </a:solidFill>
            <a:ln>
              <a:noFill/>
            </a:ln>
            <a:effectLst/>
          </c:spPr>
          <c:invertIfNegative val="0"/>
          <c:cat>
            <c:strRef>
              <c:f>Pivots!$A$171:$A$174</c:f>
              <c:strCache>
                <c:ptCount val="3"/>
                <c:pt idx="0">
                  <c:v>Jan</c:v>
                </c:pt>
                <c:pt idx="1">
                  <c:v>Feb</c:v>
                </c:pt>
                <c:pt idx="2">
                  <c:v>Mar</c:v>
                </c:pt>
              </c:strCache>
            </c:strRef>
          </c:cat>
          <c:val>
            <c:numRef>
              <c:f>Pivots!$F$171:$F$174</c:f>
              <c:numCache>
                <c:formatCode>General</c:formatCode>
                <c:ptCount val="3"/>
                <c:pt idx="0">
                  <c:v>92</c:v>
                </c:pt>
                <c:pt idx="1">
                  <c:v>84</c:v>
                </c:pt>
                <c:pt idx="2">
                  <c:v>85</c:v>
                </c:pt>
              </c:numCache>
            </c:numRef>
          </c:val>
          <c:extLst>
            <c:ext xmlns:c16="http://schemas.microsoft.com/office/drawing/2014/chart" uri="{C3380CC4-5D6E-409C-BE32-E72D297353CC}">
              <c16:uniqueId val="{00000004-01AC-4B68-8E45-356D79BE4971}"/>
            </c:ext>
          </c:extLst>
        </c:ser>
        <c:dLbls>
          <c:showLegendKey val="0"/>
          <c:showVal val="0"/>
          <c:showCatName val="0"/>
          <c:showSerName val="0"/>
          <c:showPercent val="0"/>
          <c:showBubbleSize val="0"/>
        </c:dLbls>
        <c:gapWidth val="219"/>
        <c:overlap val="-27"/>
        <c:axId val="1356244543"/>
        <c:axId val="1452565103"/>
      </c:barChart>
      <c:catAx>
        <c:axId val="13562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565103"/>
        <c:crosses val="autoZero"/>
        <c:auto val="1"/>
        <c:lblAlgn val="ctr"/>
        <c:lblOffset val="100"/>
        <c:noMultiLvlLbl val="0"/>
      </c:catAx>
      <c:valAx>
        <c:axId val="14525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4543"/>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870516185476"/>
          <c:y val="0.12860892388451445"/>
          <c:w val="0.62803871391076116"/>
          <c:h val="0.36227836103820354"/>
        </c:manualLayout>
      </c:layout>
      <c:barChart>
        <c:barDir val="col"/>
        <c:grouping val="clustered"/>
        <c:varyColors val="0"/>
        <c:ser>
          <c:idx val="0"/>
          <c:order val="0"/>
          <c:tx>
            <c:v>Sum of Quantity</c:v>
          </c:tx>
          <c:spPr>
            <a:solidFill>
              <a:schemeClr val="accent1"/>
            </a:solidFill>
            <a:ln>
              <a:noFill/>
            </a:ln>
            <a:effectLst/>
          </c:spPr>
          <c:invertIfNegative val="0"/>
          <c:cat>
            <c:strLit>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Lit>
          </c:cat>
          <c:val>
            <c:numLit>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Lit>
          </c:val>
          <c:extLst>
            <c:ext xmlns:c16="http://schemas.microsoft.com/office/drawing/2014/chart" uri="{C3380CC4-5D6E-409C-BE32-E72D297353CC}">
              <c16:uniqueId val="{00000000-46B3-4130-AF0A-9C354106D585}"/>
            </c:ext>
          </c:extLst>
        </c:ser>
        <c:ser>
          <c:idx val="1"/>
          <c:order val="1"/>
          <c:tx>
            <c:v>Sum of Amount</c:v>
          </c:tx>
          <c:spPr>
            <a:solidFill>
              <a:schemeClr val="accent2"/>
            </a:solidFill>
            <a:ln>
              <a:noFill/>
            </a:ln>
            <a:effectLst/>
          </c:spPr>
          <c:invertIfNegative val="0"/>
          <c:cat>
            <c:strLit>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Lit>
          </c:cat>
          <c:val>
            <c:numLit>
              <c:formatCode>General</c:formatCode>
              <c:ptCount val="58"/>
              <c:pt idx="0">
                <c:v>31884.999999999996</c:v>
              </c:pt>
              <c:pt idx="1">
                <c:v>10.9</c:v>
              </c:pt>
              <c:pt idx="2">
                <c:v>800.3</c:v>
              </c:pt>
              <c:pt idx="3">
                <c:v>1062.5999999999999</c:v>
              </c:pt>
              <c:pt idx="4">
                <c:v>326.20000000000005</c:v>
              </c:pt>
              <c:pt idx="5">
                <c:v>167.5</c:v>
              </c:pt>
              <c:pt idx="6">
                <c:v>16168.7</c:v>
              </c:pt>
              <c:pt idx="7">
                <c:v>322.40000000000003</c:v>
              </c:pt>
              <c:pt idx="8">
                <c:v>2092.8000000000002</c:v>
              </c:pt>
              <c:pt idx="9">
                <c:v>12662.500000000002</c:v>
              </c:pt>
              <c:pt idx="10">
                <c:v>343.2</c:v>
              </c:pt>
              <c:pt idx="11">
                <c:v>2188.2999999999997</c:v>
              </c:pt>
              <c:pt idx="12">
                <c:v>2661.5999999999995</c:v>
              </c:pt>
              <c:pt idx="13">
                <c:v>887.5</c:v>
              </c:pt>
              <c:pt idx="14">
                <c:v>11354.199999999993</c:v>
              </c:pt>
              <c:pt idx="15">
                <c:v>1558.4</c:v>
              </c:pt>
              <c:pt idx="16">
                <c:v>2223.9</c:v>
              </c:pt>
              <c:pt idx="17">
                <c:v>26.2</c:v>
              </c:pt>
              <c:pt idx="18">
                <c:v>215551.19999999981</c:v>
              </c:pt>
              <c:pt idx="19">
                <c:v>2687.3999999999996</c:v>
              </c:pt>
              <c:pt idx="20">
                <c:v>1463.3000000000002</c:v>
              </c:pt>
              <c:pt idx="21">
                <c:v>445.79999999999995</c:v>
              </c:pt>
              <c:pt idx="22">
                <c:v>273.59999999999997</c:v>
              </c:pt>
              <c:pt idx="23">
                <c:v>2690.4</c:v>
              </c:pt>
              <c:pt idx="24">
                <c:v>28.4</c:v>
              </c:pt>
              <c:pt idx="25">
                <c:v>204.8</c:v>
              </c:pt>
              <c:pt idx="26">
                <c:v>1607.8999999999999</c:v>
              </c:pt>
              <c:pt idx="27">
                <c:v>6444.9</c:v>
              </c:pt>
              <c:pt idx="28">
                <c:v>1809.3</c:v>
              </c:pt>
              <c:pt idx="29">
                <c:v>9680.399999999996</c:v>
              </c:pt>
              <c:pt idx="30">
                <c:v>9414.7999999999993</c:v>
              </c:pt>
              <c:pt idx="31">
                <c:v>206.1</c:v>
              </c:pt>
              <c:pt idx="32">
                <c:v>7691.3</c:v>
              </c:pt>
              <c:pt idx="33">
                <c:v>37784.900000000016</c:v>
              </c:pt>
              <c:pt idx="34">
                <c:v>1129.7</c:v>
              </c:pt>
              <c:pt idx="35">
                <c:v>20988.9</c:v>
              </c:pt>
              <c:pt idx="36">
                <c:v>98367.099999999977</c:v>
              </c:pt>
              <c:pt idx="37">
                <c:v>21911.9</c:v>
              </c:pt>
              <c:pt idx="38">
                <c:v>5441.2</c:v>
              </c:pt>
              <c:pt idx="39">
                <c:v>392.8</c:v>
              </c:pt>
              <c:pt idx="40">
                <c:v>16172.000000000005</c:v>
              </c:pt>
              <c:pt idx="41">
                <c:v>4334.9999999999991</c:v>
              </c:pt>
              <c:pt idx="42">
                <c:v>37449.000000000007</c:v>
              </c:pt>
              <c:pt idx="43">
                <c:v>2447.5</c:v>
              </c:pt>
              <c:pt idx="44">
                <c:v>3391.1</c:v>
              </c:pt>
              <c:pt idx="45">
                <c:v>30.8</c:v>
              </c:pt>
              <c:pt idx="46">
                <c:v>332.3</c:v>
              </c:pt>
              <c:pt idx="47">
                <c:v>3175.9999999999995</c:v>
              </c:pt>
              <c:pt idx="48">
                <c:v>20939.600000000002</c:v>
              </c:pt>
              <c:pt idx="49">
                <c:v>10185.899999999996</c:v>
              </c:pt>
              <c:pt idx="50">
                <c:v>958.7</c:v>
              </c:pt>
              <c:pt idx="51">
                <c:v>323</c:v>
              </c:pt>
              <c:pt idx="52">
                <c:v>167.70000000000002</c:v>
              </c:pt>
              <c:pt idx="53">
                <c:v>3978.5</c:v>
              </c:pt>
              <c:pt idx="54">
                <c:v>1405</c:v>
              </c:pt>
              <c:pt idx="55">
                <c:v>9869.0999999999985</c:v>
              </c:pt>
              <c:pt idx="56">
                <c:v>615.29999999999995</c:v>
              </c:pt>
              <c:pt idx="57">
                <c:v>285</c:v>
              </c:pt>
            </c:numLit>
          </c:val>
          <c:extLst>
            <c:ext xmlns:c16="http://schemas.microsoft.com/office/drawing/2014/chart" uri="{C3380CC4-5D6E-409C-BE32-E72D297353CC}">
              <c16:uniqueId val="{00000001-46B3-4130-AF0A-9C354106D585}"/>
            </c:ext>
          </c:extLst>
        </c:ser>
        <c:dLbls>
          <c:showLegendKey val="0"/>
          <c:showVal val="0"/>
          <c:showCatName val="0"/>
          <c:showSerName val="0"/>
          <c:showPercent val="0"/>
          <c:showBubbleSize val="0"/>
        </c:dLbls>
        <c:gapWidth val="278"/>
        <c:axId val="576156751"/>
        <c:axId val="869186847"/>
      </c:barChart>
      <c:catAx>
        <c:axId val="57615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86847"/>
        <c:crosses val="autoZero"/>
        <c:auto val="1"/>
        <c:lblAlgn val="ctr"/>
        <c:lblOffset val="100"/>
        <c:noMultiLvlLbl val="0"/>
      </c:catAx>
      <c:valAx>
        <c:axId val="8691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56751"/>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[ecommerce-blank.xlsx]Sheet8!PivotTable12</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8092738407699"/>
          <c:y val="0.15175707203266259"/>
          <c:w val="0.5402537182852144"/>
          <c:h val="0.65890128317293672"/>
        </c:manualLayout>
      </c:layout>
      <c:lineChart>
        <c:grouping val="standard"/>
        <c:varyColors val="0"/>
        <c:ser>
          <c:idx val="1"/>
          <c:order val="1"/>
          <c:tx>
            <c:strRef>
              <c:f>Sheet8!$C$3</c:f>
              <c:strCache>
                <c:ptCount val="1"/>
                <c:pt idx="0">
                  <c:v>Sum of Amount</c:v>
                </c:pt>
              </c:strCache>
            </c:strRef>
          </c:tx>
          <c:spPr>
            <a:ln w="28575" cap="rnd">
              <a:solidFill>
                <a:schemeClr val="accent2"/>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Sheet8!$C$4:$C$17</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4A6E-49B1-BFF8-96ABF6FD60A3}"/>
            </c:ext>
          </c:extLst>
        </c:ser>
        <c:dLbls>
          <c:showLegendKey val="0"/>
          <c:showVal val="0"/>
          <c:showCatName val="0"/>
          <c:showSerName val="0"/>
          <c:showPercent val="0"/>
          <c:showBubbleSize val="0"/>
        </c:dLbls>
        <c:marker val="1"/>
        <c:smooth val="0"/>
        <c:axId val="891020319"/>
        <c:axId val="586777199"/>
      </c:lineChart>
      <c:lineChart>
        <c:grouping val="standard"/>
        <c:varyColors val="0"/>
        <c:ser>
          <c:idx val="0"/>
          <c:order val="0"/>
          <c:tx>
            <c:strRef>
              <c:f>Sheet8!$B$3</c:f>
              <c:strCache>
                <c:ptCount val="1"/>
                <c:pt idx="0">
                  <c:v>Sum of Quantity</c:v>
                </c:pt>
              </c:strCache>
            </c:strRef>
          </c:tx>
          <c:spPr>
            <a:ln w="28575" cap="rnd">
              <a:solidFill>
                <a:schemeClr val="accent1"/>
              </a:solidFill>
              <a:round/>
            </a:ln>
            <a:effectLst/>
          </c:spPr>
          <c:marker>
            <c:symbol val="none"/>
          </c:marker>
          <c:cat>
            <c:strRef>
              <c:f>Sheet8!$A$4:$A$17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Sheet8!$B$4:$B$17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4A6E-49B1-BFF8-96ABF6FD60A3}"/>
            </c:ext>
          </c:extLst>
        </c:ser>
        <c:dLbls>
          <c:showLegendKey val="0"/>
          <c:showVal val="0"/>
          <c:showCatName val="0"/>
          <c:showSerName val="0"/>
          <c:showPercent val="0"/>
          <c:showBubbleSize val="0"/>
        </c:dLbls>
        <c:marker val="1"/>
        <c:smooth val="0"/>
        <c:axId val="974903967"/>
        <c:axId val="974902527"/>
      </c:lineChart>
      <c:catAx>
        <c:axId val="8910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7199"/>
        <c:crosses val="autoZero"/>
        <c:auto val="1"/>
        <c:lblAlgn val="ctr"/>
        <c:lblOffset val="100"/>
        <c:noMultiLvlLbl val="0"/>
      </c:catAx>
      <c:valAx>
        <c:axId val="586777199"/>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1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20319"/>
        <c:crosses val="autoZero"/>
        <c:crossBetween val="between"/>
        <c:majorUnit val="20000"/>
        <c:minorUnit val="500"/>
      </c:valAx>
      <c:valAx>
        <c:axId val="974902527"/>
        <c:scaling>
          <c:orientation val="minMax"/>
          <c:max val="150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03967"/>
        <c:crosses val="max"/>
        <c:crossBetween val="between"/>
        <c:majorUnit val="500"/>
        <c:minorUnit val="100"/>
      </c:valAx>
      <c:catAx>
        <c:axId val="974903967"/>
        <c:scaling>
          <c:orientation val="minMax"/>
        </c:scaling>
        <c:delete val="1"/>
        <c:axPos val="b"/>
        <c:numFmt formatCode="General" sourceLinked="1"/>
        <c:majorTickMark val="out"/>
        <c:minorTickMark val="none"/>
        <c:tickLblPos val="nextTo"/>
        <c:crossAx val="974902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[ecommerce-blank.xlsx]Pivots!Trend Analysis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Last</a:t>
            </a:r>
            <a:r>
              <a:rPr lang="en-US" sz="1200" b="1" baseline="0">
                <a:solidFill>
                  <a:schemeClr val="tx1">
                    <a:lumMod val="65000"/>
                    <a:lumOff val="35000"/>
                  </a:schemeClr>
                </a:solidFill>
              </a:rPr>
              <a:t> 13 Week Trend - Qty &amp; Amount</a:t>
            </a:r>
            <a:endParaRPr lang="en-US" sz="1200"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none"/>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Sum of Quantity</c:v>
                </c:pt>
              </c:strCache>
            </c:strRef>
          </c:tx>
          <c:spPr>
            <a:ln w="28575" cap="rnd">
              <a:solidFill>
                <a:schemeClr val="accent1"/>
              </a:solidFill>
              <a:round/>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Pivots!$B$14:$B$27</c:f>
              <c:numCache>
                <c:formatCode>General</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0"/>
          <c:extLst>
            <c:ext xmlns:c16="http://schemas.microsoft.com/office/drawing/2014/chart" uri="{C3380CC4-5D6E-409C-BE32-E72D297353CC}">
              <c16:uniqueId val="{00000000-6B5C-4F14-B050-ABD96BCED4BD}"/>
            </c:ext>
          </c:extLst>
        </c:ser>
        <c:dLbls>
          <c:showLegendKey val="0"/>
          <c:showVal val="0"/>
          <c:showCatName val="0"/>
          <c:showSerName val="0"/>
          <c:showPercent val="0"/>
          <c:showBubbleSize val="0"/>
        </c:dLbls>
        <c:marker val="1"/>
        <c:smooth val="0"/>
        <c:axId val="803919168"/>
        <c:axId val="803904288"/>
      </c:lineChart>
      <c:lineChart>
        <c:grouping val="standard"/>
        <c:varyColors val="0"/>
        <c:ser>
          <c:idx val="1"/>
          <c:order val="1"/>
          <c:tx>
            <c:strRef>
              <c:f>Pivots!$C$13</c:f>
              <c:strCache>
                <c:ptCount val="1"/>
                <c:pt idx="0">
                  <c:v>Sum of Amount</c:v>
                </c:pt>
              </c:strCache>
            </c:strRef>
          </c:tx>
          <c:spPr>
            <a:ln w="28575" cap="rnd">
              <a:solidFill>
                <a:schemeClr val="accent2"/>
              </a:solidFill>
              <a:round/>
              <a:headEnd type="none"/>
              <a:tailEnd type="none"/>
            </a:ln>
            <a:effectLst/>
          </c:spPr>
          <c:marker>
            <c:symbol val="none"/>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Pivots!$C$14:$C$27</c:f>
              <c:numCache>
                <c:formatCode>"$"#,##0.00;[Red]"$"#,##0.00</c:formatCode>
                <c:ptCount val="13"/>
                <c:pt idx="0">
                  <c:v>11642</c:v>
                </c:pt>
                <c:pt idx="1">
                  <c:v>17823.7</c:v>
                </c:pt>
                <c:pt idx="2">
                  <c:v>12389.9</c:v>
                </c:pt>
                <c:pt idx="3">
                  <c:v>15169.500000000004</c:v>
                </c:pt>
                <c:pt idx="4">
                  <c:v>15742.1</c:v>
                </c:pt>
                <c:pt idx="5">
                  <c:v>22307.799999999996</c:v>
                </c:pt>
                <c:pt idx="6">
                  <c:v>17440.099999999995</c:v>
                </c:pt>
                <c:pt idx="7">
                  <c:v>18864.500000000004</c:v>
                </c:pt>
                <c:pt idx="8">
                  <c:v>25660.899999999994</c:v>
                </c:pt>
                <c:pt idx="9">
                  <c:v>21198.799999999999</c:v>
                </c:pt>
                <c:pt idx="10">
                  <c:v>14714.600000000008</c:v>
                </c:pt>
                <c:pt idx="11">
                  <c:v>17761.400000000001</c:v>
                </c:pt>
                <c:pt idx="12">
                  <c:v>18678.2</c:v>
                </c:pt>
              </c:numCache>
            </c:numRef>
          </c:val>
          <c:smooth val="0"/>
          <c:extLst>
            <c:ext xmlns:c16="http://schemas.microsoft.com/office/drawing/2014/chart" uri="{C3380CC4-5D6E-409C-BE32-E72D297353CC}">
              <c16:uniqueId val="{00000001-6B5C-4F14-B050-ABD96BCED4BD}"/>
            </c:ext>
          </c:extLst>
        </c:ser>
        <c:dLbls>
          <c:showLegendKey val="0"/>
          <c:showVal val="0"/>
          <c:showCatName val="0"/>
          <c:showSerName val="0"/>
          <c:showPercent val="0"/>
          <c:showBubbleSize val="0"/>
        </c:dLbls>
        <c:marker val="1"/>
        <c:smooth val="0"/>
        <c:axId val="803893728"/>
        <c:axId val="803886528"/>
      </c:lineChart>
      <c:catAx>
        <c:axId val="80391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04288"/>
        <c:crosses val="autoZero"/>
        <c:auto val="1"/>
        <c:lblAlgn val="ctr"/>
        <c:lblOffset val="100"/>
        <c:noMultiLvlLbl val="0"/>
      </c:catAx>
      <c:valAx>
        <c:axId val="8039042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19168"/>
        <c:crosses val="autoZero"/>
        <c:crossBetween val="between"/>
        <c:majorUnit val="500"/>
      </c:valAx>
      <c:valAx>
        <c:axId val="803886528"/>
        <c:scaling>
          <c:orientation val="minMax"/>
        </c:scaling>
        <c:delete val="0"/>
        <c:axPos val="r"/>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93728"/>
        <c:crosses val="max"/>
        <c:crossBetween val="between"/>
        <c:majorUnit val="20000"/>
      </c:valAx>
      <c:catAx>
        <c:axId val="803893728"/>
        <c:scaling>
          <c:orientation val="minMax"/>
        </c:scaling>
        <c:delete val="1"/>
        <c:axPos val="b"/>
        <c:numFmt formatCode="General" sourceLinked="1"/>
        <c:majorTickMark val="out"/>
        <c:minorTickMark val="none"/>
        <c:tickLblPos val="nextTo"/>
        <c:crossAx val="803886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[ecommerce-blank.xlsx]Pivots!How many they buy?</c:name>
    <c:fmtId val="19"/>
  </c:pivotSource>
  <c:chart>
    <c:title>
      <c:tx>
        <c:rich>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r>
              <a:rPr lang="en-US" sz="1200"/>
              <a:t>How many they buy?</a:t>
            </a:r>
          </a:p>
        </c:rich>
      </c:tx>
      <c:overlay val="0"/>
      <c:spPr>
        <a:noFill/>
        <a:ln>
          <a:noFill/>
        </a:ln>
        <a:effectLst/>
      </c:spPr>
      <c:txPr>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Pivots!$A$32:$A$39</c:f>
              <c:strCache>
                <c:ptCount val="7"/>
                <c:pt idx="0">
                  <c:v>1</c:v>
                </c:pt>
                <c:pt idx="1">
                  <c:v>2</c:v>
                </c:pt>
                <c:pt idx="2">
                  <c:v>3</c:v>
                </c:pt>
                <c:pt idx="3">
                  <c:v>4</c:v>
                </c:pt>
                <c:pt idx="4">
                  <c:v>5</c:v>
                </c:pt>
                <c:pt idx="5">
                  <c:v>6-10</c:v>
                </c:pt>
                <c:pt idx="6">
                  <c:v>More than 10</c:v>
                </c:pt>
              </c:strCache>
            </c:strRef>
          </c:cat>
          <c:val>
            <c:numRef>
              <c:f>Pivots!$B$32:$B$39</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A60B-4C4E-AA4C-A752E7B696FC}"/>
            </c:ext>
          </c:extLst>
        </c:ser>
        <c:dLbls>
          <c:dLblPos val="outEnd"/>
          <c:showLegendKey val="0"/>
          <c:showVal val="1"/>
          <c:showCatName val="0"/>
          <c:showSerName val="0"/>
          <c:showPercent val="0"/>
          <c:showBubbleSize val="0"/>
        </c:dLbls>
        <c:gapWidth val="5"/>
        <c:overlap val="-19"/>
        <c:axId val="632297728"/>
        <c:axId val="803894688"/>
      </c:barChart>
      <c:catAx>
        <c:axId val="6322977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94688"/>
        <c:crosses val="autoZero"/>
        <c:auto val="1"/>
        <c:lblAlgn val="ctr"/>
        <c:lblOffset val="100"/>
        <c:noMultiLvlLbl val="0"/>
      </c:catAx>
      <c:valAx>
        <c:axId val="80389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[ecommerce-blank.xlsx]Pivots!Popular Product</c:name>
    <c:fmtId val="30"/>
  </c:pivotSource>
  <c:chart>
    <c:title>
      <c:tx>
        <c:rich>
          <a:bodyPr rot="0" spcFirstLastPara="1" vertOverflow="ellipsis" vert="horz" wrap="square" anchor="t"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Which</a:t>
            </a:r>
            <a:r>
              <a:rPr lang="en-US" sz="1200" b="1" baseline="0">
                <a:solidFill>
                  <a:schemeClr val="tx1">
                    <a:lumMod val="65000"/>
                    <a:lumOff val="35000"/>
                  </a:schemeClr>
                </a:solidFill>
              </a:rPr>
              <a:t> product are popular? Breakdown by the gender</a:t>
            </a:r>
            <a:endParaRPr lang="en-US" sz="1200" b="1">
              <a:solidFill>
                <a:schemeClr val="tx1">
                  <a:lumMod val="65000"/>
                  <a:lumOff val="35000"/>
                </a:schemeClr>
              </a:solidFill>
            </a:endParaRPr>
          </a:p>
        </c:rich>
      </c:tx>
      <c:layout>
        <c:manualLayout>
          <c:xMode val="edge"/>
          <c:yMode val="edge"/>
          <c:x val="0.12410100594981101"/>
          <c:y val="2.0671831260561758E-2"/>
        </c:manualLayout>
      </c:layout>
      <c:overlay val="0"/>
      <c:spPr>
        <a:noFill/>
        <a:ln>
          <a:noFill/>
        </a:ln>
        <a:effectLst/>
      </c:spPr>
      <c:txPr>
        <a:bodyPr rot="0" spcFirstLastPara="1" vertOverflow="ellipsis" vert="horz" wrap="square" anchor="t"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41648539911202E-2"/>
          <c:y val="0.26487658129735231"/>
          <c:w val="0.65783536069969828"/>
          <c:h val="0.68768407365764816"/>
        </c:manualLayout>
      </c:layout>
      <c:barChart>
        <c:barDir val="bar"/>
        <c:grouping val="stacked"/>
        <c:varyColors val="0"/>
        <c:ser>
          <c:idx val="0"/>
          <c:order val="0"/>
          <c:tx>
            <c:strRef>
              <c:f>Pivots!$B$48:$B$49</c:f>
              <c:strCache>
                <c:ptCount val="1"/>
                <c:pt idx="0">
                  <c:v>Female</c:v>
                </c:pt>
              </c:strCache>
            </c:strRef>
          </c:tx>
          <c:spPr>
            <a:solidFill>
              <a:schemeClr val="accent1"/>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Pivots!$B$50:$B$70</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1183-4EC2-AF68-46D5D79ADFF4}"/>
            </c:ext>
          </c:extLst>
        </c:ser>
        <c:ser>
          <c:idx val="1"/>
          <c:order val="1"/>
          <c:tx>
            <c:strRef>
              <c:f>Pivots!$C$48:$C$49</c:f>
              <c:strCache>
                <c:ptCount val="1"/>
                <c:pt idx="0">
                  <c:v>Male</c:v>
                </c:pt>
              </c:strCache>
            </c:strRef>
          </c:tx>
          <c:spPr>
            <a:solidFill>
              <a:schemeClr val="accent2"/>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Pivots!$C$50:$C$70</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1-1183-4EC2-AF68-46D5D79ADFF4}"/>
            </c:ext>
          </c:extLst>
        </c:ser>
        <c:ser>
          <c:idx val="2"/>
          <c:order val="2"/>
          <c:tx>
            <c:strRef>
              <c:f>Pivots!$D$48:$D$49</c:f>
              <c:strCache>
                <c:ptCount val="1"/>
                <c:pt idx="0">
                  <c:v>Unkown</c:v>
                </c:pt>
              </c:strCache>
            </c:strRef>
          </c:tx>
          <c:spPr>
            <a:solidFill>
              <a:schemeClr val="accent3"/>
            </a:solidFill>
            <a:ln>
              <a:noFill/>
            </a:ln>
            <a:effectLst/>
          </c:spPr>
          <c:invertIfNegative val="0"/>
          <c:cat>
            <c:strRef>
              <c:f>Pivots!$A$50:$A$70</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Pivots!$D$50:$D$70</c:f>
              <c:numCache>
                <c:formatCode>General</c:formatCode>
                <c:ptCount val="20"/>
                <c:pt idx="0">
                  <c:v>79</c:v>
                </c:pt>
                <c:pt idx="1">
                  <c:v>59</c:v>
                </c:pt>
                <c:pt idx="2">
                  <c:v>97</c:v>
                </c:pt>
                <c:pt idx="3">
                  <c:v>12</c:v>
                </c:pt>
                <c:pt idx="4">
                  <c:v>11</c:v>
                </c:pt>
                <c:pt idx="5">
                  <c:v>1</c:v>
                </c:pt>
                <c:pt idx="6">
                  <c:v>16</c:v>
                </c:pt>
                <c:pt idx="8">
                  <c:v>15</c:v>
                </c:pt>
                <c:pt idx="9">
                  <c:v>11</c:v>
                </c:pt>
                <c:pt idx="10">
                  <c:v>3</c:v>
                </c:pt>
                <c:pt idx="11">
                  <c:v>12</c:v>
                </c:pt>
                <c:pt idx="12">
                  <c:v>6</c:v>
                </c:pt>
                <c:pt idx="13">
                  <c:v>18</c:v>
                </c:pt>
                <c:pt idx="14">
                  <c:v>3</c:v>
                </c:pt>
                <c:pt idx="15">
                  <c:v>4</c:v>
                </c:pt>
                <c:pt idx="17">
                  <c:v>14</c:v>
                </c:pt>
                <c:pt idx="18">
                  <c:v>12</c:v>
                </c:pt>
                <c:pt idx="19">
                  <c:v>2</c:v>
                </c:pt>
              </c:numCache>
            </c:numRef>
          </c:val>
          <c:extLst>
            <c:ext xmlns:c16="http://schemas.microsoft.com/office/drawing/2014/chart" uri="{C3380CC4-5D6E-409C-BE32-E72D297353CC}">
              <c16:uniqueId val="{00000002-1183-4EC2-AF68-46D5D79ADFF4}"/>
            </c:ext>
          </c:extLst>
        </c:ser>
        <c:dLbls>
          <c:showLegendKey val="0"/>
          <c:showVal val="0"/>
          <c:showCatName val="0"/>
          <c:showSerName val="0"/>
          <c:showPercent val="0"/>
          <c:showBubbleSize val="0"/>
        </c:dLbls>
        <c:gapWidth val="10"/>
        <c:overlap val="100"/>
        <c:axId val="769250399"/>
        <c:axId val="769250879"/>
      </c:barChart>
      <c:catAx>
        <c:axId val="76925039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50879"/>
        <c:crosses val="autoZero"/>
        <c:auto val="1"/>
        <c:lblAlgn val="ctr"/>
        <c:lblOffset val="1"/>
        <c:noMultiLvlLbl val="0"/>
      </c:catAx>
      <c:valAx>
        <c:axId val="7692508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50399"/>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[ecommerce-blank.xlsx]Pivots!How long to deliver</c:name>
    <c:fmtId val="4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How long we take to ship?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Pivots!$B$149</c:f>
              <c:strCache>
                <c:ptCount val="1"/>
                <c:pt idx="0">
                  <c:v>Total</c:v>
                </c:pt>
              </c:strCache>
            </c:strRef>
          </c:tx>
          <c:spPr>
            <a:solidFill>
              <a:schemeClr val="accent1"/>
            </a:solidFill>
            <a:ln>
              <a:noFill/>
            </a:ln>
            <a:effectLst/>
          </c:spPr>
          <c:invertIfNegative val="0"/>
          <c:cat>
            <c:strRef>
              <c:f>Pivots!$A$150:$A$165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Pivots!$B$150:$B$165</c:f>
              <c:numCache>
                <c:formatCode>General</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6974-4C66-8218-5BC9AB7B3D12}"/>
            </c:ext>
          </c:extLst>
        </c:ser>
        <c:dLbls>
          <c:showLegendKey val="0"/>
          <c:showVal val="0"/>
          <c:showCatName val="0"/>
          <c:showSerName val="0"/>
          <c:showPercent val="0"/>
          <c:showBubbleSize val="0"/>
        </c:dLbls>
        <c:gapWidth val="10"/>
        <c:overlap val="-27"/>
        <c:axId val="1356247423"/>
        <c:axId val="1356248863"/>
      </c:barChart>
      <c:catAx>
        <c:axId val="135624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8863"/>
        <c:crosses val="autoZero"/>
        <c:auto val="1"/>
        <c:lblAlgn val="ctr"/>
        <c:lblOffset val="100"/>
        <c:noMultiLvlLbl val="0"/>
      </c:catAx>
      <c:valAx>
        <c:axId val="135624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[ecommerce-blank.xlsx]Pivots!Rating</c:name>
    <c:fmtId val="5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How satisfied</a:t>
            </a:r>
            <a:r>
              <a:rPr lang="en-US" sz="1200" b="1" baseline="0"/>
              <a:t> are our customer?</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Pivots!$B$169:$B$170</c:f>
              <c:strCache>
                <c:ptCount val="1"/>
                <c:pt idx="0">
                  <c:v>1</c:v>
                </c:pt>
              </c:strCache>
            </c:strRef>
          </c:tx>
          <c:spPr>
            <a:solidFill>
              <a:schemeClr val="accent1"/>
            </a:solidFill>
            <a:ln>
              <a:noFill/>
            </a:ln>
            <a:effectLst/>
          </c:spPr>
          <c:invertIfNegative val="0"/>
          <c:cat>
            <c:strRef>
              <c:f>Pivots!$A$171:$A$174</c:f>
              <c:strCache>
                <c:ptCount val="3"/>
                <c:pt idx="0">
                  <c:v>Jan</c:v>
                </c:pt>
                <c:pt idx="1">
                  <c:v>Feb</c:v>
                </c:pt>
                <c:pt idx="2">
                  <c:v>Mar</c:v>
                </c:pt>
              </c:strCache>
            </c:strRef>
          </c:cat>
          <c:val>
            <c:numRef>
              <c:f>Pivots!$B$171:$B$174</c:f>
              <c:numCache>
                <c:formatCode>General</c:formatCode>
                <c:ptCount val="3"/>
                <c:pt idx="0">
                  <c:v>2</c:v>
                </c:pt>
                <c:pt idx="1">
                  <c:v>5</c:v>
                </c:pt>
                <c:pt idx="2">
                  <c:v>2</c:v>
                </c:pt>
              </c:numCache>
            </c:numRef>
          </c:val>
          <c:extLst>
            <c:ext xmlns:c16="http://schemas.microsoft.com/office/drawing/2014/chart" uri="{C3380CC4-5D6E-409C-BE32-E72D297353CC}">
              <c16:uniqueId val="{00000000-EFB9-4732-9FAF-37ABC72EB728}"/>
            </c:ext>
          </c:extLst>
        </c:ser>
        <c:ser>
          <c:idx val="1"/>
          <c:order val="1"/>
          <c:tx>
            <c:strRef>
              <c:f>Pivots!$C$169:$C$170</c:f>
              <c:strCache>
                <c:ptCount val="1"/>
                <c:pt idx="0">
                  <c:v>2</c:v>
                </c:pt>
              </c:strCache>
            </c:strRef>
          </c:tx>
          <c:spPr>
            <a:solidFill>
              <a:schemeClr val="accent2"/>
            </a:solidFill>
            <a:ln>
              <a:noFill/>
            </a:ln>
            <a:effectLst/>
          </c:spPr>
          <c:invertIfNegative val="0"/>
          <c:cat>
            <c:strRef>
              <c:f>Pivots!$A$171:$A$174</c:f>
              <c:strCache>
                <c:ptCount val="3"/>
                <c:pt idx="0">
                  <c:v>Jan</c:v>
                </c:pt>
                <c:pt idx="1">
                  <c:v>Feb</c:v>
                </c:pt>
                <c:pt idx="2">
                  <c:v>Mar</c:v>
                </c:pt>
              </c:strCache>
            </c:strRef>
          </c:cat>
          <c:val>
            <c:numRef>
              <c:f>Pivots!$C$171:$C$174</c:f>
              <c:numCache>
                <c:formatCode>General</c:formatCode>
                <c:ptCount val="3"/>
                <c:pt idx="0">
                  <c:v>11</c:v>
                </c:pt>
                <c:pt idx="1">
                  <c:v>11</c:v>
                </c:pt>
                <c:pt idx="2">
                  <c:v>10</c:v>
                </c:pt>
              </c:numCache>
            </c:numRef>
          </c:val>
          <c:extLst>
            <c:ext xmlns:c16="http://schemas.microsoft.com/office/drawing/2014/chart" uri="{C3380CC4-5D6E-409C-BE32-E72D297353CC}">
              <c16:uniqueId val="{00000001-EFB9-4732-9FAF-37ABC72EB728}"/>
            </c:ext>
          </c:extLst>
        </c:ser>
        <c:ser>
          <c:idx val="2"/>
          <c:order val="2"/>
          <c:tx>
            <c:strRef>
              <c:f>Pivots!$D$169:$D$170</c:f>
              <c:strCache>
                <c:ptCount val="1"/>
                <c:pt idx="0">
                  <c:v>3</c:v>
                </c:pt>
              </c:strCache>
            </c:strRef>
          </c:tx>
          <c:spPr>
            <a:solidFill>
              <a:schemeClr val="accent3"/>
            </a:solidFill>
            <a:ln>
              <a:noFill/>
            </a:ln>
            <a:effectLst/>
          </c:spPr>
          <c:invertIfNegative val="0"/>
          <c:cat>
            <c:strRef>
              <c:f>Pivots!$A$171:$A$174</c:f>
              <c:strCache>
                <c:ptCount val="3"/>
                <c:pt idx="0">
                  <c:v>Jan</c:v>
                </c:pt>
                <c:pt idx="1">
                  <c:v>Feb</c:v>
                </c:pt>
                <c:pt idx="2">
                  <c:v>Mar</c:v>
                </c:pt>
              </c:strCache>
            </c:strRef>
          </c:cat>
          <c:val>
            <c:numRef>
              <c:f>Pivots!$D$171:$D$174</c:f>
              <c:numCache>
                <c:formatCode>General</c:formatCode>
                <c:ptCount val="3"/>
                <c:pt idx="0">
                  <c:v>39</c:v>
                </c:pt>
                <c:pt idx="1">
                  <c:v>70</c:v>
                </c:pt>
                <c:pt idx="2">
                  <c:v>64</c:v>
                </c:pt>
              </c:numCache>
            </c:numRef>
          </c:val>
          <c:extLst>
            <c:ext xmlns:c16="http://schemas.microsoft.com/office/drawing/2014/chart" uri="{C3380CC4-5D6E-409C-BE32-E72D297353CC}">
              <c16:uniqueId val="{00000002-EFB9-4732-9FAF-37ABC72EB728}"/>
            </c:ext>
          </c:extLst>
        </c:ser>
        <c:ser>
          <c:idx val="3"/>
          <c:order val="3"/>
          <c:tx>
            <c:strRef>
              <c:f>Pivots!$E$169:$E$170</c:f>
              <c:strCache>
                <c:ptCount val="1"/>
                <c:pt idx="0">
                  <c:v>4</c:v>
                </c:pt>
              </c:strCache>
            </c:strRef>
          </c:tx>
          <c:spPr>
            <a:solidFill>
              <a:schemeClr val="accent4"/>
            </a:solidFill>
            <a:ln>
              <a:noFill/>
            </a:ln>
            <a:effectLst/>
          </c:spPr>
          <c:invertIfNegative val="0"/>
          <c:cat>
            <c:strRef>
              <c:f>Pivots!$A$171:$A$174</c:f>
              <c:strCache>
                <c:ptCount val="3"/>
                <c:pt idx="0">
                  <c:v>Jan</c:v>
                </c:pt>
                <c:pt idx="1">
                  <c:v>Feb</c:v>
                </c:pt>
                <c:pt idx="2">
                  <c:v>Mar</c:v>
                </c:pt>
              </c:strCache>
            </c:strRef>
          </c:cat>
          <c:val>
            <c:numRef>
              <c:f>Pivots!$E$171:$E$174</c:f>
              <c:numCache>
                <c:formatCode>General</c:formatCode>
                <c:ptCount val="3"/>
                <c:pt idx="0">
                  <c:v>113</c:v>
                </c:pt>
                <c:pt idx="1">
                  <c:v>150</c:v>
                </c:pt>
                <c:pt idx="2">
                  <c:v>130</c:v>
                </c:pt>
              </c:numCache>
            </c:numRef>
          </c:val>
          <c:extLst>
            <c:ext xmlns:c16="http://schemas.microsoft.com/office/drawing/2014/chart" uri="{C3380CC4-5D6E-409C-BE32-E72D297353CC}">
              <c16:uniqueId val="{00000003-EFB9-4732-9FAF-37ABC72EB728}"/>
            </c:ext>
          </c:extLst>
        </c:ser>
        <c:ser>
          <c:idx val="4"/>
          <c:order val="4"/>
          <c:tx>
            <c:strRef>
              <c:f>Pivots!$F$169:$F$170</c:f>
              <c:strCache>
                <c:ptCount val="1"/>
                <c:pt idx="0">
                  <c:v>5</c:v>
                </c:pt>
              </c:strCache>
            </c:strRef>
          </c:tx>
          <c:spPr>
            <a:solidFill>
              <a:schemeClr val="accent5"/>
            </a:solidFill>
            <a:ln>
              <a:noFill/>
            </a:ln>
            <a:effectLst/>
          </c:spPr>
          <c:invertIfNegative val="0"/>
          <c:cat>
            <c:strRef>
              <c:f>Pivots!$A$171:$A$174</c:f>
              <c:strCache>
                <c:ptCount val="3"/>
                <c:pt idx="0">
                  <c:v>Jan</c:v>
                </c:pt>
                <c:pt idx="1">
                  <c:v>Feb</c:v>
                </c:pt>
                <c:pt idx="2">
                  <c:v>Mar</c:v>
                </c:pt>
              </c:strCache>
            </c:strRef>
          </c:cat>
          <c:val>
            <c:numRef>
              <c:f>Pivots!$F$171:$F$174</c:f>
              <c:numCache>
                <c:formatCode>General</c:formatCode>
                <c:ptCount val="3"/>
                <c:pt idx="0">
                  <c:v>92</c:v>
                </c:pt>
                <c:pt idx="1">
                  <c:v>84</c:v>
                </c:pt>
                <c:pt idx="2">
                  <c:v>85</c:v>
                </c:pt>
              </c:numCache>
            </c:numRef>
          </c:val>
          <c:extLst>
            <c:ext xmlns:c16="http://schemas.microsoft.com/office/drawing/2014/chart" uri="{C3380CC4-5D6E-409C-BE32-E72D297353CC}">
              <c16:uniqueId val="{00000006-EFB9-4732-9FAF-37ABC72EB728}"/>
            </c:ext>
          </c:extLst>
        </c:ser>
        <c:dLbls>
          <c:showLegendKey val="0"/>
          <c:showVal val="0"/>
          <c:showCatName val="0"/>
          <c:showSerName val="0"/>
          <c:showPercent val="0"/>
          <c:showBubbleSize val="0"/>
        </c:dLbls>
        <c:gapWidth val="219"/>
        <c:overlap val="-27"/>
        <c:axId val="1356244543"/>
        <c:axId val="1452565103"/>
      </c:barChart>
      <c:catAx>
        <c:axId val="13562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565103"/>
        <c:crosses val="autoZero"/>
        <c:auto val="1"/>
        <c:lblAlgn val="ctr"/>
        <c:lblOffset val="100"/>
        <c:noMultiLvlLbl val="0"/>
      </c:catAx>
      <c:valAx>
        <c:axId val="14525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24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treemap" uniqueId="{C62931FC-4FCE-4A17-B30A-F37D6433CCF3}" formatIdx="0">
          <cx:tx>
            <cx:txData>
              <cx:f>_xlchart.v1.1</cx:f>
              <cx:v>Total Quantity</cx:v>
            </cx:txData>
          </cx:tx>
          <cx:dataLabels pos="inEnd">
            <cx:visibility seriesName="0" categoryName="1" value="0"/>
          </cx:dataLabels>
          <cx:dataId val="0"/>
          <cx:layoutPr>
            <cx:parentLabelLayout val="overlapping"/>
          </cx:layoutPr>
        </cx:series>
        <cx:series layoutId="treemap" hidden="1" uniqueId="{16E399CB-104A-4411-BB93-3588309D338C}" formatIdx="1">
          <cx:tx>
            <cx:txData>
              <cx:f>_xlchart.v1.3</cx:f>
              <cx:v>Total Amount</cx:v>
            </cx:txData>
          </cx:tx>
          <cx:dataLabels pos="inEnd">
            <cx:visibility seriesName="0" categoryName="1" value="0"/>
          </cx:dataLabels>
          <cx:dataId val="1"/>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image" Target="../media/image2.emf"/><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chart" Target="../charts/chart22.xml"/><Relationship Id="rId2" Type="http://schemas.openxmlformats.org/officeDocument/2006/relationships/image" Target="../media/image4.emf"/><Relationship Id="rId1" Type="http://schemas.openxmlformats.org/officeDocument/2006/relationships/chart" Target="../charts/chart18.xml"/><Relationship Id="rId6" Type="http://schemas.openxmlformats.org/officeDocument/2006/relationships/chart" Target="../charts/chart21.xml"/><Relationship Id="rId5" Type="http://schemas.microsoft.com/office/2014/relationships/chartEx" Target="../charts/chartEx1.xml"/><Relationship Id="rId4"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88900</xdr:colOff>
      <xdr:row>1</xdr:row>
      <xdr:rowOff>123825</xdr:rowOff>
    </xdr:from>
    <xdr:to>
      <xdr:col>10</xdr:col>
      <xdr:colOff>393700</xdr:colOff>
      <xdr:row>16</xdr:row>
      <xdr:rowOff>104775</xdr:rowOff>
    </xdr:to>
    <xdr:graphicFrame macro="">
      <xdr:nvGraphicFramePr>
        <xdr:cNvPr id="2" name="Chart 1">
          <a:extLst>
            <a:ext uri="{FF2B5EF4-FFF2-40B4-BE49-F238E27FC236}">
              <a16:creationId xmlns:a16="http://schemas.microsoft.com/office/drawing/2014/main" id="{66724F6C-20B8-FF04-BB86-89F0EDB30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536575</xdr:colOff>
      <xdr:row>1</xdr:row>
      <xdr:rowOff>123825</xdr:rowOff>
    </xdr:from>
    <xdr:to>
      <xdr:col>13</xdr:col>
      <xdr:colOff>231775</xdr:colOff>
      <xdr:row>16</xdr:row>
      <xdr:rowOff>104775</xdr:rowOff>
    </xdr:to>
    <xdr:graphicFrame macro="">
      <xdr:nvGraphicFramePr>
        <xdr:cNvPr id="2" name="Chart 1">
          <a:extLst>
            <a:ext uri="{FF2B5EF4-FFF2-40B4-BE49-F238E27FC236}">
              <a16:creationId xmlns:a16="http://schemas.microsoft.com/office/drawing/2014/main" id="{589847D5-686F-D492-F5FE-0AFCD0EF3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0.07639</cdr:x>
      <cdr:y>0.02083</cdr:y>
    </cdr:from>
    <cdr:to>
      <cdr:x>0.78712</cdr:x>
      <cdr:y>0.12973</cdr:y>
    </cdr:to>
    <cdr:pic>
      <cdr:nvPicPr>
        <cdr:cNvPr id="2" name="chart">
          <a:extLst xmlns:a="http://schemas.openxmlformats.org/drawingml/2006/main">
            <a:ext uri="{FF2B5EF4-FFF2-40B4-BE49-F238E27FC236}">
              <a16:creationId xmlns:a16="http://schemas.microsoft.com/office/drawing/2014/main" id="{740CA097-093B-F9DB-23E4-3E9EF95C8C9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49250" y="57150"/>
          <a:ext cx="3249450" cy="29873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3</xdr:col>
      <xdr:colOff>88900</xdr:colOff>
      <xdr:row>1</xdr:row>
      <xdr:rowOff>123825</xdr:rowOff>
    </xdr:from>
    <xdr:to>
      <xdr:col>10</xdr:col>
      <xdr:colOff>393700</xdr:colOff>
      <xdr:row>16</xdr:row>
      <xdr:rowOff>104775</xdr:rowOff>
    </xdr:to>
    <xdr:graphicFrame macro="">
      <xdr:nvGraphicFramePr>
        <xdr:cNvPr id="2" name="Chart 1">
          <a:extLst>
            <a:ext uri="{FF2B5EF4-FFF2-40B4-BE49-F238E27FC236}">
              <a16:creationId xmlns:a16="http://schemas.microsoft.com/office/drawing/2014/main" id="{A9370206-5C0B-25A6-0956-A44440360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304800</xdr:colOff>
      <xdr:row>2</xdr:row>
      <xdr:rowOff>66675</xdr:rowOff>
    </xdr:from>
    <xdr:to>
      <xdr:col>13</xdr:col>
      <xdr:colOff>374650</xdr:colOff>
      <xdr:row>17</xdr:row>
      <xdr:rowOff>47625</xdr:rowOff>
    </xdr:to>
    <xdr:graphicFrame macro="">
      <xdr:nvGraphicFramePr>
        <xdr:cNvPr id="2" name="Chart 1">
          <a:extLst>
            <a:ext uri="{FF2B5EF4-FFF2-40B4-BE49-F238E27FC236}">
              <a16:creationId xmlns:a16="http://schemas.microsoft.com/office/drawing/2014/main" id="{4683F115-3E27-1AAC-B02F-C1A8DFF83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374650</xdr:colOff>
      <xdr:row>0</xdr:row>
      <xdr:rowOff>31750</xdr:rowOff>
    </xdr:from>
    <xdr:to>
      <xdr:col>17</xdr:col>
      <xdr:colOff>69850</xdr:colOff>
      <xdr:row>15</xdr:row>
      <xdr:rowOff>12700</xdr:rowOff>
    </xdr:to>
    <xdr:graphicFrame macro="">
      <xdr:nvGraphicFramePr>
        <xdr:cNvPr id="2" name="Chart 1">
          <a:extLst>
            <a:ext uri="{FF2B5EF4-FFF2-40B4-BE49-F238E27FC236}">
              <a16:creationId xmlns:a16="http://schemas.microsoft.com/office/drawing/2014/main" id="{4443EF36-8938-5967-B81D-5B61280D9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47625</xdr:colOff>
      <xdr:row>12</xdr:row>
      <xdr:rowOff>33337</xdr:rowOff>
    </xdr:from>
    <xdr:to>
      <xdr:col>5</xdr:col>
      <xdr:colOff>361950</xdr:colOff>
      <xdr:row>26</xdr:row>
      <xdr:rowOff>180975</xdr:rowOff>
    </xdr:to>
    <xdr:graphicFrame macro="">
      <xdr:nvGraphicFramePr>
        <xdr:cNvPr id="3" name="Chart 2">
          <a:extLst>
            <a:ext uri="{FF2B5EF4-FFF2-40B4-BE49-F238E27FC236}">
              <a16:creationId xmlns:a16="http://schemas.microsoft.com/office/drawing/2014/main" id="{E94348E2-9489-20C0-9880-F8828107B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30</xdr:row>
      <xdr:rowOff>4762</xdr:rowOff>
    </xdr:from>
    <xdr:to>
      <xdr:col>6</xdr:col>
      <xdr:colOff>542925</xdr:colOff>
      <xdr:row>44</xdr:row>
      <xdr:rowOff>80962</xdr:rowOff>
    </xdr:to>
    <xdr:graphicFrame macro="">
      <xdr:nvGraphicFramePr>
        <xdr:cNvPr id="4" name="Chart 3">
          <a:extLst>
            <a:ext uri="{FF2B5EF4-FFF2-40B4-BE49-F238E27FC236}">
              <a16:creationId xmlns:a16="http://schemas.microsoft.com/office/drawing/2014/main" id="{5CB22422-D631-1F5A-AE99-441800EB4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46</xdr:row>
      <xdr:rowOff>185737</xdr:rowOff>
    </xdr:from>
    <xdr:to>
      <xdr:col>12</xdr:col>
      <xdr:colOff>342900</xdr:colOff>
      <xdr:row>61</xdr:row>
      <xdr:rowOff>71437</xdr:rowOff>
    </xdr:to>
    <xdr:graphicFrame macro="">
      <xdr:nvGraphicFramePr>
        <xdr:cNvPr id="2" name="Chart 1">
          <a:extLst>
            <a:ext uri="{FF2B5EF4-FFF2-40B4-BE49-F238E27FC236}">
              <a16:creationId xmlns:a16="http://schemas.microsoft.com/office/drawing/2014/main" id="{E3905CA9-E15E-C9D5-3C26-A5A066756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xdr:colOff>
      <xdr:row>70</xdr:row>
      <xdr:rowOff>171449</xdr:rowOff>
    </xdr:from>
    <xdr:to>
      <xdr:col>4</xdr:col>
      <xdr:colOff>76200</xdr:colOff>
      <xdr:row>78</xdr:row>
      <xdr:rowOff>95250</xdr:rowOff>
    </xdr:to>
    <xdr:graphicFrame macro="">
      <xdr:nvGraphicFramePr>
        <xdr:cNvPr id="5" name="Chart 4">
          <a:extLst>
            <a:ext uri="{FF2B5EF4-FFF2-40B4-BE49-F238E27FC236}">
              <a16:creationId xmlns:a16="http://schemas.microsoft.com/office/drawing/2014/main" id="{79DFF782-7A8D-6F85-D661-58D26431A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390525</xdr:colOff>
      <xdr:row>148</xdr:row>
      <xdr:rowOff>23812</xdr:rowOff>
    </xdr:from>
    <xdr:to>
      <xdr:col>7</xdr:col>
      <xdr:colOff>104775</xdr:colOff>
      <xdr:row>162</xdr:row>
      <xdr:rowOff>100012</xdr:rowOff>
    </xdr:to>
    <xdr:graphicFrame macro="">
      <xdr:nvGraphicFramePr>
        <xdr:cNvPr id="8" name="Chart 7">
          <a:extLst>
            <a:ext uri="{FF2B5EF4-FFF2-40B4-BE49-F238E27FC236}">
              <a16:creationId xmlns:a16="http://schemas.microsoft.com/office/drawing/2014/main" id="{396A90B9-8A32-56BF-2A41-F6753C2AF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276225</xdr:colOff>
      <xdr:row>166</xdr:row>
      <xdr:rowOff>157162</xdr:rowOff>
    </xdr:from>
    <xdr:to>
      <xdr:col>14</xdr:col>
      <xdr:colOff>57150</xdr:colOff>
      <xdr:row>181</xdr:row>
      <xdr:rowOff>42862</xdr:rowOff>
    </xdr:to>
    <xdr:graphicFrame macro="">
      <xdr:nvGraphicFramePr>
        <xdr:cNvPr id="9" name="Chart 8">
          <a:extLst>
            <a:ext uri="{FF2B5EF4-FFF2-40B4-BE49-F238E27FC236}">
              <a16:creationId xmlns:a16="http://schemas.microsoft.com/office/drawing/2014/main" id="{E7CF5446-061A-83E2-1B24-A5196FC2C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25400</xdr:colOff>
      <xdr:row>149</xdr:row>
      <xdr:rowOff>19050</xdr:rowOff>
    </xdr:from>
    <xdr:to>
      <xdr:col>10</xdr:col>
      <xdr:colOff>396875</xdr:colOff>
      <xdr:row>163</xdr:row>
      <xdr:rowOff>19050</xdr:rowOff>
    </xdr:to>
    <mc:AlternateContent xmlns:mc="http://schemas.openxmlformats.org/markup-compatibility/2006">
      <mc:Choice xmlns:a14="http://schemas.microsoft.com/office/drawing/2010/main" Requires="a14">
        <xdr:graphicFrame macro="">
          <xdr:nvGraphicFramePr>
            <xdr:cNvPr id="11" name="Order Mode">
              <a:extLst>
                <a:ext uri="{FF2B5EF4-FFF2-40B4-BE49-F238E27FC236}">
                  <a16:creationId xmlns:a16="http://schemas.microsoft.com/office/drawing/2014/main" id="{57323B32-360A-59E6-E76B-08E9500CC41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6032500" y="27457400"/>
              <a:ext cx="1870075" cy="257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269875</xdr:colOff>
      <xdr:row>148</xdr:row>
      <xdr:rowOff>3175</xdr:rowOff>
    </xdr:from>
    <xdr:to>
      <xdr:col>14</xdr:col>
      <xdr:colOff>269875</xdr:colOff>
      <xdr:row>162</xdr:row>
      <xdr:rowOff>3175</xdr:rowOff>
    </xdr:to>
    <mc:AlternateContent xmlns:mc="http://schemas.openxmlformats.org/markup-compatibility/2006" xmlns:a14="http://schemas.microsoft.com/office/drawing/2010/main">
      <mc:Choice Requires="a14">
        <xdr:graphicFrame macro="">
          <xdr:nvGraphicFramePr>
            <xdr:cNvPr id="12" name="Gender Value">
              <a:extLst>
                <a:ext uri="{FF2B5EF4-FFF2-40B4-BE49-F238E27FC236}">
                  <a16:creationId xmlns:a16="http://schemas.microsoft.com/office/drawing/2014/main" id="{67582013-416C-1A65-D05A-3B80A039567D}"/>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385175" y="27257375"/>
              <a:ext cx="1828800" cy="257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107951</xdr:colOff>
      <xdr:row>48</xdr:row>
      <xdr:rowOff>107950</xdr:rowOff>
    </xdr:to>
    <xdr:grpSp>
      <xdr:nvGrpSpPr>
        <xdr:cNvPr id="32" name="Group 31">
          <a:extLst>
            <a:ext uri="{FF2B5EF4-FFF2-40B4-BE49-F238E27FC236}">
              <a16:creationId xmlns:a16="http://schemas.microsoft.com/office/drawing/2014/main" id="{9B7BD4CF-4E96-7F18-C8CA-7F1910BD91BA}"/>
            </a:ext>
          </a:extLst>
        </xdr:cNvPr>
        <xdr:cNvGrpSpPr/>
      </xdr:nvGrpSpPr>
      <xdr:grpSpPr>
        <a:xfrm>
          <a:off x="0" y="0"/>
          <a:ext cx="21158939" cy="8968415"/>
          <a:chOff x="-44329" y="0"/>
          <a:chExt cx="21100929" cy="8947150"/>
        </a:xfrm>
      </xdr:grpSpPr>
      <xdr:sp macro="" textlink="">
        <xdr:nvSpPr>
          <xdr:cNvPr id="2" name="Rectangle 1">
            <a:extLst>
              <a:ext uri="{FF2B5EF4-FFF2-40B4-BE49-F238E27FC236}">
                <a16:creationId xmlns:a16="http://schemas.microsoft.com/office/drawing/2014/main" id="{226A8000-7B87-AAFB-0FBD-EDD5498F49E6}"/>
              </a:ext>
            </a:extLst>
          </xdr:cNvPr>
          <xdr:cNvSpPr/>
        </xdr:nvSpPr>
        <xdr:spPr>
          <a:xfrm>
            <a:off x="-36818" y="0"/>
            <a:ext cx="2273300" cy="892175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2">
            <a:extLst>
              <a:ext uri="{FF2B5EF4-FFF2-40B4-BE49-F238E27FC236}">
                <a16:creationId xmlns:a16="http://schemas.microsoft.com/office/drawing/2014/main" id="{0E43E4EF-DC2A-7F88-0D51-97B6890F448A}"/>
              </a:ext>
            </a:extLst>
          </xdr:cNvPr>
          <xdr:cNvSpPr/>
        </xdr:nvSpPr>
        <xdr:spPr>
          <a:xfrm>
            <a:off x="2000250" y="19050"/>
            <a:ext cx="12928600" cy="8928100"/>
          </a:xfrm>
          <a:prstGeom prst="rect">
            <a:avLst/>
          </a:prstGeom>
          <a:solidFill>
            <a:srgbClr val="86AB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97E7F277-084A-39B6-4E7A-623A900EEC69}"/>
              </a:ext>
            </a:extLst>
          </xdr:cNvPr>
          <xdr:cNvSpPr/>
        </xdr:nvSpPr>
        <xdr:spPr>
          <a:xfrm>
            <a:off x="14852650" y="0"/>
            <a:ext cx="6203950" cy="892175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utor'!A7">
        <xdr:nvSpPr>
          <xdr:cNvPr id="5" name="TextBox 4">
            <a:extLst>
              <a:ext uri="{FF2B5EF4-FFF2-40B4-BE49-F238E27FC236}">
                <a16:creationId xmlns:a16="http://schemas.microsoft.com/office/drawing/2014/main" id="{EE76F075-F793-E44A-54F3-8D4336BBA23B}"/>
              </a:ext>
            </a:extLst>
          </xdr:cNvPr>
          <xdr:cNvSpPr txBox="1"/>
        </xdr:nvSpPr>
        <xdr:spPr>
          <a:xfrm>
            <a:off x="-1" y="407811"/>
            <a:ext cx="86995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B4AF2C-930A-4D93-A992-365A254BAD2A}" type="TxLink">
              <a:rPr lang="en-US" sz="1100" b="1" i="0" u="none" strike="noStrike">
                <a:solidFill>
                  <a:srgbClr val="000000"/>
                </a:solidFill>
                <a:latin typeface="Aptos Narrow"/>
              </a:rPr>
              <a:pPr/>
              <a:t>2,400</a:t>
            </a:fld>
            <a:endParaRPr lang="en-GB" sz="1100" b="1"/>
          </a:p>
        </xdr:txBody>
      </xdr:sp>
      <xdr:sp macro="" textlink="">
        <xdr:nvSpPr>
          <xdr:cNvPr id="7" name="TextBox 6">
            <a:extLst>
              <a:ext uri="{FF2B5EF4-FFF2-40B4-BE49-F238E27FC236}">
                <a16:creationId xmlns:a16="http://schemas.microsoft.com/office/drawing/2014/main" id="{6545D540-410A-F3BA-C735-AA15FB241B82}"/>
              </a:ext>
            </a:extLst>
          </xdr:cNvPr>
          <xdr:cNvSpPr txBox="1"/>
        </xdr:nvSpPr>
        <xdr:spPr>
          <a:xfrm>
            <a:off x="-44329" y="58672"/>
            <a:ext cx="1549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🛒Orders</a:t>
            </a:r>
          </a:p>
        </xdr:txBody>
      </xdr:sp>
      <xdr:sp macro="" textlink="'Pivot Tutor'!B7">
        <xdr:nvSpPr>
          <xdr:cNvPr id="8" name="TextBox 7">
            <a:extLst>
              <a:ext uri="{FF2B5EF4-FFF2-40B4-BE49-F238E27FC236}">
                <a16:creationId xmlns:a16="http://schemas.microsoft.com/office/drawing/2014/main" id="{3FB93FD5-780E-C3AD-CB5E-95ADCF730F9B}"/>
              </a:ext>
            </a:extLst>
          </xdr:cNvPr>
          <xdr:cNvSpPr txBox="1"/>
        </xdr:nvSpPr>
        <xdr:spPr>
          <a:xfrm rot="10800000" flipV="1">
            <a:off x="-1" y="1261533"/>
            <a:ext cx="8699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786E68-ADD1-4B29-8A23-FBC121C1C169}" type="TxLink">
              <a:rPr lang="en-US" sz="1100" b="1" i="0" u="none" strike="noStrike">
                <a:solidFill>
                  <a:srgbClr val="000000"/>
                </a:solidFill>
                <a:latin typeface="Aptos Narrow"/>
              </a:rPr>
              <a:pPr/>
              <a:t>11,997</a:t>
            </a:fld>
            <a:endParaRPr lang="en-GB" sz="1100" b="1"/>
          </a:p>
        </xdr:txBody>
      </xdr:sp>
      <xdr:sp macro="" textlink="">
        <xdr:nvSpPr>
          <xdr:cNvPr id="10" name="TextBox 9">
            <a:extLst>
              <a:ext uri="{FF2B5EF4-FFF2-40B4-BE49-F238E27FC236}">
                <a16:creationId xmlns:a16="http://schemas.microsoft.com/office/drawing/2014/main" id="{8A111068-ABA5-A052-0CB8-F3563A6183CF}"/>
              </a:ext>
            </a:extLst>
          </xdr:cNvPr>
          <xdr:cNvSpPr txBox="1"/>
        </xdr:nvSpPr>
        <xdr:spPr>
          <a:xfrm rot="10800000" flipV="1">
            <a:off x="0" y="841022"/>
            <a:ext cx="11366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t>
            </a:r>
            <a:r>
              <a:rPr lang="en-GB" sz="1100">
                <a:solidFill>
                  <a:schemeClr val="bg1"/>
                </a:solidFill>
              </a:rPr>
              <a:t>Quantity</a:t>
            </a:r>
          </a:p>
        </xdr:txBody>
      </xdr:sp>
      <xdr:sp macro="" textlink="'Pivot Tutor'!B7">
        <xdr:nvSpPr>
          <xdr:cNvPr id="11" name="TextBox 10">
            <a:extLst>
              <a:ext uri="{FF2B5EF4-FFF2-40B4-BE49-F238E27FC236}">
                <a16:creationId xmlns:a16="http://schemas.microsoft.com/office/drawing/2014/main" id="{C1664256-3590-C7D7-E3F3-373161DB4198}"/>
              </a:ext>
            </a:extLst>
          </xdr:cNvPr>
          <xdr:cNvSpPr txBox="1"/>
        </xdr:nvSpPr>
        <xdr:spPr>
          <a:xfrm rot="10800000" flipV="1">
            <a:off x="-1" y="1682044"/>
            <a:ext cx="87630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Amount</a:t>
            </a:r>
          </a:p>
        </xdr:txBody>
      </xdr:sp>
      <xdr:sp macro="" textlink="'Pivot Tutor'!C7">
        <xdr:nvSpPr>
          <xdr:cNvPr id="12" name="TextBox 11">
            <a:extLst>
              <a:ext uri="{FF2B5EF4-FFF2-40B4-BE49-F238E27FC236}">
                <a16:creationId xmlns:a16="http://schemas.microsoft.com/office/drawing/2014/main" id="{258B286A-0327-053D-53E9-A8085DCFE8B4}"/>
              </a:ext>
            </a:extLst>
          </xdr:cNvPr>
          <xdr:cNvSpPr txBox="1"/>
        </xdr:nvSpPr>
        <xdr:spPr>
          <a:xfrm rot="10800000" flipV="1">
            <a:off x="0" y="2185105"/>
            <a:ext cx="8699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1539C4-967A-416B-B39F-2D405DCA59F4}" type="TxLink">
              <a:rPr lang="en-US" sz="1100" b="1" i="0" u="none" strike="noStrike">
                <a:solidFill>
                  <a:srgbClr val="000000"/>
                </a:solidFill>
                <a:latin typeface="Aptos Narrow"/>
              </a:rPr>
              <a:pPr/>
              <a:t>$649.0k</a:t>
            </a:fld>
            <a:endParaRPr lang="en-GB" sz="1100" b="1"/>
          </a:p>
        </xdr:txBody>
      </xdr:sp>
      <xdr:sp macro="" textlink="'Pivot Tutor'!D7">
        <xdr:nvSpPr>
          <xdr:cNvPr id="13" name="TextBox 12">
            <a:extLst>
              <a:ext uri="{FF2B5EF4-FFF2-40B4-BE49-F238E27FC236}">
                <a16:creationId xmlns:a16="http://schemas.microsoft.com/office/drawing/2014/main" id="{75D9C0B6-197C-D707-99C2-8BB1ABCC6C54}"/>
              </a:ext>
            </a:extLst>
          </xdr:cNvPr>
          <xdr:cNvSpPr txBox="1"/>
        </xdr:nvSpPr>
        <xdr:spPr>
          <a:xfrm rot="10800000" flipV="1">
            <a:off x="-1" y="3127727"/>
            <a:ext cx="8699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92633B-089A-4FD5-B80B-7C45B31AA5F5}" type="TxLink">
              <a:rPr lang="en-US" sz="1100" b="1" i="0" u="none" strike="noStrike">
                <a:solidFill>
                  <a:srgbClr val="000000"/>
                </a:solidFill>
                <a:latin typeface="Aptos Narrow"/>
              </a:rPr>
              <a:pPr/>
              <a:t>4.0</a:t>
            </a:fld>
            <a:endParaRPr lang="en-GB" sz="1100" b="1"/>
          </a:p>
        </xdr:txBody>
      </xdr:sp>
      <xdr:sp macro="" textlink="'Pivot Tutor'!C7">
        <xdr:nvSpPr>
          <xdr:cNvPr id="14" name="TextBox 13">
            <a:extLst>
              <a:ext uri="{FF2B5EF4-FFF2-40B4-BE49-F238E27FC236}">
                <a16:creationId xmlns:a16="http://schemas.microsoft.com/office/drawing/2014/main" id="{0E42F374-4F50-34B6-F661-5AEDB74B3EDC}"/>
              </a:ext>
            </a:extLst>
          </xdr:cNvPr>
          <xdr:cNvSpPr txBox="1"/>
        </xdr:nvSpPr>
        <xdr:spPr>
          <a:xfrm rot="10800000" flipV="1">
            <a:off x="-1" y="2605616"/>
            <a:ext cx="8699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⭐Average of Rating</a:t>
            </a:r>
          </a:p>
        </xdr:txBody>
      </xdr:sp>
      <xdr:sp macro="" textlink="'Pivot Tutor'!E7">
        <xdr:nvSpPr>
          <xdr:cNvPr id="15" name="TextBox 14">
            <a:extLst>
              <a:ext uri="{FF2B5EF4-FFF2-40B4-BE49-F238E27FC236}">
                <a16:creationId xmlns:a16="http://schemas.microsoft.com/office/drawing/2014/main" id="{242144CD-16EE-D26E-2045-C8180E20F8D2}"/>
              </a:ext>
            </a:extLst>
          </xdr:cNvPr>
          <xdr:cNvSpPr txBox="1"/>
        </xdr:nvSpPr>
        <xdr:spPr>
          <a:xfrm rot="10800000" flipV="1">
            <a:off x="0" y="4025900"/>
            <a:ext cx="8699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049D7-BCEA-4EE2-976D-F558C140A7A8}" type="TxLink">
              <a:rPr lang="en-US" sz="1100" b="1" i="0" u="none" strike="noStrike">
                <a:solidFill>
                  <a:srgbClr val="000000"/>
                </a:solidFill>
                <a:latin typeface="Aptos Narrow"/>
              </a:rPr>
              <a:pPr/>
              <a:t>2.3</a:t>
            </a:fld>
            <a:endParaRPr lang="en-GB" sz="1100" b="1"/>
          </a:p>
        </xdr:txBody>
      </xdr:sp>
      <xdr:sp macro="" textlink="'Pivot Tutor'!D7">
        <xdr:nvSpPr>
          <xdr:cNvPr id="16" name="TextBox 15">
            <a:extLst>
              <a:ext uri="{FF2B5EF4-FFF2-40B4-BE49-F238E27FC236}">
                <a16:creationId xmlns:a16="http://schemas.microsoft.com/office/drawing/2014/main" id="{9CE28B76-F064-5DE9-E816-2EE8CD84CE41}"/>
              </a:ext>
            </a:extLst>
          </xdr:cNvPr>
          <xdr:cNvSpPr txBox="1"/>
        </xdr:nvSpPr>
        <xdr:spPr>
          <a:xfrm rot="10800000" flipV="1">
            <a:off x="-1" y="3548238"/>
            <a:ext cx="8699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📅Days</a:t>
            </a:r>
            <a:r>
              <a:rPr lang="en-GB" sz="1100" baseline="0">
                <a:solidFill>
                  <a:schemeClr val="bg1"/>
                </a:solidFill>
              </a:rPr>
              <a:t> to deliver</a:t>
            </a:r>
            <a:endParaRPr lang="en-GB" sz="1100">
              <a:solidFill>
                <a:schemeClr val="bg1"/>
              </a:solidFill>
            </a:endParaRPr>
          </a:p>
        </xdr:txBody>
      </xdr:sp>
      <xdr:sp macro="" textlink="">
        <xdr:nvSpPr>
          <xdr:cNvPr id="19" name="Rectangle 18">
            <a:extLst>
              <a:ext uri="{FF2B5EF4-FFF2-40B4-BE49-F238E27FC236}">
                <a16:creationId xmlns:a16="http://schemas.microsoft.com/office/drawing/2014/main" id="{194442CB-1FB0-18BC-A3A8-588675FE1B11}"/>
              </a:ext>
            </a:extLst>
          </xdr:cNvPr>
          <xdr:cNvSpPr/>
        </xdr:nvSpPr>
        <xdr:spPr>
          <a:xfrm>
            <a:off x="6550086" y="0"/>
            <a:ext cx="4082627" cy="22540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i="0" u="none" strike="noStrike">
                <a:solidFill>
                  <a:schemeClr val="lt1"/>
                </a:solidFill>
                <a:effectLst/>
                <a:latin typeface="+mn-lt"/>
                <a:ea typeface="+mn-ea"/>
                <a:cs typeface="+mn-cs"/>
              </a:rPr>
              <a:t>Femyyyrtale</a:t>
            </a:r>
            <a:r>
              <a:rPr lang="en-GB">
                <a:effectLst/>
              </a:rPr>
              <a:t> </a:t>
            </a:r>
            <a:r>
              <a:rPr lang="en-GB" sz="1100" b="0" i="0" u="none" strike="noStrike">
                <a:solidFill>
                  <a:schemeClr val="lt1"/>
                </a:solidFill>
                <a:effectLst/>
                <a:latin typeface="+mn-lt"/>
                <a:ea typeface="+mn-ea"/>
                <a:cs typeface="+mn-cs"/>
              </a:rPr>
              <a:t>Male</a:t>
            </a:r>
            <a:r>
              <a:rPr lang="en-GB">
                <a:effectLst/>
              </a:rPr>
              <a:t> </a:t>
            </a:r>
            <a:r>
              <a:rPr lang="en-GB" sz="1100" b="0" i="0" u="none" strike="noStrike">
                <a:solidFill>
                  <a:schemeClr val="lt1"/>
                </a:solidFill>
                <a:effectLst/>
                <a:latin typeface="+mn-lt"/>
                <a:ea typeface="+mn-ea"/>
                <a:cs typeface="+mn-cs"/>
              </a:rPr>
              <a:t>Unknown</a:t>
            </a:r>
            <a:r>
              <a:rPr lang="en-GB">
                <a:effectLst/>
              </a:rPr>
              <a:t> </a:t>
            </a:r>
            <a:r>
              <a:rPr lang="en-GB" sz="1100" b="0" i="0" u="none" strike="noStrike">
                <a:solidFill>
                  <a:schemeClr val="lt1"/>
                </a:solidFill>
                <a:effectLst/>
                <a:latin typeface="+mn-lt"/>
                <a:ea typeface="+mn-ea"/>
                <a:cs typeface="+mn-cs"/>
              </a:rPr>
              <a:t>App</a:t>
            </a:r>
            <a:r>
              <a:rPr lang="en-GB">
                <a:effectLst/>
              </a:rPr>
              <a:t> </a:t>
            </a:r>
            <a:r>
              <a:rPr lang="en-GB" sz="1100" b="0" i="0" u="none" strike="noStrike">
                <a:solidFill>
                  <a:schemeClr val="lt1"/>
                </a:solidFill>
                <a:effectLst/>
                <a:latin typeface="+mn-lt"/>
                <a:ea typeface="+mn-ea"/>
                <a:cs typeface="+mn-cs"/>
              </a:rPr>
              <a:t>18.7%</a:t>
            </a:r>
            <a:r>
              <a:rPr lang="en-GB">
                <a:effectLst/>
              </a:rPr>
              <a:t> </a:t>
            </a:r>
            <a:r>
              <a:rPr lang="en-GB" sz="1100" b="0" i="0" u="none" strike="noStrike">
                <a:solidFill>
                  <a:schemeClr val="lt1"/>
                </a:solidFill>
                <a:effectLst/>
                <a:latin typeface="+mn-lt"/>
                <a:ea typeface="+mn-ea"/>
                <a:cs typeface="+mn-cs"/>
              </a:rPr>
              <a:t>13.4%</a:t>
            </a:r>
            <a:r>
              <a:rPr lang="en-GB">
                <a:effectLst/>
              </a:rPr>
              <a:t> </a:t>
            </a:r>
            <a:r>
              <a:rPr lang="en-GB" sz="1100" b="0" i="0" u="none" strike="noStrike">
                <a:solidFill>
                  <a:schemeClr val="lt1"/>
                </a:solidFill>
                <a:effectLst/>
                <a:latin typeface="+mn-lt"/>
                <a:ea typeface="+mn-ea"/>
                <a:cs typeface="+mn-cs"/>
              </a:rPr>
              <a:t>3.1%</a:t>
            </a:r>
            <a:r>
              <a:rPr lang="en-GB">
                <a:effectLst/>
              </a:rPr>
              <a:t> </a:t>
            </a:r>
            <a:r>
              <a:rPr lang="en-GB" sz="1100" b="0" i="0" u="none" strike="noStrike">
                <a:solidFill>
                  <a:schemeClr val="lt1"/>
                </a:solidFill>
                <a:effectLst/>
                <a:latin typeface="+mn-lt"/>
                <a:ea typeface="+mn-ea"/>
                <a:cs typeface="+mn-cs"/>
              </a:rPr>
              <a:t>Instagram</a:t>
            </a:r>
            <a:r>
              <a:rPr lang="en-GB">
                <a:effectLst/>
              </a:rPr>
              <a:t> </a:t>
            </a:r>
            <a:r>
              <a:rPr lang="en-GB" sz="1100" b="0" i="0" u="none" strike="noStrike">
                <a:solidFill>
                  <a:schemeClr val="lt1"/>
                </a:solidFill>
                <a:effectLst/>
                <a:latin typeface="+mn-lt"/>
                <a:ea typeface="+mn-ea"/>
                <a:cs typeface="+mn-cs"/>
              </a:rPr>
              <a:t>6.1%</a:t>
            </a:r>
            <a:r>
              <a:rPr lang="en-GB">
                <a:effectLst/>
              </a:rPr>
              <a:t> </a:t>
            </a:r>
            <a:r>
              <a:rPr lang="en-GB" sz="1100" b="0" i="0" u="none" strike="noStrike">
                <a:solidFill>
                  <a:schemeClr val="lt1"/>
                </a:solidFill>
                <a:effectLst/>
                <a:latin typeface="+mn-lt"/>
                <a:ea typeface="+mn-ea"/>
                <a:cs typeface="+mn-cs"/>
              </a:rPr>
              <a:t>4.0%</a:t>
            </a:r>
            <a:r>
              <a:rPr lang="en-GB">
                <a:effectLst/>
              </a:rPr>
              <a:t> </a:t>
            </a:r>
            <a:r>
              <a:rPr lang="en-GB" sz="1100" b="0" i="0" u="none" strike="noStrike">
                <a:solidFill>
                  <a:schemeClr val="lt1"/>
                </a:solidFill>
                <a:effectLst/>
                <a:latin typeface="+mn-lt"/>
                <a:ea typeface="+mn-ea"/>
                <a:cs typeface="+mn-cs"/>
              </a:rPr>
              <a:t>1H.7%</a:t>
            </a:r>
            <a:r>
              <a:rPr lang="en-GB">
                <a:effectLst/>
              </a:rPr>
              <a:t> </a:t>
            </a:r>
            <a:r>
              <a:rPr lang="en-GB" sz="1100" b="0" i="0" u="none" strike="noStrike">
                <a:solidFill>
                  <a:schemeClr val="lt1"/>
                </a:solidFill>
                <a:effectLst/>
                <a:latin typeface="+mn-lt"/>
                <a:ea typeface="+mn-ea"/>
                <a:cs typeface="+mn-cs"/>
              </a:rPr>
              <a:t>Partner App</a:t>
            </a:r>
            <a:r>
              <a:rPr lang="en-GB">
                <a:effectLst/>
              </a:rPr>
              <a:t> </a:t>
            </a:r>
            <a:r>
              <a:rPr lang="en-GB" sz="1100" b="0" i="0" u="none" strike="noStrike">
                <a:solidFill>
                  <a:schemeClr val="lt1"/>
                </a:solidFill>
                <a:effectLst/>
                <a:latin typeface="+mn-lt"/>
                <a:ea typeface="+mn-ea"/>
                <a:cs typeface="+mn-cs"/>
              </a:rPr>
              <a:t>6.6%</a:t>
            </a:r>
            <a:r>
              <a:rPr lang="en-GB">
                <a:effectLst/>
              </a:rPr>
              <a:t> </a:t>
            </a:r>
            <a:r>
              <a:rPr lang="en-GB" sz="1100" b="0" i="0" u="none" strike="noStrike">
                <a:solidFill>
                  <a:schemeClr val="lt1"/>
                </a:solidFill>
                <a:effectLst/>
                <a:latin typeface="+mn-lt"/>
                <a:ea typeface="+mn-ea"/>
                <a:cs typeface="+mn-cs"/>
              </a:rPr>
              <a:t>4.3%</a:t>
            </a:r>
            <a:r>
              <a:rPr lang="en-GB">
                <a:effectLst/>
              </a:rPr>
              <a:t> </a:t>
            </a:r>
            <a:r>
              <a:rPr lang="en-GB" sz="1100" b="0" i="0" u="none" strike="noStrike">
                <a:solidFill>
                  <a:schemeClr val="lt1"/>
                </a:solidFill>
                <a:effectLst/>
                <a:latin typeface="+mn-lt"/>
                <a:ea typeface="+mn-ea"/>
                <a:cs typeface="+mn-cs"/>
              </a:rPr>
              <a:t>0.7%</a:t>
            </a:r>
            <a:r>
              <a:rPr lang="en-GB">
                <a:effectLst/>
              </a:rPr>
              <a:t> </a:t>
            </a:r>
            <a:r>
              <a:rPr lang="en-GB" sz="1100" b="0" i="0" u="none" strike="noStrike">
                <a:solidFill>
                  <a:schemeClr val="lt1"/>
                </a:solidFill>
                <a:effectLst/>
                <a:latin typeface="+mn-lt"/>
                <a:ea typeface="+mn-ea"/>
                <a:cs typeface="+mn-cs"/>
              </a:rPr>
              <a:t>Target.com</a:t>
            </a:r>
            <a:r>
              <a:rPr lang="en-GB">
                <a:effectLst/>
              </a:rPr>
              <a:t> </a:t>
            </a:r>
            <a:r>
              <a:rPr lang="en-GB" sz="1100" b="0" i="0" u="none" strike="noStrike">
                <a:solidFill>
                  <a:schemeClr val="lt1"/>
                </a:solidFill>
                <a:effectLst/>
                <a:latin typeface="+mn-lt"/>
                <a:ea typeface="+mn-ea"/>
                <a:cs typeface="+mn-cs"/>
              </a:rPr>
              <a:t>10.0%</a:t>
            </a:r>
            <a:r>
              <a:rPr lang="en-GB">
                <a:effectLst/>
              </a:rPr>
              <a:t> </a:t>
            </a:r>
            <a:r>
              <a:rPr lang="en-GB" sz="1100" b="0" i="0" u="none" strike="noStrike">
                <a:solidFill>
                  <a:schemeClr val="lt1"/>
                </a:solidFill>
                <a:effectLst/>
                <a:latin typeface="+mn-lt"/>
                <a:ea typeface="+mn-ea"/>
                <a:cs typeface="+mn-cs"/>
              </a:rPr>
              <a:t>7.8%</a:t>
            </a:r>
            <a:r>
              <a:rPr lang="en-GB">
                <a:effectLst/>
              </a:rPr>
              <a:t> </a:t>
            </a:r>
            <a:r>
              <a:rPr lang="en-GB" sz="1100" b="0" i="0" u="none" strike="noStrike">
                <a:solidFill>
                  <a:schemeClr val="lt1"/>
                </a:solidFill>
                <a:effectLst/>
                <a:latin typeface="+mn-lt"/>
                <a:ea typeface="+mn-ea"/>
                <a:cs typeface="+mn-cs"/>
              </a:rPr>
              <a:t>1.5%</a:t>
            </a:r>
            <a:r>
              <a:rPr lang="en-GB">
                <a:effectLst/>
              </a:rPr>
              <a:t> </a:t>
            </a:r>
            <a:r>
              <a:rPr lang="en-GB" sz="1100" b="0" i="0" u="none" strike="noStrike">
                <a:solidFill>
                  <a:schemeClr val="lt1"/>
                </a:solidFill>
                <a:effectLst/>
                <a:latin typeface="+mn-lt"/>
                <a:ea typeface="+mn-ea"/>
                <a:cs typeface="+mn-cs"/>
              </a:rPr>
              <a:t>Website</a:t>
            </a:r>
            <a:r>
              <a:rPr lang="en-GB">
                <a:effectLst/>
              </a:rPr>
              <a:t> </a:t>
            </a:r>
            <a:r>
              <a:rPr lang="en-GB" sz="1100" b="0" i="0" u="none" strike="noStrike">
                <a:solidFill>
                  <a:schemeClr val="lt1"/>
                </a:solidFill>
                <a:effectLst/>
                <a:latin typeface="+mn-lt"/>
                <a:ea typeface="+mn-ea"/>
                <a:cs typeface="+mn-cs"/>
              </a:rPr>
              <a:t>10.9%</a:t>
            </a:r>
            <a:r>
              <a:rPr lang="en-GB">
                <a:effectLst/>
              </a:rPr>
              <a:t> </a:t>
            </a:r>
            <a:r>
              <a:rPr lang="en-GB" sz="1100" b="0" i="0" u="none" strike="noStrike">
                <a:solidFill>
                  <a:schemeClr val="lt1"/>
                </a:solidFill>
                <a:effectLst/>
                <a:latin typeface="+mn-lt"/>
                <a:ea typeface="+mn-ea"/>
                <a:cs typeface="+mn-cs"/>
              </a:rPr>
              <a:t>9.6%</a:t>
            </a:r>
            <a:r>
              <a:rPr lang="en-GB">
                <a:effectLst/>
              </a:rPr>
              <a:t> </a:t>
            </a:r>
            <a:r>
              <a:rPr lang="en-GB" sz="1100" b="0" i="0" u="none" strike="noStrike">
                <a:solidFill>
                  <a:schemeClr val="lt1"/>
                </a:solidFill>
                <a:effectLst/>
                <a:latin typeface="+mn-lt"/>
                <a:ea typeface="+mn-ea"/>
                <a:cs typeface="+mn-cs"/>
              </a:rPr>
              <a:t>1.7%</a:t>
            </a:r>
            <a:r>
              <a:rPr lang="en-GB">
                <a:effectLst/>
              </a:rPr>
              <a:t> </a:t>
            </a:r>
            <a:endParaRPr lang="en-GB" sz="1100">
              <a:ln>
                <a:solidFill>
                  <a:schemeClr val="bg1"/>
                </a:solidFill>
              </a:ln>
            </a:endParaRPr>
          </a:p>
        </xdr:txBody>
      </xdr:sp>
      <mc:AlternateContent xmlns:mc="http://schemas.openxmlformats.org/markup-compatibility/2006" xmlns:a14="http://schemas.microsoft.com/office/drawing/2010/main">
        <mc:Choice Requires="a14">
          <xdr:pic>
            <xdr:nvPicPr>
              <xdr:cNvPr id="20" name="Picture 19">
                <a:extLst>
                  <a:ext uri="{FF2B5EF4-FFF2-40B4-BE49-F238E27FC236}">
                    <a16:creationId xmlns:a16="http://schemas.microsoft.com/office/drawing/2014/main" id="{8E817B01-6488-42E2-BA27-7DF4503359D3}"/>
                  </a:ext>
                </a:extLst>
              </xdr:cNvPr>
              <xdr:cNvPicPr>
                <a:picLocks noChangeAspect="1" noChangeArrowheads="1"/>
                <a:extLst>
                  <a:ext uri="{84589F7E-364E-4C9E-8A38-B11213B215E9}">
                    <a14:cameraTool cellRange="'Pivot-Order Mode'!A13:D18" spid="_x0000_s8261"/>
                  </a:ext>
                </a:extLst>
              </xdr:cNvPicPr>
            </xdr:nvPicPr>
            <xdr:blipFill>
              <a:blip xmlns:r="http://schemas.openxmlformats.org/officeDocument/2006/relationships" r:embed="rId1"/>
              <a:srcRect/>
              <a:stretch>
                <a:fillRect/>
              </a:stretch>
            </xdr:blipFill>
            <xdr:spPr bwMode="auto">
              <a:xfrm>
                <a:off x="6756400" y="685800"/>
                <a:ext cx="3422650" cy="110490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21" name="TextBox 20">
            <a:extLst>
              <a:ext uri="{FF2B5EF4-FFF2-40B4-BE49-F238E27FC236}">
                <a16:creationId xmlns:a16="http://schemas.microsoft.com/office/drawing/2014/main" id="{D4628F3C-EC4B-234C-94B4-C525823280E0}"/>
              </a:ext>
            </a:extLst>
          </xdr:cNvPr>
          <xdr:cNvSpPr txBox="1"/>
        </xdr:nvSpPr>
        <xdr:spPr>
          <a:xfrm>
            <a:off x="9042400" y="768350"/>
            <a:ext cx="971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sp macro="" textlink="">
        <xdr:nvSpPr>
          <xdr:cNvPr id="22" name="TextBox 21">
            <a:extLst>
              <a:ext uri="{FF2B5EF4-FFF2-40B4-BE49-F238E27FC236}">
                <a16:creationId xmlns:a16="http://schemas.microsoft.com/office/drawing/2014/main" id="{851B1E69-A58A-5AA1-7E1A-C03148D9DB90}"/>
              </a:ext>
            </a:extLst>
          </xdr:cNvPr>
          <xdr:cNvSpPr txBox="1"/>
        </xdr:nvSpPr>
        <xdr:spPr>
          <a:xfrm>
            <a:off x="6743700" y="298450"/>
            <a:ext cx="3289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How they like to buy?</a:t>
            </a:r>
          </a:p>
        </xdr:txBody>
      </xdr:sp>
      <xdr:graphicFrame macro="">
        <xdr:nvGraphicFramePr>
          <xdr:cNvPr id="24" name="Chart 23">
            <a:extLst>
              <a:ext uri="{FF2B5EF4-FFF2-40B4-BE49-F238E27FC236}">
                <a16:creationId xmlns:a16="http://schemas.microsoft.com/office/drawing/2014/main" id="{DA4BFCDC-9A51-4924-A2FD-5C64A478F948}"/>
              </a:ext>
            </a:extLst>
          </xdr:cNvPr>
          <xdr:cNvGraphicFramePr>
            <a:graphicFrameLocks/>
          </xdr:cNvGraphicFramePr>
        </xdr:nvGraphicFramePr>
        <xdr:xfrm>
          <a:off x="10693400" y="2794000"/>
          <a:ext cx="4064000" cy="1600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6" name="Chart 25">
            <a:extLst>
              <a:ext uri="{FF2B5EF4-FFF2-40B4-BE49-F238E27FC236}">
                <a16:creationId xmlns:a16="http://schemas.microsoft.com/office/drawing/2014/main" id="{D8D03C7E-EDDA-4725-B030-8815F719B10F}"/>
              </a:ext>
            </a:extLst>
          </xdr:cNvPr>
          <xdr:cNvGraphicFramePr>
            <a:graphicFrameLocks/>
          </xdr:cNvGraphicFramePr>
        </xdr:nvGraphicFramePr>
        <xdr:xfrm>
          <a:off x="1943100" y="0"/>
          <a:ext cx="4572000" cy="22733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7" name="Chart 26">
            <a:extLst>
              <a:ext uri="{FF2B5EF4-FFF2-40B4-BE49-F238E27FC236}">
                <a16:creationId xmlns:a16="http://schemas.microsoft.com/office/drawing/2014/main" id="{45C55AD1-70A8-4649-8FC2-FC3972DCDFC2}"/>
              </a:ext>
            </a:extLst>
          </xdr:cNvPr>
          <xdr:cNvGraphicFramePr>
            <a:graphicFrameLocks/>
          </xdr:cNvGraphicFramePr>
        </xdr:nvGraphicFramePr>
        <xdr:xfrm>
          <a:off x="10712450" y="50800"/>
          <a:ext cx="4000500" cy="1422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8" name="Chart 27">
            <a:extLst>
              <a:ext uri="{FF2B5EF4-FFF2-40B4-BE49-F238E27FC236}">
                <a16:creationId xmlns:a16="http://schemas.microsoft.com/office/drawing/2014/main" id="{EF4AB0BD-51A2-4E32-B428-F6DE18AB0651}"/>
              </a:ext>
            </a:extLst>
          </xdr:cNvPr>
          <xdr:cNvGraphicFramePr>
            <a:graphicFrameLocks/>
          </xdr:cNvGraphicFramePr>
        </xdr:nvGraphicFramePr>
        <xdr:xfrm>
          <a:off x="10712451" y="1498600"/>
          <a:ext cx="4006850" cy="126365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sle15="http://schemas.microsoft.com/office/drawing/2012/slicer">
        <mc:Choice Requires="sle15">
          <xdr:graphicFrame macro="">
            <xdr:nvGraphicFramePr>
              <xdr:cNvPr id="29" name="Order Mode 3">
                <a:extLst>
                  <a:ext uri="{FF2B5EF4-FFF2-40B4-BE49-F238E27FC236}">
                    <a16:creationId xmlns:a16="http://schemas.microsoft.com/office/drawing/2014/main" id="{6ABE8501-619D-40CD-BB70-34F6FA008542}"/>
                  </a:ext>
                </a:extLst>
              </xdr:cNvPr>
              <xdr:cNvGraphicFramePr/>
            </xdr:nvGraphicFramePr>
            <xdr:xfrm>
              <a:off x="14878050" y="6350"/>
              <a:ext cx="1828800" cy="1822450"/>
            </xdr:xfrm>
            <a:graphic>
              <a:graphicData uri="http://schemas.microsoft.com/office/drawing/2010/slicer">
                <sle:slicer xmlns:sle="http://schemas.microsoft.com/office/drawing/2010/slicer" name="Order Mode 3"/>
              </a:graphicData>
            </a:graphic>
          </xdr:graphicFrame>
        </mc:Choice>
        <mc:Fallback xmlns="">
          <xdr:sp macro="" textlink="">
            <xdr:nvSpPr>
              <xdr:cNvPr id="0" name=""/>
              <xdr:cNvSpPr>
                <a:spLocks noTextEdit="1"/>
              </xdr:cNvSpPr>
            </xdr:nvSpPr>
            <xdr:spPr>
              <a:xfrm>
                <a:off x="14963403" y="6365"/>
                <a:ext cx="1833828" cy="182678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30" name="Gender Value 2">
                <a:extLst>
                  <a:ext uri="{FF2B5EF4-FFF2-40B4-BE49-F238E27FC236}">
                    <a16:creationId xmlns:a16="http://schemas.microsoft.com/office/drawing/2014/main" id="{0CA52371-98F4-47D4-8297-12662EC18DCF}"/>
                  </a:ext>
                </a:extLst>
              </xdr:cNvPr>
              <xdr:cNvGraphicFramePr/>
            </xdr:nvGraphicFramePr>
            <xdr:xfrm>
              <a:off x="14884400" y="1854200"/>
              <a:ext cx="1828800" cy="1498600"/>
            </xdr:xfrm>
            <a:graphic>
              <a:graphicData uri="http://schemas.microsoft.com/office/drawing/2010/slicer">
                <sle:slicer xmlns:sle="http://schemas.microsoft.com/office/drawing/2010/slicer" name="Gender Value 2"/>
              </a:graphicData>
            </a:graphic>
          </xdr:graphicFrame>
        </mc:Choice>
        <mc:Fallback xmlns="">
          <xdr:sp macro="" textlink="">
            <xdr:nvSpPr>
              <xdr:cNvPr id="0" name=""/>
              <xdr:cNvSpPr>
                <a:spLocks noTextEdit="1"/>
              </xdr:cNvSpPr>
            </xdr:nvSpPr>
            <xdr:spPr>
              <a:xfrm>
                <a:off x="14969771" y="1858607"/>
                <a:ext cx="1833828" cy="150216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xdr:from>
      <xdr:col>18</xdr:col>
      <xdr:colOff>571500</xdr:colOff>
      <xdr:row>8</xdr:row>
      <xdr:rowOff>0</xdr:rowOff>
    </xdr:from>
    <xdr:to>
      <xdr:col>18</xdr:col>
      <xdr:colOff>3143250</xdr:colOff>
      <xdr:row>8</xdr:row>
      <xdr:rowOff>171450</xdr:rowOff>
    </xdr:to>
    <xdr:sp macro="" textlink="">
      <xdr:nvSpPr>
        <xdr:cNvPr id="33" name="TextBox 32">
          <a:extLst>
            <a:ext uri="{FF2B5EF4-FFF2-40B4-BE49-F238E27FC236}">
              <a16:creationId xmlns:a16="http://schemas.microsoft.com/office/drawing/2014/main" id="{767BFF5F-B4C9-2858-254F-44944740C788}"/>
            </a:ext>
          </a:extLst>
        </xdr:cNvPr>
        <xdr:cNvSpPr txBox="1"/>
      </xdr:nvSpPr>
      <xdr:spPr>
        <a:xfrm>
          <a:off x="11372850" y="1473200"/>
          <a:ext cx="2571750" cy="17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00" b="1" i="0" baseline="0">
              <a:solidFill>
                <a:schemeClr val="dk1"/>
              </a:solidFill>
              <a:effectLst/>
              <a:latin typeface="+mn-lt"/>
              <a:ea typeface="+mn-ea"/>
              <a:cs typeface="+mn-cs"/>
            </a:rPr>
            <a:t>How satisfied are our customer?</a:t>
          </a:r>
          <a:endParaRPr lang="en-GB" sz="1000">
            <a:effectLst/>
          </a:endParaRPr>
        </a:p>
        <a:p>
          <a:endParaRPr lang="en-GB" sz="1100"/>
        </a:p>
      </xdr:txBody>
    </xdr:sp>
    <xdr:clientData/>
  </xdr:twoCellAnchor>
  <xdr:twoCellAnchor>
    <xdr:from>
      <xdr:col>10</xdr:col>
      <xdr:colOff>304799</xdr:colOff>
      <xdr:row>12</xdr:row>
      <xdr:rowOff>88605</xdr:rowOff>
    </xdr:from>
    <xdr:to>
      <xdr:col>17</xdr:col>
      <xdr:colOff>169824</xdr:colOff>
      <xdr:row>23</xdr:row>
      <xdr:rowOff>158750</xdr:rowOff>
    </xdr:to>
    <xdr:graphicFrame macro="">
      <xdr:nvGraphicFramePr>
        <xdr:cNvPr id="35" name="Chart 34">
          <a:extLst>
            <a:ext uri="{FF2B5EF4-FFF2-40B4-BE49-F238E27FC236}">
              <a16:creationId xmlns:a16="http://schemas.microsoft.com/office/drawing/2014/main" id="{11BE8ECD-61AB-462D-8B15-EDFF854C1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177800</xdr:colOff>
      <xdr:row>12</xdr:row>
      <xdr:rowOff>82550</xdr:rowOff>
    </xdr:from>
    <xdr:to>
      <xdr:col>10</xdr:col>
      <xdr:colOff>279400</xdr:colOff>
      <xdr:row>23</xdr:row>
      <xdr:rowOff>177800</xdr:rowOff>
    </xdr:to>
    <xdr:graphicFrame macro="">
      <xdr:nvGraphicFramePr>
        <xdr:cNvPr id="36" name="Chart 35">
          <a:extLst>
            <a:ext uri="{FF2B5EF4-FFF2-40B4-BE49-F238E27FC236}">
              <a16:creationId xmlns:a16="http://schemas.microsoft.com/office/drawing/2014/main" id="{7A7D736A-8A66-434B-AAD8-2AD787390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0.20952</cdr:x>
      <cdr:y>0</cdr:y>
    </cdr:from>
    <cdr:to>
      <cdr:x>0.80635</cdr:x>
      <cdr:y>0.13393</cdr:y>
    </cdr:to>
    <cdr:sp macro="" textlink="">
      <cdr:nvSpPr>
        <cdr:cNvPr id="2" name="TextBox 1">
          <a:extLst xmlns:a="http://schemas.openxmlformats.org/drawingml/2006/main">
            <a:ext uri="{FF2B5EF4-FFF2-40B4-BE49-F238E27FC236}">
              <a16:creationId xmlns:a16="http://schemas.microsoft.com/office/drawing/2014/main" id="{7EC98DB5-1991-E8C1-4024-A0C77E8ED937}"/>
            </a:ext>
          </a:extLst>
        </cdr:cNvPr>
        <cdr:cNvSpPr txBox="1"/>
      </cdr:nvSpPr>
      <cdr:spPr>
        <a:xfrm xmlns:a="http://schemas.openxmlformats.org/drawingml/2006/main">
          <a:off x="838199" y="0"/>
          <a:ext cx="2387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How long will take to ship?</a:t>
          </a:r>
        </a:p>
      </cdr:txBody>
    </cdr:sp>
  </cdr:relSizeAnchor>
</c:userShapes>
</file>

<file path=xl/drawings/drawing10.xml><?xml version="1.0" encoding="utf-8"?>
<c:userShapes xmlns:c="http://schemas.openxmlformats.org/drawingml/2006/chart">
  <cdr:relSizeAnchor xmlns:cdr="http://schemas.openxmlformats.org/drawingml/2006/chartDrawing">
    <cdr:from>
      <cdr:x>0.26783</cdr:x>
      <cdr:y>0.06533</cdr:y>
    </cdr:from>
    <cdr:to>
      <cdr:x>0.5832</cdr:x>
      <cdr:y>0.10553</cdr:y>
    </cdr:to>
    <cdr:sp macro="" textlink="">
      <cdr:nvSpPr>
        <cdr:cNvPr id="2" name="TextBox 1">
          <a:extLst xmlns:a="http://schemas.openxmlformats.org/drawingml/2006/main">
            <a:ext uri="{FF2B5EF4-FFF2-40B4-BE49-F238E27FC236}">
              <a16:creationId xmlns:a16="http://schemas.microsoft.com/office/drawing/2014/main" id="{9D88C38A-C3B7-509B-084F-88BCDE4A879F}"/>
            </a:ext>
          </a:extLst>
        </cdr:cNvPr>
        <cdr:cNvSpPr txBox="1"/>
      </cdr:nvSpPr>
      <cdr:spPr>
        <a:xfrm xmlns:a="http://schemas.openxmlformats.org/drawingml/2006/main">
          <a:off x="1073149" y="82550"/>
          <a:ext cx="1263650" cy="50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0.06667</cdr:x>
      <cdr:y>0.02431</cdr:y>
    </cdr:from>
    <cdr:to>
      <cdr:x>0.84861</cdr:x>
      <cdr:y>0.11921</cdr:y>
    </cdr:to>
    <cdr:sp macro="" textlink="">
      <cdr:nvSpPr>
        <cdr:cNvPr id="2" name="TextBox 1">
          <a:extLst xmlns:a="http://schemas.openxmlformats.org/drawingml/2006/main">
            <a:ext uri="{FF2B5EF4-FFF2-40B4-BE49-F238E27FC236}">
              <a16:creationId xmlns:a16="http://schemas.microsoft.com/office/drawing/2014/main" id="{463DF4A0-29E7-A690-C9C7-0560B5E3371D}"/>
            </a:ext>
          </a:extLst>
        </cdr:cNvPr>
        <cdr:cNvSpPr txBox="1"/>
      </cdr:nvSpPr>
      <cdr:spPr>
        <a:xfrm xmlns:a="http://schemas.openxmlformats.org/drawingml/2006/main">
          <a:off x="304815" y="51405"/>
          <a:ext cx="3575030" cy="200671"/>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GB" sz="1100" b="1" i="0" baseline="0">
              <a:effectLst/>
              <a:latin typeface="+mn-lt"/>
              <a:ea typeface="+mn-ea"/>
              <a:cs typeface="+mn-cs"/>
            </a:rPr>
            <a:t>Where do our customer live?</a:t>
          </a:r>
          <a:endParaRPr lang="en-GB">
            <a:effectLst/>
          </a:endParaRPr>
        </a:p>
        <a:p xmlns:a="http://schemas.openxmlformats.org/drawingml/2006/main">
          <a:endParaRPr lang="en-GB" sz="1100" kern="1200"/>
        </a:p>
      </cdr:txBody>
    </cdr:sp>
  </cdr:relSizeAnchor>
</c:userShapes>
</file>

<file path=xl/drawings/drawing12.xml><?xml version="1.0" encoding="utf-8"?>
<c:userShapes xmlns:c="http://schemas.openxmlformats.org/drawingml/2006/chart">
  <cdr:relSizeAnchor xmlns:cdr="http://schemas.openxmlformats.org/drawingml/2006/chartDrawing">
    <cdr:from>
      <cdr:x>0.07639</cdr:x>
      <cdr:y>0.02083</cdr:y>
    </cdr:from>
    <cdr:to>
      <cdr:x>0.78712</cdr:x>
      <cdr:y>0.12973</cdr:y>
    </cdr:to>
    <cdr:pic>
      <cdr:nvPicPr>
        <cdr:cNvPr id="2" name="chart">
          <a:extLst xmlns:a="http://schemas.openxmlformats.org/drawingml/2006/main">
            <a:ext uri="{FF2B5EF4-FFF2-40B4-BE49-F238E27FC236}">
              <a16:creationId xmlns:a16="http://schemas.microsoft.com/office/drawing/2014/main" id="{740CA097-093B-F9DB-23E4-3E9EF95C8C9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49250" y="57150"/>
          <a:ext cx="3249450" cy="298730"/>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0</xdr:col>
      <xdr:colOff>7144</xdr:colOff>
      <xdr:row>0</xdr:row>
      <xdr:rowOff>9526</xdr:rowOff>
    </xdr:from>
    <xdr:to>
      <xdr:col>2</xdr:col>
      <xdr:colOff>604837</xdr:colOff>
      <xdr:row>28</xdr:row>
      <xdr:rowOff>0</xdr:rowOff>
    </xdr:to>
    <xdr:sp macro="" textlink="">
      <xdr:nvSpPr>
        <xdr:cNvPr id="2" name="Rectangle 1">
          <a:extLst>
            <a:ext uri="{FF2B5EF4-FFF2-40B4-BE49-F238E27FC236}">
              <a16:creationId xmlns:a16="http://schemas.microsoft.com/office/drawing/2014/main" id="{F5B419F0-A7A0-8B5E-447C-1F9222CAE0A8}"/>
            </a:ext>
          </a:extLst>
        </xdr:cNvPr>
        <xdr:cNvSpPr/>
      </xdr:nvSpPr>
      <xdr:spPr>
        <a:xfrm>
          <a:off x="7144" y="9526"/>
          <a:ext cx="1812131" cy="5324474"/>
        </a:xfrm>
        <a:prstGeom prst="rect">
          <a:avLst/>
        </a:prstGeom>
        <a:solidFill>
          <a:srgbClr val="1B9D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19049</xdr:colOff>
      <xdr:row>0</xdr:row>
      <xdr:rowOff>0</xdr:rowOff>
    </xdr:from>
    <xdr:to>
      <xdr:col>22</xdr:col>
      <xdr:colOff>130968</xdr:colOff>
      <xdr:row>28</xdr:row>
      <xdr:rowOff>0</xdr:rowOff>
    </xdr:to>
    <xdr:sp macro="" textlink="">
      <xdr:nvSpPr>
        <xdr:cNvPr id="3" name="Rectangle 2">
          <a:extLst>
            <a:ext uri="{FF2B5EF4-FFF2-40B4-BE49-F238E27FC236}">
              <a16:creationId xmlns:a16="http://schemas.microsoft.com/office/drawing/2014/main" id="{91F8FFCC-14CD-4981-BCFE-30BAFAC3F4CD}"/>
            </a:ext>
          </a:extLst>
        </xdr:cNvPr>
        <xdr:cNvSpPr/>
      </xdr:nvSpPr>
      <xdr:spPr>
        <a:xfrm>
          <a:off x="1840705" y="0"/>
          <a:ext cx="11649076" cy="5334000"/>
        </a:xfrm>
        <a:prstGeom prst="rect">
          <a:avLst/>
        </a:prstGeom>
        <a:solidFill>
          <a:srgbClr val="69E5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523875</xdr:colOff>
      <xdr:row>4</xdr:row>
      <xdr:rowOff>59531</xdr:rowOff>
    </xdr:from>
    <xdr:ext cx="184731" cy="264560"/>
    <xdr:sp macro="" textlink="">
      <xdr:nvSpPr>
        <xdr:cNvPr id="5" name="TextBox 4">
          <a:extLst>
            <a:ext uri="{FF2B5EF4-FFF2-40B4-BE49-F238E27FC236}">
              <a16:creationId xmlns:a16="http://schemas.microsoft.com/office/drawing/2014/main" id="{5D093043-B77F-16E1-22ED-4094148DDF82}"/>
            </a:ext>
          </a:extLst>
        </xdr:cNvPr>
        <xdr:cNvSpPr txBox="1"/>
      </xdr:nvSpPr>
      <xdr:spPr>
        <a:xfrm>
          <a:off x="523875" y="8215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152401</xdr:colOff>
      <xdr:row>2</xdr:row>
      <xdr:rowOff>95780</xdr:rowOff>
    </xdr:from>
    <xdr:to>
      <xdr:col>2</xdr:col>
      <xdr:colOff>247650</xdr:colOff>
      <xdr:row>5</xdr:row>
      <xdr:rowOff>60062</xdr:rowOff>
    </xdr:to>
    <xdr:sp macro="" textlink="Pivots!A8">
      <xdr:nvSpPr>
        <xdr:cNvPr id="6" name="TextBox 5">
          <a:extLst>
            <a:ext uri="{FF2B5EF4-FFF2-40B4-BE49-F238E27FC236}">
              <a16:creationId xmlns:a16="http://schemas.microsoft.com/office/drawing/2014/main" id="{45C347F9-D7AE-BE92-F462-204AE917DB2C}"/>
            </a:ext>
          </a:extLst>
        </xdr:cNvPr>
        <xdr:cNvSpPr txBox="1"/>
      </xdr:nvSpPr>
      <xdr:spPr>
        <a:xfrm>
          <a:off x="152401" y="476780"/>
          <a:ext cx="1309687" cy="535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AB27E7-195C-4BA0-8676-19EE6705F984}" type="TxLink">
            <a:rPr lang="en-US" sz="2000" b="0" i="0" u="none" strike="noStrike">
              <a:solidFill>
                <a:srgbClr val="000000"/>
              </a:solidFill>
              <a:latin typeface="Aptos Narrow"/>
            </a:rPr>
            <a:pPr algn="ctr"/>
            <a:t>868</a:t>
          </a:fld>
          <a:endParaRPr lang="en-US" sz="2000">
            <a:solidFill>
              <a:schemeClr val="tx1"/>
            </a:solidFill>
          </a:endParaRPr>
        </a:p>
      </xdr:txBody>
    </xdr:sp>
    <xdr:clientData/>
  </xdr:twoCellAnchor>
  <xdr:twoCellAnchor>
    <xdr:from>
      <xdr:col>0</xdr:col>
      <xdr:colOff>152401</xdr:colOff>
      <xdr:row>7</xdr:row>
      <xdr:rowOff>144461</xdr:rowOff>
    </xdr:from>
    <xdr:to>
      <xdr:col>2</xdr:col>
      <xdr:colOff>247650</xdr:colOff>
      <xdr:row>10</xdr:row>
      <xdr:rowOff>108743</xdr:rowOff>
    </xdr:to>
    <xdr:sp macro="" textlink="Pivots!B8">
      <xdr:nvSpPr>
        <xdr:cNvPr id="7" name="TextBox 6">
          <a:extLst>
            <a:ext uri="{FF2B5EF4-FFF2-40B4-BE49-F238E27FC236}">
              <a16:creationId xmlns:a16="http://schemas.microsoft.com/office/drawing/2014/main" id="{41ECDF5D-3934-4576-89EA-5E68FB7E2636}"/>
            </a:ext>
          </a:extLst>
        </xdr:cNvPr>
        <xdr:cNvSpPr txBox="1"/>
      </xdr:nvSpPr>
      <xdr:spPr>
        <a:xfrm>
          <a:off x="152401" y="1477961"/>
          <a:ext cx="1309687" cy="535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DDB71B-CA4F-4CC9-8317-F6FA32B0F041}" type="TxLink">
            <a:rPr lang="en-US" sz="2000" b="0" i="0" u="none" strike="noStrike">
              <a:solidFill>
                <a:srgbClr val="000000"/>
              </a:solidFill>
              <a:latin typeface="Aptos Narrow"/>
            </a:rPr>
            <a:pPr algn="ctr"/>
            <a:t>4,220</a:t>
          </a:fld>
          <a:endParaRPr lang="en-US" sz="2000">
            <a:solidFill>
              <a:schemeClr val="tx1"/>
            </a:solidFill>
          </a:endParaRPr>
        </a:p>
      </xdr:txBody>
    </xdr:sp>
    <xdr:clientData/>
  </xdr:twoCellAnchor>
  <xdr:twoCellAnchor>
    <xdr:from>
      <xdr:col>0</xdr:col>
      <xdr:colOff>152401</xdr:colOff>
      <xdr:row>13</xdr:row>
      <xdr:rowOff>55033</xdr:rowOff>
    </xdr:from>
    <xdr:to>
      <xdr:col>2</xdr:col>
      <xdr:colOff>247650</xdr:colOff>
      <xdr:row>16</xdr:row>
      <xdr:rowOff>19315</xdr:rowOff>
    </xdr:to>
    <xdr:sp macro="" textlink="Pivots!C8">
      <xdr:nvSpPr>
        <xdr:cNvPr id="8" name="TextBox 7">
          <a:extLst>
            <a:ext uri="{FF2B5EF4-FFF2-40B4-BE49-F238E27FC236}">
              <a16:creationId xmlns:a16="http://schemas.microsoft.com/office/drawing/2014/main" id="{BF607474-1224-4AC6-922F-53A825C92F52}"/>
            </a:ext>
          </a:extLst>
        </xdr:cNvPr>
        <xdr:cNvSpPr txBox="1"/>
      </xdr:nvSpPr>
      <xdr:spPr>
        <a:xfrm>
          <a:off x="152401" y="2531533"/>
          <a:ext cx="1309687" cy="535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7B568D-8660-4898-96F6-5E28923A8825}" type="TxLink">
            <a:rPr lang="en-US" sz="2000" b="0" i="0" u="none" strike="noStrike">
              <a:solidFill>
                <a:srgbClr val="000000"/>
              </a:solidFill>
              <a:latin typeface="Aptos Narrow"/>
            </a:rPr>
            <a:pPr algn="ctr"/>
            <a:t>$229.4k</a:t>
          </a:fld>
          <a:endParaRPr lang="en-US" sz="2000">
            <a:solidFill>
              <a:schemeClr val="tx1"/>
            </a:solidFill>
          </a:endParaRPr>
        </a:p>
      </xdr:txBody>
    </xdr:sp>
    <xdr:clientData/>
  </xdr:twoCellAnchor>
  <xdr:twoCellAnchor>
    <xdr:from>
      <xdr:col>0</xdr:col>
      <xdr:colOff>152401</xdr:colOff>
      <xdr:row>18</xdr:row>
      <xdr:rowOff>106099</xdr:rowOff>
    </xdr:from>
    <xdr:to>
      <xdr:col>2</xdr:col>
      <xdr:colOff>247650</xdr:colOff>
      <xdr:row>21</xdr:row>
      <xdr:rowOff>70381</xdr:rowOff>
    </xdr:to>
    <xdr:sp macro="" textlink="Pivots!D8">
      <xdr:nvSpPr>
        <xdr:cNvPr id="9" name="TextBox 8">
          <a:extLst>
            <a:ext uri="{FF2B5EF4-FFF2-40B4-BE49-F238E27FC236}">
              <a16:creationId xmlns:a16="http://schemas.microsoft.com/office/drawing/2014/main" id="{12F79B9D-4741-413F-9CC3-220AD0524C7A}"/>
            </a:ext>
          </a:extLst>
        </xdr:cNvPr>
        <xdr:cNvSpPr txBox="1"/>
      </xdr:nvSpPr>
      <xdr:spPr>
        <a:xfrm>
          <a:off x="152401" y="3535099"/>
          <a:ext cx="1309687" cy="535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31A04-D929-4619-91E1-38195968877E}" type="TxLink">
            <a:rPr lang="en-US" sz="2000" b="0" i="0" u="none" strike="noStrike">
              <a:solidFill>
                <a:srgbClr val="000000"/>
              </a:solidFill>
              <a:latin typeface="Aptos Narrow"/>
            </a:rPr>
            <a:pPr algn="ctr"/>
            <a:t>4.0</a:t>
          </a:fld>
          <a:endParaRPr lang="en-US" sz="2000">
            <a:solidFill>
              <a:schemeClr val="tx1"/>
            </a:solidFill>
          </a:endParaRPr>
        </a:p>
      </xdr:txBody>
    </xdr:sp>
    <xdr:clientData/>
  </xdr:twoCellAnchor>
  <xdr:twoCellAnchor>
    <xdr:from>
      <xdr:col>0</xdr:col>
      <xdr:colOff>152401</xdr:colOff>
      <xdr:row>24</xdr:row>
      <xdr:rowOff>73818</xdr:rowOff>
    </xdr:from>
    <xdr:to>
      <xdr:col>2</xdr:col>
      <xdr:colOff>247650</xdr:colOff>
      <xdr:row>27</xdr:row>
      <xdr:rowOff>38100</xdr:rowOff>
    </xdr:to>
    <xdr:sp macro="" textlink="Pivots!E8">
      <xdr:nvSpPr>
        <xdr:cNvPr id="10" name="TextBox 9">
          <a:extLst>
            <a:ext uri="{FF2B5EF4-FFF2-40B4-BE49-F238E27FC236}">
              <a16:creationId xmlns:a16="http://schemas.microsoft.com/office/drawing/2014/main" id="{5C93D317-4135-429B-86A0-582392A69CC7}"/>
            </a:ext>
          </a:extLst>
        </xdr:cNvPr>
        <xdr:cNvSpPr txBox="1"/>
      </xdr:nvSpPr>
      <xdr:spPr>
        <a:xfrm>
          <a:off x="152401" y="4645818"/>
          <a:ext cx="1309687" cy="535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54F3F9-D68E-4E05-81AC-B9E9CEC58F24}" type="TxLink">
            <a:rPr lang="en-US" sz="2000" b="0" i="0" u="none" strike="noStrike">
              <a:solidFill>
                <a:srgbClr val="000000"/>
              </a:solidFill>
              <a:latin typeface="Aptos Narrow"/>
            </a:rPr>
            <a:pPr algn="ctr"/>
            <a:t>2.5</a:t>
          </a:fld>
          <a:endParaRPr lang="en-US" sz="2000">
            <a:solidFill>
              <a:schemeClr val="tx1"/>
            </a:solidFill>
          </a:endParaRPr>
        </a:p>
      </xdr:txBody>
    </xdr:sp>
    <xdr:clientData/>
  </xdr:twoCellAnchor>
  <xdr:twoCellAnchor>
    <xdr:from>
      <xdr:col>0</xdr:col>
      <xdr:colOff>152401</xdr:colOff>
      <xdr:row>0</xdr:row>
      <xdr:rowOff>119065</xdr:rowOff>
    </xdr:from>
    <xdr:to>
      <xdr:col>2</xdr:col>
      <xdr:colOff>176213</xdr:colOff>
      <xdr:row>1</xdr:row>
      <xdr:rowOff>178596</xdr:rowOff>
    </xdr:to>
    <xdr:sp macro="" textlink="">
      <xdr:nvSpPr>
        <xdr:cNvPr id="11" name="TextBox 10">
          <a:extLst>
            <a:ext uri="{FF2B5EF4-FFF2-40B4-BE49-F238E27FC236}">
              <a16:creationId xmlns:a16="http://schemas.microsoft.com/office/drawing/2014/main" id="{942B76C4-9F45-83DF-B291-82746805FD29}"/>
            </a:ext>
          </a:extLst>
        </xdr:cNvPr>
        <xdr:cNvSpPr txBox="1"/>
      </xdr:nvSpPr>
      <xdr:spPr>
        <a:xfrm>
          <a:off x="152401" y="119065"/>
          <a:ext cx="1238250"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🛒Orders</a:t>
          </a:r>
        </a:p>
      </xdr:txBody>
    </xdr:sp>
    <xdr:clientData/>
  </xdr:twoCellAnchor>
  <xdr:twoCellAnchor>
    <xdr:from>
      <xdr:col>0</xdr:col>
      <xdr:colOff>152401</xdr:colOff>
      <xdr:row>22</xdr:row>
      <xdr:rowOff>59001</xdr:rowOff>
    </xdr:from>
    <xdr:to>
      <xdr:col>3</xdr:col>
      <xdr:colOff>0</xdr:colOff>
      <xdr:row>24</xdr:row>
      <xdr:rowOff>37571</xdr:rowOff>
    </xdr:to>
    <xdr:sp macro="" textlink="">
      <xdr:nvSpPr>
        <xdr:cNvPr id="12" name="TextBox 11">
          <a:extLst>
            <a:ext uri="{FF2B5EF4-FFF2-40B4-BE49-F238E27FC236}">
              <a16:creationId xmlns:a16="http://schemas.microsoft.com/office/drawing/2014/main" id="{0466C882-AD03-4114-AA7B-68BEBB528739}"/>
            </a:ext>
          </a:extLst>
        </xdr:cNvPr>
        <xdr:cNvSpPr txBox="1"/>
      </xdr:nvSpPr>
      <xdr:spPr>
        <a:xfrm>
          <a:off x="152401" y="4250001"/>
          <a:ext cx="1669255" cy="35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rPr>
            <a:t>🗓️ Days to Deleiver</a:t>
          </a:r>
          <a:endParaRPr lang="en-US" sz="1400">
            <a:solidFill>
              <a:schemeClr val="bg1"/>
            </a:solidFill>
          </a:endParaRPr>
        </a:p>
      </xdr:txBody>
    </xdr:sp>
    <xdr:clientData/>
  </xdr:twoCellAnchor>
  <xdr:twoCellAnchor>
    <xdr:from>
      <xdr:col>0</xdr:col>
      <xdr:colOff>152401</xdr:colOff>
      <xdr:row>16</xdr:row>
      <xdr:rowOff>126999</xdr:rowOff>
    </xdr:from>
    <xdr:to>
      <xdr:col>2</xdr:col>
      <xdr:colOff>452437</xdr:colOff>
      <xdr:row>17</xdr:row>
      <xdr:rowOff>188915</xdr:rowOff>
    </xdr:to>
    <xdr:sp macro="" textlink="">
      <xdr:nvSpPr>
        <xdr:cNvPr id="13" name="TextBox 12">
          <a:extLst>
            <a:ext uri="{FF2B5EF4-FFF2-40B4-BE49-F238E27FC236}">
              <a16:creationId xmlns:a16="http://schemas.microsoft.com/office/drawing/2014/main" id="{A7823B0E-84FF-485F-AD5B-F9F21EB6AE2D}"/>
            </a:ext>
          </a:extLst>
        </xdr:cNvPr>
        <xdr:cNvSpPr txBox="1"/>
      </xdr:nvSpPr>
      <xdr:spPr>
        <a:xfrm>
          <a:off x="152401" y="3174999"/>
          <a:ext cx="1514474" cy="25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a:t>
          </a:r>
          <a:r>
            <a:rPr lang="en-US" sz="1400" baseline="0">
              <a:solidFill>
                <a:schemeClr val="bg1"/>
              </a:solidFill>
            </a:rPr>
            <a:t> Rating</a:t>
          </a:r>
          <a:endParaRPr lang="en-US" sz="1400">
            <a:solidFill>
              <a:schemeClr val="bg1"/>
            </a:solidFill>
          </a:endParaRPr>
        </a:p>
      </xdr:txBody>
    </xdr:sp>
    <xdr:clientData/>
  </xdr:twoCellAnchor>
  <xdr:twoCellAnchor>
    <xdr:from>
      <xdr:col>0</xdr:col>
      <xdr:colOff>152401</xdr:colOff>
      <xdr:row>11</xdr:row>
      <xdr:rowOff>25927</xdr:rowOff>
    </xdr:from>
    <xdr:to>
      <xdr:col>2</xdr:col>
      <xdr:colOff>371474</xdr:colOff>
      <xdr:row>12</xdr:row>
      <xdr:rowOff>137849</xdr:rowOff>
    </xdr:to>
    <xdr:sp macro="" textlink="">
      <xdr:nvSpPr>
        <xdr:cNvPr id="14" name="TextBox 13">
          <a:extLst>
            <a:ext uri="{FF2B5EF4-FFF2-40B4-BE49-F238E27FC236}">
              <a16:creationId xmlns:a16="http://schemas.microsoft.com/office/drawing/2014/main" id="{1FA1E10E-52F9-441A-951C-042897EE3700}"/>
            </a:ext>
          </a:extLst>
        </xdr:cNvPr>
        <xdr:cNvSpPr txBox="1"/>
      </xdr:nvSpPr>
      <xdr:spPr>
        <a:xfrm>
          <a:off x="152401" y="2121427"/>
          <a:ext cx="1433511" cy="302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a:t>
          </a:r>
          <a:r>
            <a:rPr lang="en-US" sz="1400" baseline="0">
              <a:solidFill>
                <a:schemeClr val="bg1"/>
              </a:solidFill>
            </a:rPr>
            <a:t> Amount</a:t>
          </a:r>
          <a:endParaRPr lang="en-US" sz="1400">
            <a:solidFill>
              <a:schemeClr val="bg1"/>
            </a:solidFill>
          </a:endParaRPr>
        </a:p>
      </xdr:txBody>
    </xdr:sp>
    <xdr:clientData/>
  </xdr:twoCellAnchor>
  <xdr:twoCellAnchor>
    <xdr:from>
      <xdr:col>0</xdr:col>
      <xdr:colOff>152401</xdr:colOff>
      <xdr:row>5</xdr:row>
      <xdr:rowOff>167746</xdr:rowOff>
    </xdr:from>
    <xdr:to>
      <xdr:col>2</xdr:col>
      <xdr:colOff>176213</xdr:colOff>
      <xdr:row>7</xdr:row>
      <xdr:rowOff>36777</xdr:rowOff>
    </xdr:to>
    <xdr:sp macro="" textlink="">
      <xdr:nvSpPr>
        <xdr:cNvPr id="15" name="TextBox 14">
          <a:extLst>
            <a:ext uri="{FF2B5EF4-FFF2-40B4-BE49-F238E27FC236}">
              <a16:creationId xmlns:a16="http://schemas.microsoft.com/office/drawing/2014/main" id="{530FBDB1-346F-48CC-B080-A14D156DF77C}"/>
            </a:ext>
          </a:extLst>
        </xdr:cNvPr>
        <xdr:cNvSpPr txBox="1"/>
      </xdr:nvSpPr>
      <xdr:spPr>
        <a:xfrm>
          <a:off x="152401" y="1120246"/>
          <a:ext cx="1238250"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🛰️Quantity</a:t>
          </a:r>
        </a:p>
      </xdr:txBody>
    </xdr:sp>
    <xdr:clientData/>
  </xdr:twoCellAnchor>
  <xdr:twoCellAnchor>
    <xdr:from>
      <xdr:col>3</xdr:col>
      <xdr:colOff>173832</xdr:colOff>
      <xdr:row>1</xdr:row>
      <xdr:rowOff>65483</xdr:rowOff>
    </xdr:from>
    <xdr:to>
      <xdr:col>9</xdr:col>
      <xdr:colOff>416718</xdr:colOff>
      <xdr:row>11</xdr:row>
      <xdr:rowOff>41670</xdr:rowOff>
    </xdr:to>
    <xdr:graphicFrame macro="">
      <xdr:nvGraphicFramePr>
        <xdr:cNvPr id="16" name="Chart 15">
          <a:extLst>
            <a:ext uri="{FF2B5EF4-FFF2-40B4-BE49-F238E27FC236}">
              <a16:creationId xmlns:a16="http://schemas.microsoft.com/office/drawing/2014/main" id="{B32F7D65-9116-4D38-AD92-7AEFDB393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35717</xdr:colOff>
      <xdr:row>1</xdr:row>
      <xdr:rowOff>68460</xdr:rowOff>
    </xdr:from>
    <xdr:to>
      <xdr:col>15</xdr:col>
      <xdr:colOff>535780</xdr:colOff>
      <xdr:row>11</xdr:row>
      <xdr:rowOff>44647</xdr:rowOff>
    </xdr:to>
    <xdr:sp macro="" textlink="">
      <xdr:nvSpPr>
        <xdr:cNvPr id="21" name="Rectangle 20">
          <a:extLst>
            <a:ext uri="{FF2B5EF4-FFF2-40B4-BE49-F238E27FC236}">
              <a16:creationId xmlns:a16="http://schemas.microsoft.com/office/drawing/2014/main" id="{C1BA08C1-8C94-9341-C841-CA3C68D278CA}"/>
            </a:ext>
          </a:extLst>
        </xdr:cNvPr>
        <xdr:cNvSpPr/>
      </xdr:nvSpPr>
      <xdr:spPr>
        <a:xfrm>
          <a:off x="6107905" y="258960"/>
          <a:ext cx="3536156" cy="18811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95249</xdr:colOff>
          <xdr:row>1</xdr:row>
          <xdr:rowOff>150813</xdr:rowOff>
        </xdr:from>
        <xdr:to>
          <xdr:col>15</xdr:col>
          <xdr:colOff>326361</xdr:colOff>
          <xdr:row>8</xdr:row>
          <xdr:rowOff>27781</xdr:rowOff>
        </xdr:to>
        <xdr:pic>
          <xdr:nvPicPr>
            <xdr:cNvPr id="20" name="Picture 19">
              <a:extLst>
                <a:ext uri="{FF2B5EF4-FFF2-40B4-BE49-F238E27FC236}">
                  <a16:creationId xmlns:a16="http://schemas.microsoft.com/office/drawing/2014/main" id="{50E82AD7-A33C-BBFF-B5AF-04DE69697F68}"/>
                </a:ext>
              </a:extLst>
            </xdr:cNvPr>
            <xdr:cNvPicPr>
              <a:picLocks noChangeAspect="1" noChangeArrowheads="1"/>
              <a:extLst>
                <a:ext uri="{84589F7E-364E-4C9E-8A38-B11213B215E9}">
                  <a14:cameraTool cellRange="Pivot_2!A12:D17" spid="_x0000_s2156"/>
                </a:ext>
              </a:extLst>
            </xdr:cNvPicPr>
          </xdr:nvPicPr>
          <xdr:blipFill>
            <a:blip xmlns:r="http://schemas.openxmlformats.org/officeDocument/2006/relationships" r:embed="rId2"/>
            <a:srcRect/>
            <a:stretch>
              <a:fillRect/>
            </a:stretch>
          </xdr:blipFill>
          <xdr:spPr bwMode="auto">
            <a:xfrm>
              <a:off x="6207124" y="333376"/>
              <a:ext cx="3287050" cy="11549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416719</xdr:colOff>
      <xdr:row>1</xdr:row>
      <xdr:rowOff>119062</xdr:rowOff>
    </xdr:from>
    <xdr:to>
      <xdr:col>15</xdr:col>
      <xdr:colOff>273844</xdr:colOff>
      <xdr:row>2</xdr:row>
      <xdr:rowOff>178593</xdr:rowOff>
    </xdr:to>
    <xdr:sp macro="" textlink="">
      <xdr:nvSpPr>
        <xdr:cNvPr id="23" name="TextBox 22">
          <a:extLst>
            <a:ext uri="{FF2B5EF4-FFF2-40B4-BE49-F238E27FC236}">
              <a16:creationId xmlns:a16="http://schemas.microsoft.com/office/drawing/2014/main" id="{D97627DB-7C56-5F5B-BD73-79A0808594EF}"/>
            </a:ext>
          </a:extLst>
        </xdr:cNvPr>
        <xdr:cNvSpPr txBox="1"/>
      </xdr:nvSpPr>
      <xdr:spPr>
        <a:xfrm>
          <a:off x="7096125" y="309562"/>
          <a:ext cx="2286000" cy="2500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rPr>
            <a:t>How they</a:t>
          </a:r>
          <a:r>
            <a:rPr lang="en-US" sz="1200" b="1" baseline="0">
              <a:solidFill>
                <a:schemeClr val="tx1">
                  <a:lumMod val="65000"/>
                  <a:lumOff val="35000"/>
                </a:schemeClr>
              </a:solidFill>
            </a:rPr>
            <a:t> like to buy?</a:t>
          </a:r>
          <a:endParaRPr lang="en-US" sz="1200" b="1">
            <a:solidFill>
              <a:schemeClr val="tx1">
                <a:lumMod val="65000"/>
                <a:lumOff val="35000"/>
              </a:schemeClr>
            </a:solidFill>
          </a:endParaRPr>
        </a:p>
      </xdr:txBody>
    </xdr:sp>
    <xdr:clientData/>
  </xdr:twoCellAnchor>
  <xdr:twoCellAnchor>
    <xdr:from>
      <xdr:col>16</xdr:col>
      <xdr:colOff>161924</xdr:colOff>
      <xdr:row>1</xdr:row>
      <xdr:rowOff>59529</xdr:rowOff>
    </xdr:from>
    <xdr:to>
      <xdr:col>22</xdr:col>
      <xdr:colOff>59531</xdr:colOff>
      <xdr:row>11</xdr:row>
      <xdr:rowOff>47623</xdr:rowOff>
    </xdr:to>
    <xdr:graphicFrame macro="">
      <xdr:nvGraphicFramePr>
        <xdr:cNvPr id="24" name="Chart 23">
          <a:extLst>
            <a:ext uri="{FF2B5EF4-FFF2-40B4-BE49-F238E27FC236}">
              <a16:creationId xmlns:a16="http://schemas.microsoft.com/office/drawing/2014/main" id="{E0A5FE5A-4D2D-4E66-A657-284AB2D90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159543</xdr:colOff>
      <xdr:row>0</xdr:row>
      <xdr:rowOff>0</xdr:rowOff>
    </xdr:from>
    <xdr:to>
      <xdr:col>26</xdr:col>
      <xdr:colOff>23812</xdr:colOff>
      <xdr:row>27</xdr:row>
      <xdr:rowOff>180974</xdr:rowOff>
    </xdr:to>
    <xdr:sp macro="" textlink="">
      <xdr:nvSpPr>
        <xdr:cNvPr id="26" name="Rectangle 25">
          <a:extLst>
            <a:ext uri="{FF2B5EF4-FFF2-40B4-BE49-F238E27FC236}">
              <a16:creationId xmlns:a16="http://schemas.microsoft.com/office/drawing/2014/main" id="{83B72F77-E766-405B-9644-389EE930F236}"/>
            </a:ext>
          </a:extLst>
        </xdr:cNvPr>
        <xdr:cNvSpPr/>
      </xdr:nvSpPr>
      <xdr:spPr>
        <a:xfrm>
          <a:off x="13518356" y="0"/>
          <a:ext cx="2293144" cy="5324474"/>
        </a:xfrm>
        <a:prstGeom prst="rect">
          <a:avLst/>
        </a:prstGeom>
        <a:solidFill>
          <a:srgbClr val="1B9D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173832</xdr:colOff>
      <xdr:row>11</xdr:row>
      <xdr:rowOff>107155</xdr:rowOff>
    </xdr:from>
    <xdr:to>
      <xdr:col>9</xdr:col>
      <xdr:colOff>428626</xdr:colOff>
      <xdr:row>27</xdr:row>
      <xdr:rowOff>130968</xdr:rowOff>
    </xdr:to>
    <xdr:graphicFrame macro="">
      <xdr:nvGraphicFramePr>
        <xdr:cNvPr id="27" name="Chart 26">
          <a:extLst>
            <a:ext uri="{FF2B5EF4-FFF2-40B4-BE49-F238E27FC236}">
              <a16:creationId xmlns:a16="http://schemas.microsoft.com/office/drawing/2014/main" id="{404CDBC5-B1A8-4566-B995-1B2FB3E04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27384</xdr:colOff>
      <xdr:row>11</xdr:row>
      <xdr:rowOff>119061</xdr:rowOff>
    </xdr:from>
    <xdr:to>
      <xdr:col>15</xdr:col>
      <xdr:colOff>563166</xdr:colOff>
      <xdr:row>27</xdr:row>
      <xdr:rowOff>130968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70E4281-4A14-4BE8-BF0B-587A7B1DE0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23384" y="2144711"/>
              <a:ext cx="3583782" cy="295830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161924</xdr:colOff>
      <xdr:row>11</xdr:row>
      <xdr:rowOff>113108</xdr:rowOff>
    </xdr:from>
    <xdr:to>
      <xdr:col>22</xdr:col>
      <xdr:colOff>54769</xdr:colOff>
      <xdr:row>19</xdr:row>
      <xdr:rowOff>29765</xdr:rowOff>
    </xdr:to>
    <xdr:graphicFrame macro="">
      <xdr:nvGraphicFramePr>
        <xdr:cNvPr id="17" name="Chart 16">
          <a:extLst>
            <a:ext uri="{FF2B5EF4-FFF2-40B4-BE49-F238E27FC236}">
              <a16:creationId xmlns:a16="http://schemas.microsoft.com/office/drawing/2014/main" id="{4840893B-C329-49A2-B20C-DA46004E1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161924</xdr:colOff>
      <xdr:row>19</xdr:row>
      <xdr:rowOff>95250</xdr:rowOff>
    </xdr:from>
    <xdr:to>
      <xdr:col>22</xdr:col>
      <xdr:colOff>42861</xdr:colOff>
      <xdr:row>27</xdr:row>
      <xdr:rowOff>107155</xdr:rowOff>
    </xdr:to>
    <xdr:graphicFrame macro="">
      <xdr:nvGraphicFramePr>
        <xdr:cNvPr id="18" name="Chart 17">
          <a:extLst>
            <a:ext uri="{FF2B5EF4-FFF2-40B4-BE49-F238E27FC236}">
              <a16:creationId xmlns:a16="http://schemas.microsoft.com/office/drawing/2014/main" id="{41392A4E-2A7C-450F-853C-6477F1BFD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438149</xdr:colOff>
      <xdr:row>11</xdr:row>
      <xdr:rowOff>164307</xdr:rowOff>
    </xdr:from>
    <xdr:to>
      <xdr:col>25</xdr:col>
      <xdr:colOff>445293</xdr:colOff>
      <xdr:row>19</xdr:row>
      <xdr:rowOff>71437</xdr:rowOff>
    </xdr:to>
    <mc:AlternateContent xmlns:mc="http://schemas.openxmlformats.org/markup-compatibility/2006" xmlns:a14="http://schemas.microsoft.com/office/drawing/2010/main">
      <mc:Choice Requires="a14">
        <xdr:graphicFrame macro="">
          <xdr:nvGraphicFramePr>
            <xdr:cNvPr id="28" name="Gender Value 1">
              <a:extLst>
                <a:ext uri="{FF2B5EF4-FFF2-40B4-BE49-F238E27FC236}">
                  <a16:creationId xmlns:a16="http://schemas.microsoft.com/office/drawing/2014/main" id="{EA1E5237-017B-458E-8E9A-59ADEAF41A5C}"/>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3796962" y="2259807"/>
              <a:ext cx="1828800" cy="1431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435766</xdr:colOff>
      <xdr:row>1</xdr:row>
      <xdr:rowOff>47626</xdr:rowOff>
    </xdr:from>
    <xdr:to>
      <xdr:col>25</xdr:col>
      <xdr:colOff>442910</xdr:colOff>
      <xdr:row>11</xdr:row>
      <xdr:rowOff>0</xdr:rowOff>
    </xdr:to>
    <mc:AlternateContent xmlns:mc="http://schemas.openxmlformats.org/markup-compatibility/2006" xmlns:a14="http://schemas.microsoft.com/office/drawing/2010/main">
      <mc:Choice Requires="a14">
        <xdr:graphicFrame macro="">
          <xdr:nvGraphicFramePr>
            <xdr:cNvPr id="29" name="Order Mode 2">
              <a:extLst>
                <a:ext uri="{FF2B5EF4-FFF2-40B4-BE49-F238E27FC236}">
                  <a16:creationId xmlns:a16="http://schemas.microsoft.com/office/drawing/2014/main" id="{7448041D-2C18-0494-2BA9-0636702F181D}"/>
                </a:ext>
              </a:extLst>
            </xdr:cNvPr>
            <xdr:cNvGraphicFramePr/>
          </xdr:nvGraphicFramePr>
          <xdr:xfrm>
            <a:off x="0" y="0"/>
            <a:ext cx="0" cy="0"/>
          </xdr:xfrm>
          <a:graphic>
            <a:graphicData uri="http://schemas.microsoft.com/office/drawing/2010/slicer">
              <sle:slicer xmlns:sle="http://schemas.microsoft.com/office/drawing/2010/slicer" name="Order Mode 2"/>
            </a:graphicData>
          </a:graphic>
        </xdr:graphicFrame>
      </mc:Choice>
      <mc:Fallback xmlns="">
        <xdr:sp macro="" textlink="">
          <xdr:nvSpPr>
            <xdr:cNvPr id="0" name=""/>
            <xdr:cNvSpPr>
              <a:spLocks noTextEdit="1"/>
            </xdr:cNvSpPr>
          </xdr:nvSpPr>
          <xdr:spPr>
            <a:xfrm>
              <a:off x="13794579" y="238126"/>
              <a:ext cx="1828800"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19050</xdr:colOff>
      <xdr:row>0</xdr:row>
      <xdr:rowOff>6350</xdr:rowOff>
    </xdr:from>
    <xdr:to>
      <xdr:col>2</xdr:col>
      <xdr:colOff>342900</xdr:colOff>
      <xdr:row>24</xdr:row>
      <xdr:rowOff>107950</xdr:rowOff>
    </xdr:to>
    <xdr:sp macro="" textlink="">
      <xdr:nvSpPr>
        <xdr:cNvPr id="3" name="Rectangle 2">
          <a:extLst>
            <a:ext uri="{FF2B5EF4-FFF2-40B4-BE49-F238E27FC236}">
              <a16:creationId xmlns:a16="http://schemas.microsoft.com/office/drawing/2014/main" id="{9FEFDB96-C618-4991-5C03-5E4F04D8B874}"/>
            </a:ext>
          </a:extLst>
        </xdr:cNvPr>
        <xdr:cNvSpPr/>
      </xdr:nvSpPr>
      <xdr:spPr>
        <a:xfrm>
          <a:off x="19050" y="6350"/>
          <a:ext cx="1543050" cy="452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7.712767708334" createdVersion="8" refreshedVersion="8" minRefreshableVersion="3" recordCount="2400" xr:uid="{BFDA863E-B969-490D-9B05-73DED42E6011}">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3">
        <s v="Unkown"/>
        <s v="Male"/>
        <s v="Female"/>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5674036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yin" refreshedDate="46144.423310995371" createdVersion="8" refreshedVersion="8" minRefreshableVersion="3" recordCount="2401" xr:uid="{12838312-1B16-432A-A882-73BB59AE6D7D}">
  <cacheSource type="worksheet">
    <worksheetSource ref="A1:O1048576" sheet="Data"/>
  </cacheSource>
  <cacheFields count="15">
    <cacheField name="TX ID" numFmtId="0">
      <sharedItems containsBlank="1" count="2401">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m/>
      </sharedItems>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acheField>
    <cacheField name="Ship Date" numFmtId="0">
      <sharedItems containsNonDate="0" containsDate="1" containsString="0" containsBlank="1" minDate="2025-01-02T00:00:00" maxDate="2025-04-11T00:00:00"/>
    </cacheField>
    <cacheField name="Customer Gender" numFmtId="0">
      <sharedItems containsBlank="1" count="5">
        <s v=""/>
        <s v="M"/>
        <s v="F"/>
        <s v="O"/>
        <m/>
      </sharedItems>
    </cacheField>
    <cacheField name="Order Mode" numFmtId="0">
      <sharedItems containsBlank="1"/>
    </cacheField>
    <cacheField name="Rating C" numFmtId="0">
      <sharedItems containsString="0" containsBlank="1" containsNumber="1" containsInteger="1" minValue="1" maxValue="5"/>
    </cacheField>
    <cacheField name="State" numFmtId="0">
      <sharedItems containsBlank="1"/>
    </cacheField>
    <cacheField name="County" numFmtId="0">
      <sharedItems containsBlank="1"/>
    </cacheField>
    <cacheField name="Days to Deliver" numFmtId="0">
      <sharedItems containsString="0" containsBlank="1" containsNumber="1" containsInteger="1" minValue="0" maxValue="14"/>
    </cacheField>
    <cacheField name="Weeknum" numFmtId="0">
      <sharedItems containsString="0" containsBlank="1" containsNumber="1" containsInteger="1" minValue="1" maxValue="13"/>
    </cacheField>
    <cacheField name="Gender Value" numFmtId="0">
      <sharedItems containsBlank="1" count="5">
        <s v="Unkown"/>
        <s v="Male"/>
        <s v="Female"/>
        <s v="Othe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x v="0"/>
    <x v="0"/>
    <x v="0"/>
    <x v="0"/>
    <x v="0"/>
    <x v="0"/>
    <x v="0"/>
    <x v="0"/>
  </r>
  <r>
    <x v="1"/>
    <x v="1"/>
    <x v="1"/>
    <n v="30.6"/>
    <x v="1"/>
    <x v="0"/>
    <d v="2025-01-03T00:00:00"/>
    <x v="1"/>
    <x v="0"/>
    <x v="0"/>
    <x v="0"/>
    <x v="1"/>
    <x v="1"/>
    <x v="0"/>
    <x v="1"/>
  </r>
  <r>
    <x v="2"/>
    <x v="2"/>
    <x v="2"/>
    <n v="109.4"/>
    <x v="2"/>
    <x v="0"/>
    <d v="2025-01-04T00:00:00"/>
    <x v="2"/>
    <x v="0"/>
    <x v="1"/>
    <x v="0"/>
    <x v="2"/>
    <x v="2"/>
    <x v="0"/>
    <x v="2"/>
  </r>
  <r>
    <x v="3"/>
    <x v="3"/>
    <x v="3"/>
    <n v="37.700000000000003"/>
    <x v="3"/>
    <x v="0"/>
    <d v="2025-01-02T00:00:00"/>
    <x v="2"/>
    <x v="0"/>
    <x v="0"/>
    <x v="0"/>
    <x v="2"/>
    <x v="3"/>
    <x v="0"/>
    <x v="2"/>
  </r>
  <r>
    <x v="4"/>
    <x v="4"/>
    <x v="2"/>
    <n v="56.7"/>
    <x v="4"/>
    <x v="0"/>
    <d v="2025-01-04T00:00:00"/>
    <x v="2"/>
    <x v="0"/>
    <x v="2"/>
    <x v="0"/>
    <x v="3"/>
    <x v="2"/>
    <x v="0"/>
    <x v="2"/>
  </r>
  <r>
    <x v="5"/>
    <x v="1"/>
    <x v="4"/>
    <n v="83.5"/>
    <x v="5"/>
    <x v="0"/>
    <d v="2025-01-04T00:00:00"/>
    <x v="1"/>
    <x v="1"/>
    <x v="0"/>
    <x v="0"/>
    <x v="3"/>
    <x v="2"/>
    <x v="0"/>
    <x v="1"/>
  </r>
  <r>
    <x v="6"/>
    <x v="5"/>
    <x v="0"/>
    <n v="55.3"/>
    <x v="6"/>
    <x v="0"/>
    <d v="2025-01-02T00:00:00"/>
    <x v="2"/>
    <x v="0"/>
    <x v="0"/>
    <x v="0"/>
    <x v="3"/>
    <x v="3"/>
    <x v="0"/>
    <x v="2"/>
  </r>
  <r>
    <x v="7"/>
    <x v="6"/>
    <x v="1"/>
    <n v="40.299999999999997"/>
    <x v="7"/>
    <x v="0"/>
    <d v="2025-01-02T00:00:00"/>
    <x v="1"/>
    <x v="2"/>
    <x v="2"/>
    <x v="0"/>
    <x v="3"/>
    <x v="3"/>
    <x v="0"/>
    <x v="1"/>
  </r>
  <r>
    <x v="8"/>
    <x v="7"/>
    <x v="5"/>
    <n v="35.700000000000003"/>
    <x v="8"/>
    <x v="0"/>
    <d v="2025-01-02T00:00:00"/>
    <x v="2"/>
    <x v="0"/>
    <x v="0"/>
    <x v="0"/>
    <x v="3"/>
    <x v="3"/>
    <x v="0"/>
    <x v="2"/>
  </r>
  <r>
    <x v="9"/>
    <x v="8"/>
    <x v="3"/>
    <n v="22.4"/>
    <x v="9"/>
    <x v="0"/>
    <d v="2025-01-04T00:00:00"/>
    <x v="1"/>
    <x v="0"/>
    <x v="1"/>
    <x v="0"/>
    <x v="3"/>
    <x v="2"/>
    <x v="0"/>
    <x v="1"/>
  </r>
  <r>
    <x v="10"/>
    <x v="9"/>
    <x v="1"/>
    <n v="54.4"/>
    <x v="10"/>
    <x v="0"/>
    <d v="2025-01-07T00:00:00"/>
    <x v="2"/>
    <x v="0"/>
    <x v="0"/>
    <x v="0"/>
    <x v="3"/>
    <x v="4"/>
    <x v="0"/>
    <x v="2"/>
  </r>
  <r>
    <x v="11"/>
    <x v="9"/>
    <x v="1"/>
    <n v="49"/>
    <x v="11"/>
    <x v="0"/>
    <d v="2025-01-03T00:00:00"/>
    <x v="2"/>
    <x v="2"/>
    <x v="1"/>
    <x v="0"/>
    <x v="3"/>
    <x v="1"/>
    <x v="0"/>
    <x v="2"/>
  </r>
  <r>
    <x v="12"/>
    <x v="5"/>
    <x v="3"/>
    <n v="118.6"/>
    <x v="12"/>
    <x v="0"/>
    <d v="2025-01-05T00:00:00"/>
    <x v="2"/>
    <x v="1"/>
    <x v="0"/>
    <x v="0"/>
    <x v="4"/>
    <x v="5"/>
    <x v="0"/>
    <x v="2"/>
  </r>
  <r>
    <x v="13"/>
    <x v="6"/>
    <x v="6"/>
    <n v="88.4"/>
    <x v="13"/>
    <x v="0"/>
    <d v="2025-01-08T00:00:00"/>
    <x v="1"/>
    <x v="3"/>
    <x v="0"/>
    <x v="0"/>
    <x v="5"/>
    <x v="6"/>
    <x v="0"/>
    <x v="1"/>
  </r>
  <r>
    <x v="14"/>
    <x v="10"/>
    <x v="0"/>
    <n v="66.7"/>
    <x v="14"/>
    <x v="0"/>
    <d v="2025-01-04T00:00:00"/>
    <x v="1"/>
    <x v="0"/>
    <x v="0"/>
    <x v="0"/>
    <x v="6"/>
    <x v="2"/>
    <x v="0"/>
    <x v="1"/>
  </r>
  <r>
    <x v="15"/>
    <x v="9"/>
    <x v="7"/>
    <n v="30.9"/>
    <x v="15"/>
    <x v="0"/>
    <d v="2025-01-02T00:00:00"/>
    <x v="1"/>
    <x v="1"/>
    <x v="2"/>
    <x v="0"/>
    <x v="6"/>
    <x v="3"/>
    <x v="0"/>
    <x v="1"/>
  </r>
  <r>
    <x v="16"/>
    <x v="4"/>
    <x v="2"/>
    <n v="31.1"/>
    <x v="16"/>
    <x v="0"/>
    <d v="2025-01-02T00:00:00"/>
    <x v="2"/>
    <x v="0"/>
    <x v="1"/>
    <x v="0"/>
    <x v="6"/>
    <x v="3"/>
    <x v="0"/>
    <x v="2"/>
  </r>
  <r>
    <x v="17"/>
    <x v="7"/>
    <x v="2"/>
    <n v="36.6"/>
    <x v="17"/>
    <x v="0"/>
    <d v="2025-01-04T00:00:00"/>
    <x v="2"/>
    <x v="0"/>
    <x v="0"/>
    <x v="0"/>
    <x v="7"/>
    <x v="2"/>
    <x v="0"/>
    <x v="2"/>
  </r>
  <r>
    <x v="18"/>
    <x v="6"/>
    <x v="8"/>
    <n v="51.1"/>
    <x v="18"/>
    <x v="0"/>
    <d v="2025-01-04T00:00:00"/>
    <x v="2"/>
    <x v="2"/>
    <x v="3"/>
    <x v="0"/>
    <x v="7"/>
    <x v="2"/>
    <x v="0"/>
    <x v="2"/>
  </r>
  <r>
    <x v="19"/>
    <x v="9"/>
    <x v="0"/>
    <n v="25.2"/>
    <x v="19"/>
    <x v="0"/>
    <d v="2025-01-02T00:00:00"/>
    <x v="2"/>
    <x v="1"/>
    <x v="2"/>
    <x v="0"/>
    <x v="8"/>
    <x v="3"/>
    <x v="0"/>
    <x v="2"/>
  </r>
  <r>
    <x v="20"/>
    <x v="9"/>
    <x v="9"/>
    <n v="43.8"/>
    <x v="20"/>
    <x v="0"/>
    <d v="2025-01-04T00:00:00"/>
    <x v="2"/>
    <x v="2"/>
    <x v="0"/>
    <x v="0"/>
    <x v="8"/>
    <x v="2"/>
    <x v="0"/>
    <x v="2"/>
  </r>
  <r>
    <x v="21"/>
    <x v="8"/>
    <x v="4"/>
    <n v="46.7"/>
    <x v="21"/>
    <x v="0"/>
    <d v="2025-01-02T00:00:00"/>
    <x v="2"/>
    <x v="1"/>
    <x v="1"/>
    <x v="0"/>
    <x v="8"/>
    <x v="3"/>
    <x v="0"/>
    <x v="2"/>
  </r>
  <r>
    <x v="22"/>
    <x v="3"/>
    <x v="10"/>
    <n v="79.900000000000006"/>
    <x v="22"/>
    <x v="0"/>
    <d v="2025-01-02T00:00:00"/>
    <x v="1"/>
    <x v="0"/>
    <x v="2"/>
    <x v="0"/>
    <x v="8"/>
    <x v="3"/>
    <x v="0"/>
    <x v="1"/>
  </r>
  <r>
    <x v="23"/>
    <x v="11"/>
    <x v="8"/>
    <n v="26.4"/>
    <x v="23"/>
    <x v="0"/>
    <d v="2025-01-02T00:00:00"/>
    <x v="2"/>
    <x v="3"/>
    <x v="0"/>
    <x v="0"/>
    <x v="8"/>
    <x v="3"/>
    <x v="0"/>
    <x v="2"/>
  </r>
  <r>
    <x v="24"/>
    <x v="12"/>
    <x v="8"/>
    <n v="88.8"/>
    <x v="24"/>
    <x v="0"/>
    <d v="2025-01-02T00:00:00"/>
    <x v="2"/>
    <x v="4"/>
    <x v="0"/>
    <x v="0"/>
    <x v="8"/>
    <x v="3"/>
    <x v="0"/>
    <x v="2"/>
  </r>
  <r>
    <x v="25"/>
    <x v="0"/>
    <x v="7"/>
    <n v="17.5"/>
    <x v="25"/>
    <x v="0"/>
    <d v="2025-01-02T00:00:00"/>
    <x v="2"/>
    <x v="2"/>
    <x v="0"/>
    <x v="0"/>
    <x v="9"/>
    <x v="3"/>
    <x v="0"/>
    <x v="2"/>
  </r>
  <r>
    <x v="26"/>
    <x v="1"/>
    <x v="11"/>
    <n v="38.700000000000003"/>
    <x v="26"/>
    <x v="0"/>
    <d v="2025-01-04T00:00:00"/>
    <x v="1"/>
    <x v="1"/>
    <x v="0"/>
    <x v="0"/>
    <x v="10"/>
    <x v="2"/>
    <x v="0"/>
    <x v="1"/>
  </r>
  <r>
    <x v="27"/>
    <x v="13"/>
    <x v="12"/>
    <n v="57.2"/>
    <x v="27"/>
    <x v="0"/>
    <d v="2025-01-03T00:00:00"/>
    <x v="0"/>
    <x v="1"/>
    <x v="2"/>
    <x v="0"/>
    <x v="11"/>
    <x v="1"/>
    <x v="0"/>
    <x v="0"/>
  </r>
  <r>
    <x v="28"/>
    <x v="6"/>
    <x v="9"/>
    <n v="50.9"/>
    <x v="28"/>
    <x v="0"/>
    <d v="2025-01-07T00:00:00"/>
    <x v="0"/>
    <x v="1"/>
    <x v="2"/>
    <x v="0"/>
    <x v="12"/>
    <x v="4"/>
    <x v="0"/>
    <x v="0"/>
  </r>
  <r>
    <x v="29"/>
    <x v="14"/>
    <x v="3"/>
    <n v="41"/>
    <x v="29"/>
    <x v="0"/>
    <d v="2025-01-05T00:00:00"/>
    <x v="2"/>
    <x v="1"/>
    <x v="0"/>
    <x v="0"/>
    <x v="13"/>
    <x v="5"/>
    <x v="0"/>
    <x v="2"/>
  </r>
  <r>
    <x v="30"/>
    <x v="8"/>
    <x v="3"/>
    <n v="19.100000000000001"/>
    <x v="30"/>
    <x v="0"/>
    <d v="2025-01-05T00:00:00"/>
    <x v="1"/>
    <x v="0"/>
    <x v="2"/>
    <x v="0"/>
    <x v="14"/>
    <x v="5"/>
    <x v="0"/>
    <x v="1"/>
  </r>
  <r>
    <x v="31"/>
    <x v="2"/>
    <x v="9"/>
    <n v="166.1"/>
    <x v="31"/>
    <x v="0"/>
    <d v="2025-01-04T00:00:00"/>
    <x v="1"/>
    <x v="0"/>
    <x v="0"/>
    <x v="0"/>
    <x v="15"/>
    <x v="2"/>
    <x v="0"/>
    <x v="1"/>
  </r>
  <r>
    <x v="32"/>
    <x v="4"/>
    <x v="2"/>
    <n v="29.9"/>
    <x v="32"/>
    <x v="0"/>
    <d v="2025-01-02T00:00:00"/>
    <x v="1"/>
    <x v="3"/>
    <x v="0"/>
    <x v="0"/>
    <x v="3"/>
    <x v="3"/>
    <x v="0"/>
    <x v="1"/>
  </r>
  <r>
    <x v="33"/>
    <x v="10"/>
    <x v="13"/>
    <n v="21.7"/>
    <x v="33"/>
    <x v="0"/>
    <d v="2025-01-03T00:00:00"/>
    <x v="3"/>
    <x v="2"/>
    <x v="2"/>
    <x v="0"/>
    <x v="3"/>
    <x v="1"/>
    <x v="0"/>
    <x v="0"/>
  </r>
  <r>
    <x v="34"/>
    <x v="11"/>
    <x v="1"/>
    <n v="32"/>
    <x v="34"/>
    <x v="0"/>
    <d v="2025-01-04T00:00:00"/>
    <x v="1"/>
    <x v="0"/>
    <x v="2"/>
    <x v="0"/>
    <x v="3"/>
    <x v="2"/>
    <x v="0"/>
    <x v="1"/>
  </r>
  <r>
    <x v="35"/>
    <x v="8"/>
    <x v="1"/>
    <n v="15.8"/>
    <x v="35"/>
    <x v="0"/>
    <d v="2025-01-02T00:00:00"/>
    <x v="1"/>
    <x v="4"/>
    <x v="2"/>
    <x v="0"/>
    <x v="3"/>
    <x v="3"/>
    <x v="0"/>
    <x v="1"/>
  </r>
  <r>
    <x v="36"/>
    <x v="2"/>
    <x v="14"/>
    <n v="203.1"/>
    <x v="36"/>
    <x v="0"/>
    <d v="2025-01-05T00:00:00"/>
    <x v="1"/>
    <x v="3"/>
    <x v="1"/>
    <x v="0"/>
    <x v="3"/>
    <x v="5"/>
    <x v="0"/>
    <x v="1"/>
  </r>
  <r>
    <x v="37"/>
    <x v="7"/>
    <x v="15"/>
    <n v="39"/>
    <x v="37"/>
    <x v="0"/>
    <d v="2025-01-07T00:00:00"/>
    <x v="1"/>
    <x v="0"/>
    <x v="2"/>
    <x v="0"/>
    <x v="3"/>
    <x v="4"/>
    <x v="0"/>
    <x v="1"/>
  </r>
  <r>
    <x v="38"/>
    <x v="10"/>
    <x v="0"/>
    <n v="26.5"/>
    <x v="38"/>
    <x v="1"/>
    <d v="2025-01-03T00:00:00"/>
    <x v="1"/>
    <x v="2"/>
    <x v="0"/>
    <x v="0"/>
    <x v="3"/>
    <x v="3"/>
    <x v="0"/>
    <x v="1"/>
  </r>
  <r>
    <x v="39"/>
    <x v="5"/>
    <x v="0"/>
    <n v="43.1"/>
    <x v="39"/>
    <x v="1"/>
    <d v="2025-01-03T00:00:00"/>
    <x v="2"/>
    <x v="2"/>
    <x v="1"/>
    <x v="0"/>
    <x v="3"/>
    <x v="3"/>
    <x v="0"/>
    <x v="2"/>
  </r>
  <r>
    <x v="40"/>
    <x v="1"/>
    <x v="2"/>
    <n v="139"/>
    <x v="40"/>
    <x v="1"/>
    <d v="2025-01-03T00:00:00"/>
    <x v="2"/>
    <x v="4"/>
    <x v="2"/>
    <x v="0"/>
    <x v="3"/>
    <x v="3"/>
    <x v="0"/>
    <x v="2"/>
  </r>
  <r>
    <x v="41"/>
    <x v="12"/>
    <x v="0"/>
    <n v="80.7"/>
    <x v="41"/>
    <x v="1"/>
    <d v="2025-01-03T00:00:00"/>
    <x v="1"/>
    <x v="0"/>
    <x v="2"/>
    <x v="0"/>
    <x v="16"/>
    <x v="3"/>
    <x v="0"/>
    <x v="1"/>
  </r>
  <r>
    <x v="42"/>
    <x v="4"/>
    <x v="1"/>
    <n v="54.5"/>
    <x v="42"/>
    <x v="1"/>
    <d v="2025-01-04T00:00:00"/>
    <x v="1"/>
    <x v="1"/>
    <x v="1"/>
    <x v="0"/>
    <x v="6"/>
    <x v="1"/>
    <x v="0"/>
    <x v="1"/>
  </r>
  <r>
    <x v="43"/>
    <x v="6"/>
    <x v="2"/>
    <n v="68.599999999999994"/>
    <x v="43"/>
    <x v="1"/>
    <d v="2025-01-02T00:00:00"/>
    <x v="2"/>
    <x v="0"/>
    <x v="1"/>
    <x v="0"/>
    <x v="8"/>
    <x v="7"/>
    <x v="0"/>
    <x v="2"/>
  </r>
  <r>
    <x v="44"/>
    <x v="2"/>
    <x v="12"/>
    <n v="135.9"/>
    <x v="44"/>
    <x v="1"/>
    <d v="2025-01-03T00:00:00"/>
    <x v="2"/>
    <x v="2"/>
    <x v="2"/>
    <x v="0"/>
    <x v="8"/>
    <x v="3"/>
    <x v="0"/>
    <x v="2"/>
  </r>
  <r>
    <x v="45"/>
    <x v="2"/>
    <x v="12"/>
    <n v="70.900000000000006"/>
    <x v="45"/>
    <x v="1"/>
    <d v="2025-01-03T00:00:00"/>
    <x v="2"/>
    <x v="0"/>
    <x v="0"/>
    <x v="0"/>
    <x v="17"/>
    <x v="3"/>
    <x v="0"/>
    <x v="2"/>
  </r>
  <r>
    <x v="46"/>
    <x v="1"/>
    <x v="9"/>
    <n v="63.7"/>
    <x v="46"/>
    <x v="1"/>
    <d v="2025-01-03T00:00:00"/>
    <x v="1"/>
    <x v="1"/>
    <x v="1"/>
    <x v="0"/>
    <x v="9"/>
    <x v="3"/>
    <x v="0"/>
    <x v="1"/>
  </r>
  <r>
    <x v="47"/>
    <x v="13"/>
    <x v="0"/>
    <n v="29.7"/>
    <x v="47"/>
    <x v="1"/>
    <d v="2025-01-04T00:00:00"/>
    <x v="2"/>
    <x v="1"/>
    <x v="0"/>
    <x v="0"/>
    <x v="11"/>
    <x v="1"/>
    <x v="0"/>
    <x v="2"/>
  </r>
  <r>
    <x v="48"/>
    <x v="4"/>
    <x v="2"/>
    <n v="26.8"/>
    <x v="48"/>
    <x v="1"/>
    <d v="2025-01-11T00:00:00"/>
    <x v="2"/>
    <x v="1"/>
    <x v="2"/>
    <x v="0"/>
    <x v="11"/>
    <x v="8"/>
    <x v="0"/>
    <x v="2"/>
  </r>
  <r>
    <x v="49"/>
    <x v="14"/>
    <x v="0"/>
    <n v="27"/>
    <x v="49"/>
    <x v="1"/>
    <d v="2025-01-04T00:00:00"/>
    <x v="2"/>
    <x v="0"/>
    <x v="0"/>
    <x v="0"/>
    <x v="18"/>
    <x v="1"/>
    <x v="0"/>
    <x v="2"/>
  </r>
  <r>
    <x v="50"/>
    <x v="8"/>
    <x v="0"/>
    <n v="41.4"/>
    <x v="50"/>
    <x v="1"/>
    <d v="2025-01-03T00:00:00"/>
    <x v="1"/>
    <x v="1"/>
    <x v="2"/>
    <x v="0"/>
    <x v="19"/>
    <x v="3"/>
    <x v="0"/>
    <x v="1"/>
  </r>
  <r>
    <x v="51"/>
    <x v="8"/>
    <x v="1"/>
    <n v="24.3"/>
    <x v="51"/>
    <x v="1"/>
    <d v="2025-01-05T00:00:00"/>
    <x v="2"/>
    <x v="1"/>
    <x v="0"/>
    <x v="0"/>
    <x v="19"/>
    <x v="2"/>
    <x v="0"/>
    <x v="2"/>
  </r>
  <r>
    <x v="52"/>
    <x v="8"/>
    <x v="2"/>
    <n v="41.7"/>
    <x v="52"/>
    <x v="1"/>
    <d v="2025-01-04T00:00:00"/>
    <x v="1"/>
    <x v="0"/>
    <x v="2"/>
    <x v="0"/>
    <x v="20"/>
    <x v="1"/>
    <x v="0"/>
    <x v="1"/>
  </r>
  <r>
    <x v="53"/>
    <x v="0"/>
    <x v="1"/>
    <n v="18"/>
    <x v="53"/>
    <x v="1"/>
    <d v="2025-01-03T00:00:00"/>
    <x v="2"/>
    <x v="0"/>
    <x v="2"/>
    <x v="0"/>
    <x v="21"/>
    <x v="3"/>
    <x v="0"/>
    <x v="2"/>
  </r>
  <r>
    <x v="54"/>
    <x v="7"/>
    <x v="2"/>
    <n v="91.3"/>
    <x v="54"/>
    <x v="1"/>
    <d v="2025-01-05T00:00:00"/>
    <x v="1"/>
    <x v="2"/>
    <x v="2"/>
    <x v="0"/>
    <x v="3"/>
    <x v="2"/>
    <x v="0"/>
    <x v="1"/>
  </r>
  <r>
    <x v="55"/>
    <x v="8"/>
    <x v="8"/>
    <n v="19.3"/>
    <x v="55"/>
    <x v="1"/>
    <d v="2025-01-03T00:00:00"/>
    <x v="1"/>
    <x v="0"/>
    <x v="0"/>
    <x v="0"/>
    <x v="3"/>
    <x v="3"/>
    <x v="0"/>
    <x v="1"/>
  </r>
  <r>
    <x v="56"/>
    <x v="12"/>
    <x v="15"/>
    <n v="63.2"/>
    <x v="56"/>
    <x v="1"/>
    <d v="2025-01-03T00:00:00"/>
    <x v="2"/>
    <x v="0"/>
    <x v="0"/>
    <x v="0"/>
    <x v="3"/>
    <x v="3"/>
    <x v="0"/>
    <x v="2"/>
  </r>
  <r>
    <x v="57"/>
    <x v="10"/>
    <x v="11"/>
    <n v="33.299999999999997"/>
    <x v="57"/>
    <x v="2"/>
    <d v="2025-01-11T00:00:00"/>
    <x v="2"/>
    <x v="0"/>
    <x v="2"/>
    <x v="0"/>
    <x v="3"/>
    <x v="9"/>
    <x v="0"/>
    <x v="2"/>
  </r>
  <r>
    <x v="58"/>
    <x v="7"/>
    <x v="1"/>
    <n v="64.2"/>
    <x v="58"/>
    <x v="2"/>
    <d v="2025-01-04T00:00:00"/>
    <x v="1"/>
    <x v="0"/>
    <x v="2"/>
    <x v="0"/>
    <x v="3"/>
    <x v="3"/>
    <x v="0"/>
    <x v="1"/>
  </r>
  <r>
    <x v="59"/>
    <x v="9"/>
    <x v="2"/>
    <n v="23.1"/>
    <x v="59"/>
    <x v="2"/>
    <d v="2025-01-06T00:00:00"/>
    <x v="2"/>
    <x v="1"/>
    <x v="2"/>
    <x v="0"/>
    <x v="3"/>
    <x v="2"/>
    <x v="0"/>
    <x v="2"/>
  </r>
  <r>
    <x v="60"/>
    <x v="15"/>
    <x v="1"/>
    <n v="71.099999999999994"/>
    <x v="60"/>
    <x v="2"/>
    <d v="2025-01-05T00:00:00"/>
    <x v="2"/>
    <x v="3"/>
    <x v="1"/>
    <x v="0"/>
    <x v="3"/>
    <x v="1"/>
    <x v="0"/>
    <x v="2"/>
  </r>
  <r>
    <x v="61"/>
    <x v="0"/>
    <x v="1"/>
    <n v="11.5"/>
    <x v="61"/>
    <x v="2"/>
    <d v="2025-01-04T00:00:00"/>
    <x v="2"/>
    <x v="0"/>
    <x v="0"/>
    <x v="0"/>
    <x v="3"/>
    <x v="3"/>
    <x v="0"/>
    <x v="2"/>
  </r>
  <r>
    <x v="62"/>
    <x v="15"/>
    <x v="10"/>
    <n v="69.2"/>
    <x v="62"/>
    <x v="2"/>
    <d v="2025-01-08T00:00:00"/>
    <x v="2"/>
    <x v="0"/>
    <x v="0"/>
    <x v="0"/>
    <x v="3"/>
    <x v="0"/>
    <x v="0"/>
    <x v="2"/>
  </r>
  <r>
    <x v="63"/>
    <x v="0"/>
    <x v="0"/>
    <n v="26.8"/>
    <x v="63"/>
    <x v="2"/>
    <d v="2025-01-04T00:00:00"/>
    <x v="1"/>
    <x v="2"/>
    <x v="4"/>
    <x v="0"/>
    <x v="3"/>
    <x v="3"/>
    <x v="0"/>
    <x v="1"/>
  </r>
  <r>
    <x v="64"/>
    <x v="16"/>
    <x v="2"/>
    <n v="31.2"/>
    <x v="64"/>
    <x v="2"/>
    <d v="2025-01-06T00:00:00"/>
    <x v="2"/>
    <x v="0"/>
    <x v="0"/>
    <x v="0"/>
    <x v="3"/>
    <x v="2"/>
    <x v="0"/>
    <x v="2"/>
  </r>
  <r>
    <x v="65"/>
    <x v="12"/>
    <x v="1"/>
    <n v="113.2"/>
    <x v="65"/>
    <x v="2"/>
    <d v="2025-01-04T00:00:00"/>
    <x v="2"/>
    <x v="4"/>
    <x v="0"/>
    <x v="0"/>
    <x v="3"/>
    <x v="3"/>
    <x v="0"/>
    <x v="2"/>
  </r>
  <r>
    <x v="66"/>
    <x v="10"/>
    <x v="8"/>
    <n v="21"/>
    <x v="66"/>
    <x v="2"/>
    <d v="2025-01-04T00:00:00"/>
    <x v="1"/>
    <x v="0"/>
    <x v="0"/>
    <x v="0"/>
    <x v="6"/>
    <x v="3"/>
    <x v="0"/>
    <x v="1"/>
  </r>
  <r>
    <x v="67"/>
    <x v="1"/>
    <x v="1"/>
    <n v="89.1"/>
    <x v="67"/>
    <x v="2"/>
    <d v="2025-01-04T00:00:00"/>
    <x v="2"/>
    <x v="2"/>
    <x v="2"/>
    <x v="0"/>
    <x v="6"/>
    <x v="3"/>
    <x v="0"/>
    <x v="2"/>
  </r>
  <r>
    <x v="68"/>
    <x v="1"/>
    <x v="0"/>
    <n v="97.7"/>
    <x v="68"/>
    <x v="2"/>
    <d v="2025-01-05T00:00:00"/>
    <x v="2"/>
    <x v="0"/>
    <x v="1"/>
    <x v="0"/>
    <x v="6"/>
    <x v="1"/>
    <x v="0"/>
    <x v="2"/>
  </r>
  <r>
    <x v="69"/>
    <x v="15"/>
    <x v="12"/>
    <n v="97.7"/>
    <x v="69"/>
    <x v="2"/>
    <d v="2025-01-05T00:00:00"/>
    <x v="1"/>
    <x v="3"/>
    <x v="0"/>
    <x v="0"/>
    <x v="6"/>
    <x v="1"/>
    <x v="0"/>
    <x v="1"/>
  </r>
  <r>
    <x v="70"/>
    <x v="17"/>
    <x v="2"/>
    <n v="47.4"/>
    <x v="60"/>
    <x v="2"/>
    <d v="2025-01-06T00:00:00"/>
    <x v="1"/>
    <x v="3"/>
    <x v="2"/>
    <x v="0"/>
    <x v="8"/>
    <x v="2"/>
    <x v="0"/>
    <x v="1"/>
  </r>
  <r>
    <x v="71"/>
    <x v="7"/>
    <x v="0"/>
    <n v="89.6"/>
    <x v="70"/>
    <x v="2"/>
    <d v="2025-01-06T00:00:00"/>
    <x v="2"/>
    <x v="0"/>
    <x v="2"/>
    <x v="0"/>
    <x v="8"/>
    <x v="2"/>
    <x v="0"/>
    <x v="2"/>
  </r>
  <r>
    <x v="72"/>
    <x v="10"/>
    <x v="16"/>
    <n v="28.4"/>
    <x v="71"/>
    <x v="2"/>
    <d v="2025-01-06T00:00:00"/>
    <x v="2"/>
    <x v="3"/>
    <x v="2"/>
    <x v="0"/>
    <x v="17"/>
    <x v="2"/>
    <x v="0"/>
    <x v="2"/>
  </r>
  <r>
    <x v="73"/>
    <x v="0"/>
    <x v="1"/>
    <n v="17.899999999999999"/>
    <x v="72"/>
    <x v="2"/>
    <d v="2025-01-04T00:00:00"/>
    <x v="2"/>
    <x v="0"/>
    <x v="2"/>
    <x v="0"/>
    <x v="9"/>
    <x v="3"/>
    <x v="0"/>
    <x v="2"/>
  </r>
  <r>
    <x v="74"/>
    <x v="9"/>
    <x v="1"/>
    <n v="48.4"/>
    <x v="73"/>
    <x v="2"/>
    <d v="2025-01-06T00:00:00"/>
    <x v="1"/>
    <x v="1"/>
    <x v="0"/>
    <x v="0"/>
    <x v="9"/>
    <x v="2"/>
    <x v="0"/>
    <x v="1"/>
  </r>
  <r>
    <x v="75"/>
    <x v="12"/>
    <x v="12"/>
    <n v="44.4"/>
    <x v="74"/>
    <x v="2"/>
    <d v="2025-01-04T00:00:00"/>
    <x v="3"/>
    <x v="1"/>
    <x v="1"/>
    <x v="0"/>
    <x v="11"/>
    <x v="3"/>
    <x v="0"/>
    <x v="0"/>
  </r>
  <r>
    <x v="76"/>
    <x v="2"/>
    <x v="8"/>
    <n v="103.7"/>
    <x v="75"/>
    <x v="2"/>
    <d v="2025-01-04T00:00:00"/>
    <x v="2"/>
    <x v="0"/>
    <x v="1"/>
    <x v="0"/>
    <x v="19"/>
    <x v="3"/>
    <x v="0"/>
    <x v="2"/>
  </r>
  <r>
    <x v="77"/>
    <x v="5"/>
    <x v="12"/>
    <n v="58.6"/>
    <x v="76"/>
    <x v="2"/>
    <d v="2025-01-05T00:00:00"/>
    <x v="1"/>
    <x v="3"/>
    <x v="0"/>
    <x v="0"/>
    <x v="19"/>
    <x v="1"/>
    <x v="0"/>
    <x v="1"/>
  </r>
  <r>
    <x v="78"/>
    <x v="9"/>
    <x v="12"/>
    <n v="54.8"/>
    <x v="77"/>
    <x v="2"/>
    <d v="2025-01-07T00:00:00"/>
    <x v="2"/>
    <x v="2"/>
    <x v="1"/>
    <x v="0"/>
    <x v="13"/>
    <x v="5"/>
    <x v="0"/>
    <x v="2"/>
  </r>
  <r>
    <x v="79"/>
    <x v="12"/>
    <x v="2"/>
    <n v="78.8"/>
    <x v="78"/>
    <x v="2"/>
    <d v="2025-01-09T00:00:00"/>
    <x v="2"/>
    <x v="4"/>
    <x v="1"/>
    <x v="0"/>
    <x v="21"/>
    <x v="4"/>
    <x v="0"/>
    <x v="2"/>
  </r>
  <r>
    <x v="80"/>
    <x v="18"/>
    <x v="9"/>
    <n v="36.799999999999997"/>
    <x v="79"/>
    <x v="2"/>
    <d v="2025-01-06T00:00:00"/>
    <x v="1"/>
    <x v="4"/>
    <x v="1"/>
    <x v="0"/>
    <x v="22"/>
    <x v="2"/>
    <x v="0"/>
    <x v="1"/>
  </r>
  <r>
    <x v="81"/>
    <x v="6"/>
    <x v="13"/>
    <n v="50.6"/>
    <x v="80"/>
    <x v="2"/>
    <d v="2025-01-05T00:00:00"/>
    <x v="2"/>
    <x v="3"/>
    <x v="0"/>
    <x v="0"/>
    <x v="3"/>
    <x v="1"/>
    <x v="0"/>
    <x v="2"/>
  </r>
  <r>
    <x v="82"/>
    <x v="15"/>
    <x v="2"/>
    <n v="36.799999999999997"/>
    <x v="81"/>
    <x v="2"/>
    <d v="2025-01-03T00:00:00"/>
    <x v="1"/>
    <x v="2"/>
    <x v="1"/>
    <x v="0"/>
    <x v="3"/>
    <x v="7"/>
    <x v="0"/>
    <x v="1"/>
  </r>
  <r>
    <x v="83"/>
    <x v="8"/>
    <x v="11"/>
    <n v="41.8"/>
    <x v="82"/>
    <x v="3"/>
    <d v="2025-01-10T00:00:00"/>
    <x v="2"/>
    <x v="3"/>
    <x v="0"/>
    <x v="0"/>
    <x v="3"/>
    <x v="4"/>
    <x v="0"/>
    <x v="2"/>
  </r>
  <r>
    <x v="84"/>
    <x v="18"/>
    <x v="0"/>
    <n v="77.3"/>
    <x v="83"/>
    <x v="3"/>
    <d v="2025-01-05T00:00:00"/>
    <x v="1"/>
    <x v="4"/>
    <x v="4"/>
    <x v="0"/>
    <x v="3"/>
    <x v="3"/>
    <x v="0"/>
    <x v="1"/>
  </r>
  <r>
    <x v="85"/>
    <x v="8"/>
    <x v="12"/>
    <n v="19.8"/>
    <x v="84"/>
    <x v="3"/>
    <d v="2025-01-10T00:00:00"/>
    <x v="1"/>
    <x v="1"/>
    <x v="2"/>
    <x v="0"/>
    <x v="3"/>
    <x v="4"/>
    <x v="0"/>
    <x v="1"/>
  </r>
  <r>
    <x v="86"/>
    <x v="13"/>
    <x v="12"/>
    <n v="15.5"/>
    <x v="85"/>
    <x v="3"/>
    <d v="2025-01-05T00:00:00"/>
    <x v="2"/>
    <x v="1"/>
    <x v="2"/>
    <x v="0"/>
    <x v="3"/>
    <x v="3"/>
    <x v="0"/>
    <x v="2"/>
  </r>
  <r>
    <x v="87"/>
    <x v="12"/>
    <x v="0"/>
    <n v="46.8"/>
    <x v="86"/>
    <x v="3"/>
    <d v="2025-01-08T00:00:00"/>
    <x v="1"/>
    <x v="0"/>
    <x v="2"/>
    <x v="0"/>
    <x v="3"/>
    <x v="5"/>
    <x v="0"/>
    <x v="1"/>
  </r>
  <r>
    <x v="88"/>
    <x v="9"/>
    <x v="11"/>
    <n v="28.6"/>
    <x v="87"/>
    <x v="3"/>
    <d v="2025-01-08T00:00:00"/>
    <x v="1"/>
    <x v="0"/>
    <x v="2"/>
    <x v="0"/>
    <x v="3"/>
    <x v="5"/>
    <x v="0"/>
    <x v="1"/>
  </r>
  <r>
    <x v="89"/>
    <x v="2"/>
    <x v="0"/>
    <n v="97.7"/>
    <x v="68"/>
    <x v="3"/>
    <d v="2025-01-07T00:00:00"/>
    <x v="2"/>
    <x v="1"/>
    <x v="0"/>
    <x v="0"/>
    <x v="3"/>
    <x v="2"/>
    <x v="0"/>
    <x v="2"/>
  </r>
  <r>
    <x v="90"/>
    <x v="9"/>
    <x v="9"/>
    <n v="54.7"/>
    <x v="88"/>
    <x v="3"/>
    <d v="2025-01-07T00:00:00"/>
    <x v="0"/>
    <x v="0"/>
    <x v="2"/>
    <x v="0"/>
    <x v="23"/>
    <x v="2"/>
    <x v="0"/>
    <x v="0"/>
  </r>
  <r>
    <x v="91"/>
    <x v="2"/>
    <x v="13"/>
    <n v="130.5"/>
    <x v="89"/>
    <x v="3"/>
    <d v="2025-01-06T00:00:00"/>
    <x v="2"/>
    <x v="0"/>
    <x v="1"/>
    <x v="0"/>
    <x v="23"/>
    <x v="1"/>
    <x v="0"/>
    <x v="2"/>
  </r>
  <r>
    <x v="92"/>
    <x v="11"/>
    <x v="1"/>
    <n v="50.4"/>
    <x v="90"/>
    <x v="3"/>
    <d v="2025-01-06T00:00:00"/>
    <x v="1"/>
    <x v="2"/>
    <x v="2"/>
    <x v="0"/>
    <x v="6"/>
    <x v="1"/>
    <x v="0"/>
    <x v="1"/>
  </r>
  <r>
    <x v="93"/>
    <x v="6"/>
    <x v="15"/>
    <n v="61.5"/>
    <x v="91"/>
    <x v="3"/>
    <d v="2025-01-05T00:00:00"/>
    <x v="0"/>
    <x v="3"/>
    <x v="1"/>
    <x v="0"/>
    <x v="11"/>
    <x v="3"/>
    <x v="0"/>
    <x v="0"/>
  </r>
  <r>
    <x v="94"/>
    <x v="9"/>
    <x v="12"/>
    <n v="30.1"/>
    <x v="92"/>
    <x v="3"/>
    <d v="2025-01-05T00:00:00"/>
    <x v="2"/>
    <x v="0"/>
    <x v="2"/>
    <x v="0"/>
    <x v="21"/>
    <x v="3"/>
    <x v="0"/>
    <x v="2"/>
  </r>
  <r>
    <x v="95"/>
    <x v="2"/>
    <x v="9"/>
    <n v="74.8"/>
    <x v="93"/>
    <x v="3"/>
    <d v="2025-01-05T00:00:00"/>
    <x v="2"/>
    <x v="1"/>
    <x v="0"/>
    <x v="0"/>
    <x v="1"/>
    <x v="3"/>
    <x v="0"/>
    <x v="2"/>
  </r>
  <r>
    <x v="96"/>
    <x v="16"/>
    <x v="2"/>
    <n v="64.900000000000006"/>
    <x v="94"/>
    <x v="3"/>
    <d v="2025-01-11T00:00:00"/>
    <x v="1"/>
    <x v="0"/>
    <x v="0"/>
    <x v="0"/>
    <x v="2"/>
    <x v="6"/>
    <x v="0"/>
    <x v="1"/>
  </r>
  <r>
    <x v="97"/>
    <x v="9"/>
    <x v="1"/>
    <n v="50.5"/>
    <x v="95"/>
    <x v="3"/>
    <d v="2025-01-06T00:00:00"/>
    <x v="1"/>
    <x v="1"/>
    <x v="0"/>
    <x v="0"/>
    <x v="22"/>
    <x v="1"/>
    <x v="0"/>
    <x v="1"/>
  </r>
  <r>
    <x v="98"/>
    <x v="11"/>
    <x v="3"/>
    <n v="63"/>
    <x v="96"/>
    <x v="3"/>
    <d v="2025-01-07T00:00:00"/>
    <x v="1"/>
    <x v="3"/>
    <x v="2"/>
    <x v="0"/>
    <x v="3"/>
    <x v="2"/>
    <x v="0"/>
    <x v="1"/>
  </r>
  <r>
    <x v="99"/>
    <x v="2"/>
    <x v="2"/>
    <n v="93.6"/>
    <x v="97"/>
    <x v="3"/>
    <d v="2025-01-17T00:00:00"/>
    <x v="2"/>
    <x v="0"/>
    <x v="2"/>
    <x v="0"/>
    <x v="3"/>
    <x v="10"/>
    <x v="0"/>
    <x v="2"/>
  </r>
  <r>
    <x v="100"/>
    <x v="5"/>
    <x v="17"/>
    <n v="41.4"/>
    <x v="98"/>
    <x v="3"/>
    <d v="2025-01-08T00:00:00"/>
    <x v="1"/>
    <x v="2"/>
    <x v="2"/>
    <x v="0"/>
    <x v="3"/>
    <x v="5"/>
    <x v="0"/>
    <x v="1"/>
  </r>
  <r>
    <x v="101"/>
    <x v="2"/>
    <x v="1"/>
    <n v="160"/>
    <x v="99"/>
    <x v="4"/>
    <d v="2025-01-06T00:00:00"/>
    <x v="1"/>
    <x v="2"/>
    <x v="2"/>
    <x v="0"/>
    <x v="5"/>
    <x v="3"/>
    <x v="1"/>
    <x v="1"/>
  </r>
  <r>
    <x v="102"/>
    <x v="19"/>
    <x v="5"/>
    <n v="10.5"/>
    <x v="100"/>
    <x v="4"/>
    <d v="2025-01-08T00:00:00"/>
    <x v="2"/>
    <x v="4"/>
    <x v="0"/>
    <x v="0"/>
    <x v="8"/>
    <x v="2"/>
    <x v="1"/>
    <x v="2"/>
  </r>
  <r>
    <x v="103"/>
    <x v="10"/>
    <x v="1"/>
    <n v="53"/>
    <x v="101"/>
    <x v="4"/>
    <d v="2025-01-05T00:00:00"/>
    <x v="1"/>
    <x v="2"/>
    <x v="4"/>
    <x v="0"/>
    <x v="17"/>
    <x v="7"/>
    <x v="1"/>
    <x v="1"/>
  </r>
  <r>
    <x v="104"/>
    <x v="8"/>
    <x v="2"/>
    <n v="18.5"/>
    <x v="102"/>
    <x v="4"/>
    <d v="2025-01-10T00:00:00"/>
    <x v="2"/>
    <x v="1"/>
    <x v="2"/>
    <x v="0"/>
    <x v="11"/>
    <x v="0"/>
    <x v="1"/>
    <x v="2"/>
  </r>
  <r>
    <x v="105"/>
    <x v="16"/>
    <x v="2"/>
    <n v="84.5"/>
    <x v="103"/>
    <x v="4"/>
    <d v="2025-01-07T00:00:00"/>
    <x v="2"/>
    <x v="4"/>
    <x v="1"/>
    <x v="0"/>
    <x v="13"/>
    <x v="1"/>
    <x v="1"/>
    <x v="2"/>
  </r>
  <r>
    <x v="106"/>
    <x v="15"/>
    <x v="3"/>
    <n v="31.2"/>
    <x v="104"/>
    <x v="4"/>
    <d v="2025-01-05T00:00:00"/>
    <x v="2"/>
    <x v="2"/>
    <x v="2"/>
    <x v="0"/>
    <x v="3"/>
    <x v="7"/>
    <x v="1"/>
    <x v="2"/>
  </r>
  <r>
    <x v="107"/>
    <x v="8"/>
    <x v="16"/>
    <n v="32.6"/>
    <x v="105"/>
    <x v="4"/>
    <d v="2025-01-06T00:00:00"/>
    <x v="1"/>
    <x v="1"/>
    <x v="1"/>
    <x v="0"/>
    <x v="3"/>
    <x v="3"/>
    <x v="1"/>
    <x v="1"/>
  </r>
  <r>
    <x v="108"/>
    <x v="10"/>
    <x v="12"/>
    <n v="45.4"/>
    <x v="106"/>
    <x v="4"/>
    <d v="2025-01-07T00:00:00"/>
    <x v="1"/>
    <x v="1"/>
    <x v="0"/>
    <x v="0"/>
    <x v="3"/>
    <x v="1"/>
    <x v="1"/>
    <x v="1"/>
  </r>
  <r>
    <x v="109"/>
    <x v="2"/>
    <x v="4"/>
    <n v="120"/>
    <x v="107"/>
    <x v="4"/>
    <d v="2025-01-06T00:00:00"/>
    <x v="2"/>
    <x v="2"/>
    <x v="4"/>
    <x v="0"/>
    <x v="3"/>
    <x v="3"/>
    <x v="1"/>
    <x v="2"/>
  </r>
  <r>
    <x v="110"/>
    <x v="0"/>
    <x v="12"/>
    <n v="18.899999999999999"/>
    <x v="108"/>
    <x v="4"/>
    <d v="2025-01-07T00:00:00"/>
    <x v="1"/>
    <x v="0"/>
    <x v="2"/>
    <x v="0"/>
    <x v="3"/>
    <x v="1"/>
    <x v="1"/>
    <x v="1"/>
  </r>
  <r>
    <x v="111"/>
    <x v="4"/>
    <x v="0"/>
    <n v="32"/>
    <x v="109"/>
    <x v="4"/>
    <d v="2025-01-07T00:00:00"/>
    <x v="2"/>
    <x v="4"/>
    <x v="0"/>
    <x v="0"/>
    <x v="3"/>
    <x v="1"/>
    <x v="1"/>
    <x v="2"/>
  </r>
  <r>
    <x v="112"/>
    <x v="7"/>
    <x v="1"/>
    <n v="37.299999999999997"/>
    <x v="110"/>
    <x v="4"/>
    <d v="2025-01-06T00:00:00"/>
    <x v="1"/>
    <x v="2"/>
    <x v="0"/>
    <x v="0"/>
    <x v="3"/>
    <x v="3"/>
    <x v="1"/>
    <x v="1"/>
  </r>
  <r>
    <x v="113"/>
    <x v="18"/>
    <x v="0"/>
    <n v="119.8"/>
    <x v="111"/>
    <x v="4"/>
    <d v="2025-01-06T00:00:00"/>
    <x v="1"/>
    <x v="1"/>
    <x v="1"/>
    <x v="0"/>
    <x v="3"/>
    <x v="3"/>
    <x v="1"/>
    <x v="1"/>
  </r>
  <r>
    <x v="114"/>
    <x v="10"/>
    <x v="1"/>
    <n v="26.4"/>
    <x v="112"/>
    <x v="4"/>
    <d v="2025-01-08T00:00:00"/>
    <x v="1"/>
    <x v="2"/>
    <x v="0"/>
    <x v="0"/>
    <x v="3"/>
    <x v="2"/>
    <x v="1"/>
    <x v="1"/>
  </r>
  <r>
    <x v="115"/>
    <x v="6"/>
    <x v="13"/>
    <n v="76.5"/>
    <x v="113"/>
    <x v="4"/>
    <d v="2025-01-06T00:00:00"/>
    <x v="2"/>
    <x v="1"/>
    <x v="1"/>
    <x v="0"/>
    <x v="3"/>
    <x v="3"/>
    <x v="1"/>
    <x v="2"/>
  </r>
  <r>
    <x v="116"/>
    <x v="4"/>
    <x v="7"/>
    <n v="45.7"/>
    <x v="114"/>
    <x v="4"/>
    <d v="2025-01-06T00:00:00"/>
    <x v="2"/>
    <x v="2"/>
    <x v="0"/>
    <x v="0"/>
    <x v="24"/>
    <x v="3"/>
    <x v="1"/>
    <x v="2"/>
  </r>
  <r>
    <x v="117"/>
    <x v="1"/>
    <x v="4"/>
    <n v="92.6"/>
    <x v="115"/>
    <x v="4"/>
    <d v="2025-01-07T00:00:00"/>
    <x v="2"/>
    <x v="2"/>
    <x v="0"/>
    <x v="0"/>
    <x v="25"/>
    <x v="1"/>
    <x v="1"/>
    <x v="2"/>
  </r>
  <r>
    <x v="118"/>
    <x v="6"/>
    <x v="13"/>
    <n v="60.1"/>
    <x v="116"/>
    <x v="4"/>
    <d v="2025-01-06T00:00:00"/>
    <x v="1"/>
    <x v="1"/>
    <x v="0"/>
    <x v="0"/>
    <x v="23"/>
    <x v="3"/>
    <x v="1"/>
    <x v="1"/>
  </r>
  <r>
    <x v="119"/>
    <x v="1"/>
    <x v="2"/>
    <n v="73"/>
    <x v="20"/>
    <x v="4"/>
    <d v="2025-01-06T00:00:00"/>
    <x v="2"/>
    <x v="3"/>
    <x v="1"/>
    <x v="0"/>
    <x v="6"/>
    <x v="3"/>
    <x v="1"/>
    <x v="2"/>
  </r>
  <r>
    <x v="120"/>
    <x v="6"/>
    <x v="2"/>
    <n v="44.3"/>
    <x v="117"/>
    <x v="4"/>
    <d v="2025-01-09T00:00:00"/>
    <x v="0"/>
    <x v="2"/>
    <x v="2"/>
    <x v="0"/>
    <x v="6"/>
    <x v="5"/>
    <x v="1"/>
    <x v="0"/>
  </r>
  <r>
    <x v="121"/>
    <x v="6"/>
    <x v="2"/>
    <n v="63.3"/>
    <x v="118"/>
    <x v="4"/>
    <d v="2025-01-06T00:00:00"/>
    <x v="1"/>
    <x v="2"/>
    <x v="0"/>
    <x v="0"/>
    <x v="6"/>
    <x v="3"/>
    <x v="1"/>
    <x v="1"/>
  </r>
  <r>
    <x v="122"/>
    <x v="12"/>
    <x v="0"/>
    <n v="66.8"/>
    <x v="119"/>
    <x v="4"/>
    <d v="2025-01-06T00:00:00"/>
    <x v="2"/>
    <x v="1"/>
    <x v="0"/>
    <x v="0"/>
    <x v="6"/>
    <x v="3"/>
    <x v="1"/>
    <x v="2"/>
  </r>
  <r>
    <x v="123"/>
    <x v="2"/>
    <x v="1"/>
    <n v="59.7"/>
    <x v="120"/>
    <x v="4"/>
    <d v="2025-01-06T00:00:00"/>
    <x v="2"/>
    <x v="0"/>
    <x v="0"/>
    <x v="0"/>
    <x v="7"/>
    <x v="3"/>
    <x v="1"/>
    <x v="2"/>
  </r>
  <r>
    <x v="124"/>
    <x v="1"/>
    <x v="13"/>
    <n v="92"/>
    <x v="121"/>
    <x v="4"/>
    <d v="2025-01-07T00:00:00"/>
    <x v="1"/>
    <x v="0"/>
    <x v="4"/>
    <x v="0"/>
    <x v="7"/>
    <x v="1"/>
    <x v="1"/>
    <x v="1"/>
  </r>
  <r>
    <x v="125"/>
    <x v="7"/>
    <x v="1"/>
    <n v="87.6"/>
    <x v="122"/>
    <x v="4"/>
    <d v="2025-01-07T00:00:00"/>
    <x v="1"/>
    <x v="1"/>
    <x v="1"/>
    <x v="0"/>
    <x v="8"/>
    <x v="1"/>
    <x v="1"/>
    <x v="1"/>
  </r>
  <r>
    <x v="126"/>
    <x v="6"/>
    <x v="2"/>
    <n v="84.5"/>
    <x v="103"/>
    <x v="4"/>
    <d v="2025-01-06T00:00:00"/>
    <x v="2"/>
    <x v="1"/>
    <x v="1"/>
    <x v="0"/>
    <x v="8"/>
    <x v="3"/>
    <x v="1"/>
    <x v="2"/>
  </r>
  <r>
    <x v="127"/>
    <x v="1"/>
    <x v="1"/>
    <n v="116.3"/>
    <x v="123"/>
    <x v="5"/>
    <d v="2025-01-08T00:00:00"/>
    <x v="1"/>
    <x v="2"/>
    <x v="2"/>
    <x v="0"/>
    <x v="8"/>
    <x v="1"/>
    <x v="1"/>
    <x v="1"/>
  </r>
  <r>
    <x v="128"/>
    <x v="6"/>
    <x v="9"/>
    <n v="52.7"/>
    <x v="124"/>
    <x v="5"/>
    <d v="2025-01-10T00:00:00"/>
    <x v="1"/>
    <x v="0"/>
    <x v="0"/>
    <x v="0"/>
    <x v="8"/>
    <x v="5"/>
    <x v="1"/>
    <x v="1"/>
  </r>
  <r>
    <x v="129"/>
    <x v="16"/>
    <x v="2"/>
    <n v="34.200000000000003"/>
    <x v="125"/>
    <x v="5"/>
    <d v="2025-01-07T00:00:00"/>
    <x v="1"/>
    <x v="0"/>
    <x v="2"/>
    <x v="0"/>
    <x v="26"/>
    <x v="3"/>
    <x v="1"/>
    <x v="1"/>
  </r>
  <r>
    <x v="130"/>
    <x v="9"/>
    <x v="0"/>
    <n v="23.3"/>
    <x v="126"/>
    <x v="5"/>
    <d v="2025-01-15T00:00:00"/>
    <x v="3"/>
    <x v="2"/>
    <x v="2"/>
    <x v="0"/>
    <x v="9"/>
    <x v="8"/>
    <x v="1"/>
    <x v="0"/>
  </r>
  <r>
    <x v="131"/>
    <x v="0"/>
    <x v="18"/>
    <n v="25.9"/>
    <x v="127"/>
    <x v="5"/>
    <d v="2025-01-09T00:00:00"/>
    <x v="2"/>
    <x v="4"/>
    <x v="1"/>
    <x v="0"/>
    <x v="9"/>
    <x v="2"/>
    <x v="1"/>
    <x v="2"/>
  </r>
  <r>
    <x v="132"/>
    <x v="6"/>
    <x v="19"/>
    <n v="54.9"/>
    <x v="128"/>
    <x v="5"/>
    <d v="2025-01-07T00:00:00"/>
    <x v="1"/>
    <x v="1"/>
    <x v="2"/>
    <x v="0"/>
    <x v="9"/>
    <x v="3"/>
    <x v="1"/>
    <x v="1"/>
  </r>
  <r>
    <x v="133"/>
    <x v="5"/>
    <x v="2"/>
    <n v="75.8"/>
    <x v="129"/>
    <x v="5"/>
    <d v="2025-01-11T00:00:00"/>
    <x v="3"/>
    <x v="1"/>
    <x v="0"/>
    <x v="0"/>
    <x v="18"/>
    <x v="0"/>
    <x v="1"/>
    <x v="0"/>
  </r>
  <r>
    <x v="134"/>
    <x v="1"/>
    <x v="11"/>
    <n v="44.9"/>
    <x v="130"/>
    <x v="5"/>
    <d v="2025-01-09T00:00:00"/>
    <x v="2"/>
    <x v="2"/>
    <x v="2"/>
    <x v="0"/>
    <x v="2"/>
    <x v="2"/>
    <x v="1"/>
    <x v="2"/>
  </r>
  <r>
    <x v="135"/>
    <x v="11"/>
    <x v="1"/>
    <n v="48.8"/>
    <x v="131"/>
    <x v="5"/>
    <d v="2025-01-08T00:00:00"/>
    <x v="2"/>
    <x v="3"/>
    <x v="0"/>
    <x v="0"/>
    <x v="27"/>
    <x v="1"/>
    <x v="1"/>
    <x v="2"/>
  </r>
  <r>
    <x v="136"/>
    <x v="15"/>
    <x v="0"/>
    <n v="20.3"/>
    <x v="132"/>
    <x v="5"/>
    <d v="2025-01-07T00:00:00"/>
    <x v="2"/>
    <x v="0"/>
    <x v="2"/>
    <x v="0"/>
    <x v="22"/>
    <x v="3"/>
    <x v="1"/>
    <x v="2"/>
  </r>
  <r>
    <x v="137"/>
    <x v="5"/>
    <x v="3"/>
    <n v="36.4"/>
    <x v="133"/>
    <x v="5"/>
    <d v="2025-01-09T00:00:00"/>
    <x v="2"/>
    <x v="0"/>
    <x v="1"/>
    <x v="0"/>
    <x v="3"/>
    <x v="2"/>
    <x v="1"/>
    <x v="2"/>
  </r>
  <r>
    <x v="138"/>
    <x v="0"/>
    <x v="0"/>
    <n v="19"/>
    <x v="134"/>
    <x v="5"/>
    <d v="2025-01-11T00:00:00"/>
    <x v="2"/>
    <x v="1"/>
    <x v="2"/>
    <x v="0"/>
    <x v="3"/>
    <x v="0"/>
    <x v="1"/>
    <x v="2"/>
  </r>
  <r>
    <x v="139"/>
    <x v="8"/>
    <x v="0"/>
    <n v="17.8"/>
    <x v="135"/>
    <x v="5"/>
    <d v="2025-01-06T00:00:00"/>
    <x v="1"/>
    <x v="0"/>
    <x v="0"/>
    <x v="0"/>
    <x v="3"/>
    <x v="7"/>
    <x v="1"/>
    <x v="1"/>
  </r>
  <r>
    <x v="140"/>
    <x v="2"/>
    <x v="13"/>
    <n v="139.6"/>
    <x v="136"/>
    <x v="5"/>
    <d v="2025-01-09T00:00:00"/>
    <x v="1"/>
    <x v="0"/>
    <x v="0"/>
    <x v="0"/>
    <x v="3"/>
    <x v="2"/>
    <x v="1"/>
    <x v="1"/>
  </r>
  <r>
    <x v="141"/>
    <x v="9"/>
    <x v="0"/>
    <n v="31.7"/>
    <x v="137"/>
    <x v="5"/>
    <d v="2025-01-06T00:00:00"/>
    <x v="0"/>
    <x v="0"/>
    <x v="0"/>
    <x v="0"/>
    <x v="3"/>
    <x v="7"/>
    <x v="1"/>
    <x v="0"/>
  </r>
  <r>
    <x v="142"/>
    <x v="8"/>
    <x v="8"/>
    <n v="26.3"/>
    <x v="138"/>
    <x v="5"/>
    <d v="2025-01-09T00:00:00"/>
    <x v="2"/>
    <x v="4"/>
    <x v="4"/>
    <x v="0"/>
    <x v="3"/>
    <x v="2"/>
    <x v="1"/>
    <x v="2"/>
  </r>
  <r>
    <x v="143"/>
    <x v="4"/>
    <x v="1"/>
    <n v="47.8"/>
    <x v="139"/>
    <x v="5"/>
    <d v="2025-01-07T00:00:00"/>
    <x v="0"/>
    <x v="0"/>
    <x v="0"/>
    <x v="0"/>
    <x v="3"/>
    <x v="3"/>
    <x v="1"/>
    <x v="0"/>
  </r>
  <r>
    <x v="144"/>
    <x v="9"/>
    <x v="2"/>
    <n v="69.400000000000006"/>
    <x v="140"/>
    <x v="5"/>
    <d v="2025-01-10T00:00:00"/>
    <x v="2"/>
    <x v="0"/>
    <x v="0"/>
    <x v="0"/>
    <x v="3"/>
    <x v="5"/>
    <x v="1"/>
    <x v="2"/>
  </r>
  <r>
    <x v="145"/>
    <x v="18"/>
    <x v="4"/>
    <n v="25.8"/>
    <x v="141"/>
    <x v="5"/>
    <d v="2025-01-07T00:00:00"/>
    <x v="1"/>
    <x v="4"/>
    <x v="4"/>
    <x v="0"/>
    <x v="3"/>
    <x v="3"/>
    <x v="1"/>
    <x v="1"/>
  </r>
  <r>
    <x v="146"/>
    <x v="0"/>
    <x v="12"/>
    <n v="26.4"/>
    <x v="142"/>
    <x v="5"/>
    <d v="2025-01-07T00:00:00"/>
    <x v="1"/>
    <x v="1"/>
    <x v="2"/>
    <x v="0"/>
    <x v="3"/>
    <x v="3"/>
    <x v="1"/>
    <x v="1"/>
  </r>
  <r>
    <x v="147"/>
    <x v="8"/>
    <x v="12"/>
    <n v="15.7"/>
    <x v="143"/>
    <x v="5"/>
    <d v="2025-01-07T00:00:00"/>
    <x v="1"/>
    <x v="2"/>
    <x v="0"/>
    <x v="0"/>
    <x v="3"/>
    <x v="3"/>
    <x v="1"/>
    <x v="1"/>
  </r>
  <r>
    <x v="148"/>
    <x v="8"/>
    <x v="0"/>
    <n v="39.700000000000003"/>
    <x v="144"/>
    <x v="5"/>
    <d v="2025-01-10T00:00:00"/>
    <x v="1"/>
    <x v="0"/>
    <x v="0"/>
    <x v="0"/>
    <x v="3"/>
    <x v="5"/>
    <x v="1"/>
    <x v="1"/>
  </r>
  <r>
    <x v="149"/>
    <x v="10"/>
    <x v="12"/>
    <n v="31.1"/>
    <x v="145"/>
    <x v="5"/>
    <d v="2025-01-08T00:00:00"/>
    <x v="2"/>
    <x v="2"/>
    <x v="1"/>
    <x v="0"/>
    <x v="3"/>
    <x v="1"/>
    <x v="1"/>
    <x v="2"/>
  </r>
  <r>
    <x v="150"/>
    <x v="13"/>
    <x v="20"/>
    <n v="23.4"/>
    <x v="146"/>
    <x v="5"/>
    <d v="2025-01-15T00:00:00"/>
    <x v="1"/>
    <x v="0"/>
    <x v="0"/>
    <x v="0"/>
    <x v="3"/>
    <x v="8"/>
    <x v="1"/>
    <x v="1"/>
  </r>
  <r>
    <x v="151"/>
    <x v="1"/>
    <x v="12"/>
    <n v="57.1"/>
    <x v="147"/>
    <x v="6"/>
    <d v="2025-01-08T00:00:00"/>
    <x v="1"/>
    <x v="2"/>
    <x v="0"/>
    <x v="0"/>
    <x v="25"/>
    <x v="3"/>
    <x v="1"/>
    <x v="1"/>
  </r>
  <r>
    <x v="152"/>
    <x v="2"/>
    <x v="9"/>
    <n v="89.9"/>
    <x v="148"/>
    <x v="6"/>
    <d v="2025-01-07T00:00:00"/>
    <x v="2"/>
    <x v="0"/>
    <x v="3"/>
    <x v="0"/>
    <x v="23"/>
    <x v="7"/>
    <x v="1"/>
    <x v="2"/>
  </r>
  <r>
    <x v="153"/>
    <x v="10"/>
    <x v="3"/>
    <n v="48.1"/>
    <x v="149"/>
    <x v="6"/>
    <d v="2025-01-09T00:00:00"/>
    <x v="2"/>
    <x v="1"/>
    <x v="2"/>
    <x v="0"/>
    <x v="6"/>
    <x v="1"/>
    <x v="1"/>
    <x v="2"/>
  </r>
  <r>
    <x v="154"/>
    <x v="8"/>
    <x v="1"/>
    <n v="29.3"/>
    <x v="150"/>
    <x v="6"/>
    <d v="2025-01-07T00:00:00"/>
    <x v="2"/>
    <x v="1"/>
    <x v="1"/>
    <x v="0"/>
    <x v="6"/>
    <x v="7"/>
    <x v="1"/>
    <x v="2"/>
  </r>
  <r>
    <x v="155"/>
    <x v="8"/>
    <x v="12"/>
    <n v="28.8"/>
    <x v="151"/>
    <x v="6"/>
    <d v="2025-01-08T00:00:00"/>
    <x v="2"/>
    <x v="0"/>
    <x v="4"/>
    <x v="0"/>
    <x v="6"/>
    <x v="3"/>
    <x v="1"/>
    <x v="2"/>
  </r>
  <r>
    <x v="156"/>
    <x v="10"/>
    <x v="9"/>
    <n v="40.5"/>
    <x v="152"/>
    <x v="6"/>
    <d v="2025-01-11T00:00:00"/>
    <x v="2"/>
    <x v="3"/>
    <x v="0"/>
    <x v="0"/>
    <x v="6"/>
    <x v="5"/>
    <x v="1"/>
    <x v="2"/>
  </r>
  <r>
    <x v="157"/>
    <x v="18"/>
    <x v="21"/>
    <n v="65.099999999999994"/>
    <x v="153"/>
    <x v="6"/>
    <d v="2025-01-08T00:00:00"/>
    <x v="2"/>
    <x v="4"/>
    <x v="0"/>
    <x v="0"/>
    <x v="7"/>
    <x v="3"/>
    <x v="1"/>
    <x v="2"/>
  </r>
  <r>
    <x v="158"/>
    <x v="8"/>
    <x v="12"/>
    <n v="40.299999999999997"/>
    <x v="154"/>
    <x v="6"/>
    <d v="2025-01-12T00:00:00"/>
    <x v="2"/>
    <x v="2"/>
    <x v="0"/>
    <x v="0"/>
    <x v="7"/>
    <x v="0"/>
    <x v="1"/>
    <x v="2"/>
  </r>
  <r>
    <x v="159"/>
    <x v="6"/>
    <x v="9"/>
    <n v="51.8"/>
    <x v="155"/>
    <x v="6"/>
    <d v="2025-01-08T00:00:00"/>
    <x v="1"/>
    <x v="2"/>
    <x v="2"/>
    <x v="0"/>
    <x v="8"/>
    <x v="3"/>
    <x v="1"/>
    <x v="1"/>
  </r>
  <r>
    <x v="160"/>
    <x v="6"/>
    <x v="2"/>
    <n v="61.3"/>
    <x v="156"/>
    <x v="6"/>
    <d v="2025-01-08T00:00:00"/>
    <x v="2"/>
    <x v="3"/>
    <x v="0"/>
    <x v="0"/>
    <x v="8"/>
    <x v="3"/>
    <x v="1"/>
    <x v="2"/>
  </r>
  <r>
    <x v="161"/>
    <x v="2"/>
    <x v="12"/>
    <n v="122.5"/>
    <x v="157"/>
    <x v="6"/>
    <d v="2025-01-08T00:00:00"/>
    <x v="1"/>
    <x v="0"/>
    <x v="0"/>
    <x v="0"/>
    <x v="8"/>
    <x v="3"/>
    <x v="1"/>
    <x v="1"/>
  </r>
  <r>
    <x v="162"/>
    <x v="0"/>
    <x v="11"/>
    <n v="12.5"/>
    <x v="158"/>
    <x v="6"/>
    <d v="2025-01-08T00:00:00"/>
    <x v="0"/>
    <x v="1"/>
    <x v="2"/>
    <x v="0"/>
    <x v="8"/>
    <x v="3"/>
    <x v="1"/>
    <x v="0"/>
  </r>
  <r>
    <x v="163"/>
    <x v="15"/>
    <x v="8"/>
    <n v="37.5"/>
    <x v="159"/>
    <x v="6"/>
    <d v="2025-01-08T00:00:00"/>
    <x v="2"/>
    <x v="0"/>
    <x v="0"/>
    <x v="0"/>
    <x v="9"/>
    <x v="3"/>
    <x v="1"/>
    <x v="2"/>
  </r>
  <r>
    <x v="164"/>
    <x v="6"/>
    <x v="2"/>
    <n v="40"/>
    <x v="160"/>
    <x v="6"/>
    <d v="2025-01-10T00:00:00"/>
    <x v="1"/>
    <x v="0"/>
    <x v="4"/>
    <x v="0"/>
    <x v="11"/>
    <x v="2"/>
    <x v="1"/>
    <x v="1"/>
  </r>
  <r>
    <x v="165"/>
    <x v="17"/>
    <x v="8"/>
    <n v="38.5"/>
    <x v="161"/>
    <x v="6"/>
    <d v="2025-01-12T00:00:00"/>
    <x v="2"/>
    <x v="2"/>
    <x v="1"/>
    <x v="0"/>
    <x v="11"/>
    <x v="0"/>
    <x v="1"/>
    <x v="2"/>
  </r>
  <r>
    <x v="166"/>
    <x v="2"/>
    <x v="1"/>
    <n v="86.4"/>
    <x v="162"/>
    <x v="6"/>
    <d v="2025-01-09T00:00:00"/>
    <x v="2"/>
    <x v="0"/>
    <x v="0"/>
    <x v="0"/>
    <x v="18"/>
    <x v="1"/>
    <x v="1"/>
    <x v="2"/>
  </r>
  <r>
    <x v="167"/>
    <x v="10"/>
    <x v="0"/>
    <n v="50.7"/>
    <x v="163"/>
    <x v="6"/>
    <d v="2025-01-11T00:00:00"/>
    <x v="2"/>
    <x v="1"/>
    <x v="0"/>
    <x v="0"/>
    <x v="18"/>
    <x v="5"/>
    <x v="1"/>
    <x v="2"/>
  </r>
  <r>
    <x v="168"/>
    <x v="10"/>
    <x v="1"/>
    <n v="61"/>
    <x v="164"/>
    <x v="6"/>
    <d v="2025-01-18T00:00:00"/>
    <x v="2"/>
    <x v="4"/>
    <x v="1"/>
    <x v="0"/>
    <x v="18"/>
    <x v="11"/>
    <x v="1"/>
    <x v="2"/>
  </r>
  <r>
    <x v="169"/>
    <x v="4"/>
    <x v="1"/>
    <n v="19.899999999999999"/>
    <x v="165"/>
    <x v="6"/>
    <d v="2025-01-10T00:00:00"/>
    <x v="2"/>
    <x v="1"/>
    <x v="0"/>
    <x v="0"/>
    <x v="28"/>
    <x v="2"/>
    <x v="1"/>
    <x v="2"/>
  </r>
  <r>
    <x v="170"/>
    <x v="5"/>
    <x v="0"/>
    <n v="78.3"/>
    <x v="166"/>
    <x v="6"/>
    <d v="2025-01-07T00:00:00"/>
    <x v="2"/>
    <x v="0"/>
    <x v="2"/>
    <x v="0"/>
    <x v="1"/>
    <x v="7"/>
    <x v="1"/>
    <x v="2"/>
  </r>
  <r>
    <x v="171"/>
    <x v="0"/>
    <x v="10"/>
    <n v="10.4"/>
    <x v="167"/>
    <x v="6"/>
    <d v="2025-01-09T00:00:00"/>
    <x v="1"/>
    <x v="0"/>
    <x v="2"/>
    <x v="0"/>
    <x v="2"/>
    <x v="1"/>
    <x v="1"/>
    <x v="1"/>
  </r>
  <r>
    <x v="172"/>
    <x v="10"/>
    <x v="0"/>
    <n v="36.1"/>
    <x v="168"/>
    <x v="6"/>
    <d v="2025-01-10T00:00:00"/>
    <x v="1"/>
    <x v="3"/>
    <x v="2"/>
    <x v="0"/>
    <x v="3"/>
    <x v="2"/>
    <x v="1"/>
    <x v="1"/>
  </r>
  <r>
    <x v="173"/>
    <x v="14"/>
    <x v="1"/>
    <n v="17.3"/>
    <x v="169"/>
    <x v="6"/>
    <d v="2025-01-09T00:00:00"/>
    <x v="2"/>
    <x v="1"/>
    <x v="2"/>
    <x v="0"/>
    <x v="3"/>
    <x v="1"/>
    <x v="1"/>
    <x v="2"/>
  </r>
  <r>
    <x v="174"/>
    <x v="10"/>
    <x v="1"/>
    <n v="30.5"/>
    <x v="170"/>
    <x v="6"/>
    <d v="2025-01-08T00:00:00"/>
    <x v="2"/>
    <x v="1"/>
    <x v="2"/>
    <x v="0"/>
    <x v="3"/>
    <x v="3"/>
    <x v="1"/>
    <x v="2"/>
  </r>
  <r>
    <x v="175"/>
    <x v="18"/>
    <x v="22"/>
    <n v="70.099999999999994"/>
    <x v="171"/>
    <x v="6"/>
    <d v="2025-01-07T00:00:00"/>
    <x v="2"/>
    <x v="2"/>
    <x v="0"/>
    <x v="0"/>
    <x v="3"/>
    <x v="7"/>
    <x v="1"/>
    <x v="2"/>
  </r>
  <r>
    <x v="176"/>
    <x v="3"/>
    <x v="0"/>
    <n v="76.099999999999994"/>
    <x v="172"/>
    <x v="6"/>
    <d v="2025-01-07T00:00:00"/>
    <x v="2"/>
    <x v="2"/>
    <x v="1"/>
    <x v="0"/>
    <x v="3"/>
    <x v="7"/>
    <x v="1"/>
    <x v="2"/>
  </r>
  <r>
    <x v="177"/>
    <x v="15"/>
    <x v="15"/>
    <n v="34.200000000000003"/>
    <x v="173"/>
    <x v="6"/>
    <d v="2025-01-08T00:00:00"/>
    <x v="1"/>
    <x v="0"/>
    <x v="0"/>
    <x v="0"/>
    <x v="3"/>
    <x v="3"/>
    <x v="1"/>
    <x v="1"/>
  </r>
  <r>
    <x v="178"/>
    <x v="8"/>
    <x v="9"/>
    <n v="30.3"/>
    <x v="174"/>
    <x v="6"/>
    <d v="2025-01-12T00:00:00"/>
    <x v="2"/>
    <x v="4"/>
    <x v="0"/>
    <x v="0"/>
    <x v="3"/>
    <x v="0"/>
    <x v="1"/>
    <x v="2"/>
  </r>
  <r>
    <x v="179"/>
    <x v="6"/>
    <x v="9"/>
    <n v="52.5"/>
    <x v="175"/>
    <x v="6"/>
    <d v="2025-01-11T00:00:00"/>
    <x v="0"/>
    <x v="3"/>
    <x v="0"/>
    <x v="0"/>
    <x v="3"/>
    <x v="5"/>
    <x v="1"/>
    <x v="0"/>
  </r>
  <r>
    <x v="180"/>
    <x v="9"/>
    <x v="5"/>
    <n v="28.7"/>
    <x v="176"/>
    <x v="6"/>
    <d v="2025-01-08T00:00:00"/>
    <x v="2"/>
    <x v="2"/>
    <x v="0"/>
    <x v="0"/>
    <x v="3"/>
    <x v="3"/>
    <x v="1"/>
    <x v="2"/>
  </r>
  <r>
    <x v="181"/>
    <x v="7"/>
    <x v="3"/>
    <n v="52"/>
    <x v="177"/>
    <x v="6"/>
    <d v="2025-01-08T00:00:00"/>
    <x v="1"/>
    <x v="1"/>
    <x v="4"/>
    <x v="0"/>
    <x v="3"/>
    <x v="3"/>
    <x v="1"/>
    <x v="1"/>
  </r>
  <r>
    <x v="182"/>
    <x v="0"/>
    <x v="0"/>
    <n v="13.3"/>
    <x v="178"/>
    <x v="7"/>
    <d v="2025-01-12T00:00:00"/>
    <x v="2"/>
    <x v="2"/>
    <x v="1"/>
    <x v="0"/>
    <x v="3"/>
    <x v="5"/>
    <x v="1"/>
    <x v="2"/>
  </r>
  <r>
    <x v="183"/>
    <x v="0"/>
    <x v="2"/>
    <n v="15.7"/>
    <x v="179"/>
    <x v="7"/>
    <d v="2025-01-09T00:00:00"/>
    <x v="2"/>
    <x v="1"/>
    <x v="0"/>
    <x v="0"/>
    <x v="29"/>
    <x v="3"/>
    <x v="1"/>
    <x v="2"/>
  </r>
  <r>
    <x v="184"/>
    <x v="8"/>
    <x v="1"/>
    <n v="25.6"/>
    <x v="180"/>
    <x v="7"/>
    <d v="2025-01-09T00:00:00"/>
    <x v="1"/>
    <x v="0"/>
    <x v="2"/>
    <x v="0"/>
    <x v="23"/>
    <x v="3"/>
    <x v="1"/>
    <x v="1"/>
  </r>
  <r>
    <x v="185"/>
    <x v="8"/>
    <x v="0"/>
    <n v="43.4"/>
    <x v="181"/>
    <x v="7"/>
    <d v="2025-01-13T00:00:00"/>
    <x v="1"/>
    <x v="0"/>
    <x v="0"/>
    <x v="0"/>
    <x v="6"/>
    <x v="0"/>
    <x v="1"/>
    <x v="1"/>
  </r>
  <r>
    <x v="186"/>
    <x v="11"/>
    <x v="11"/>
    <n v="33.4"/>
    <x v="182"/>
    <x v="7"/>
    <d v="2025-01-08T00:00:00"/>
    <x v="2"/>
    <x v="0"/>
    <x v="0"/>
    <x v="0"/>
    <x v="8"/>
    <x v="7"/>
    <x v="1"/>
    <x v="2"/>
  </r>
  <r>
    <x v="187"/>
    <x v="8"/>
    <x v="10"/>
    <n v="55"/>
    <x v="183"/>
    <x v="7"/>
    <d v="2025-01-09T00:00:00"/>
    <x v="2"/>
    <x v="1"/>
    <x v="2"/>
    <x v="0"/>
    <x v="8"/>
    <x v="3"/>
    <x v="1"/>
    <x v="2"/>
  </r>
  <r>
    <x v="188"/>
    <x v="8"/>
    <x v="2"/>
    <n v="23.6"/>
    <x v="184"/>
    <x v="7"/>
    <d v="2025-01-09T00:00:00"/>
    <x v="1"/>
    <x v="0"/>
    <x v="2"/>
    <x v="0"/>
    <x v="8"/>
    <x v="3"/>
    <x v="1"/>
    <x v="1"/>
  </r>
  <r>
    <x v="189"/>
    <x v="12"/>
    <x v="11"/>
    <n v="104"/>
    <x v="185"/>
    <x v="7"/>
    <d v="2025-01-10T00:00:00"/>
    <x v="2"/>
    <x v="2"/>
    <x v="2"/>
    <x v="0"/>
    <x v="17"/>
    <x v="1"/>
    <x v="1"/>
    <x v="2"/>
  </r>
  <r>
    <x v="190"/>
    <x v="6"/>
    <x v="1"/>
    <n v="51.8"/>
    <x v="186"/>
    <x v="7"/>
    <d v="2025-01-12T00:00:00"/>
    <x v="0"/>
    <x v="0"/>
    <x v="2"/>
    <x v="0"/>
    <x v="10"/>
    <x v="5"/>
    <x v="1"/>
    <x v="0"/>
  </r>
  <r>
    <x v="191"/>
    <x v="10"/>
    <x v="9"/>
    <n v="34.5"/>
    <x v="187"/>
    <x v="7"/>
    <d v="2025-01-10T00:00:00"/>
    <x v="0"/>
    <x v="2"/>
    <x v="2"/>
    <x v="0"/>
    <x v="11"/>
    <x v="1"/>
    <x v="1"/>
    <x v="0"/>
  </r>
  <r>
    <x v="192"/>
    <x v="6"/>
    <x v="1"/>
    <n v="51.8"/>
    <x v="186"/>
    <x v="7"/>
    <d v="2025-01-10T00:00:00"/>
    <x v="1"/>
    <x v="1"/>
    <x v="2"/>
    <x v="0"/>
    <x v="30"/>
    <x v="1"/>
    <x v="1"/>
    <x v="1"/>
  </r>
  <r>
    <x v="193"/>
    <x v="18"/>
    <x v="23"/>
    <n v="131.5"/>
    <x v="188"/>
    <x v="7"/>
    <d v="2025-01-09T00:00:00"/>
    <x v="2"/>
    <x v="0"/>
    <x v="2"/>
    <x v="0"/>
    <x v="18"/>
    <x v="3"/>
    <x v="1"/>
    <x v="2"/>
  </r>
  <r>
    <x v="194"/>
    <x v="8"/>
    <x v="3"/>
    <n v="47.8"/>
    <x v="189"/>
    <x v="7"/>
    <d v="2025-01-08T00:00:00"/>
    <x v="2"/>
    <x v="0"/>
    <x v="0"/>
    <x v="0"/>
    <x v="19"/>
    <x v="7"/>
    <x v="1"/>
    <x v="2"/>
  </r>
  <r>
    <x v="195"/>
    <x v="0"/>
    <x v="1"/>
    <n v="10.199999999999999"/>
    <x v="190"/>
    <x v="7"/>
    <d v="2025-01-10T00:00:00"/>
    <x v="2"/>
    <x v="0"/>
    <x v="0"/>
    <x v="0"/>
    <x v="19"/>
    <x v="1"/>
    <x v="1"/>
    <x v="2"/>
  </r>
  <r>
    <x v="196"/>
    <x v="8"/>
    <x v="8"/>
    <n v="41"/>
    <x v="191"/>
    <x v="7"/>
    <d v="2025-01-08T00:00:00"/>
    <x v="2"/>
    <x v="1"/>
    <x v="2"/>
    <x v="0"/>
    <x v="19"/>
    <x v="7"/>
    <x v="1"/>
    <x v="2"/>
  </r>
  <r>
    <x v="197"/>
    <x v="10"/>
    <x v="3"/>
    <n v="50.8"/>
    <x v="192"/>
    <x v="7"/>
    <d v="2025-01-11T00:00:00"/>
    <x v="2"/>
    <x v="1"/>
    <x v="0"/>
    <x v="0"/>
    <x v="21"/>
    <x v="2"/>
    <x v="1"/>
    <x v="2"/>
  </r>
  <r>
    <x v="198"/>
    <x v="18"/>
    <x v="2"/>
    <n v="39.6"/>
    <x v="193"/>
    <x v="7"/>
    <d v="2025-01-09T00:00:00"/>
    <x v="1"/>
    <x v="2"/>
    <x v="2"/>
    <x v="0"/>
    <x v="1"/>
    <x v="3"/>
    <x v="1"/>
    <x v="1"/>
  </r>
  <r>
    <x v="199"/>
    <x v="5"/>
    <x v="1"/>
    <n v="69.5"/>
    <x v="194"/>
    <x v="7"/>
    <d v="2025-01-10T00:00:00"/>
    <x v="1"/>
    <x v="0"/>
    <x v="2"/>
    <x v="0"/>
    <x v="2"/>
    <x v="1"/>
    <x v="1"/>
    <x v="1"/>
  </r>
  <r>
    <x v="200"/>
    <x v="8"/>
    <x v="8"/>
    <n v="32.6"/>
    <x v="195"/>
    <x v="7"/>
    <d v="2025-01-11T00:00:00"/>
    <x v="1"/>
    <x v="1"/>
    <x v="0"/>
    <x v="0"/>
    <x v="3"/>
    <x v="2"/>
    <x v="1"/>
    <x v="1"/>
  </r>
  <r>
    <x v="201"/>
    <x v="7"/>
    <x v="1"/>
    <n v="49.1"/>
    <x v="196"/>
    <x v="7"/>
    <d v="2025-01-16T00:00:00"/>
    <x v="1"/>
    <x v="3"/>
    <x v="2"/>
    <x v="0"/>
    <x v="3"/>
    <x v="9"/>
    <x v="1"/>
    <x v="1"/>
  </r>
  <r>
    <x v="202"/>
    <x v="6"/>
    <x v="1"/>
    <n v="49.4"/>
    <x v="197"/>
    <x v="8"/>
    <d v="2025-01-10T00:00:00"/>
    <x v="2"/>
    <x v="2"/>
    <x v="0"/>
    <x v="0"/>
    <x v="3"/>
    <x v="3"/>
    <x v="1"/>
    <x v="2"/>
  </r>
  <r>
    <x v="203"/>
    <x v="7"/>
    <x v="3"/>
    <n v="65.099999999999994"/>
    <x v="198"/>
    <x v="8"/>
    <d v="2025-01-12T00:00:00"/>
    <x v="2"/>
    <x v="2"/>
    <x v="2"/>
    <x v="0"/>
    <x v="3"/>
    <x v="2"/>
    <x v="1"/>
    <x v="2"/>
  </r>
  <r>
    <x v="204"/>
    <x v="3"/>
    <x v="1"/>
    <n v="52.1"/>
    <x v="199"/>
    <x v="8"/>
    <d v="2025-01-13T00:00:00"/>
    <x v="2"/>
    <x v="2"/>
    <x v="0"/>
    <x v="0"/>
    <x v="3"/>
    <x v="5"/>
    <x v="1"/>
    <x v="2"/>
  </r>
  <r>
    <x v="205"/>
    <x v="2"/>
    <x v="12"/>
    <n v="129.19999999999999"/>
    <x v="200"/>
    <x v="8"/>
    <d v="2025-01-10T00:00:00"/>
    <x v="2"/>
    <x v="1"/>
    <x v="0"/>
    <x v="0"/>
    <x v="3"/>
    <x v="3"/>
    <x v="1"/>
    <x v="2"/>
  </r>
  <r>
    <x v="206"/>
    <x v="1"/>
    <x v="10"/>
    <n v="81.8"/>
    <x v="201"/>
    <x v="8"/>
    <d v="2025-01-09T00:00:00"/>
    <x v="2"/>
    <x v="1"/>
    <x v="1"/>
    <x v="0"/>
    <x v="3"/>
    <x v="7"/>
    <x v="1"/>
    <x v="2"/>
  </r>
  <r>
    <x v="207"/>
    <x v="17"/>
    <x v="0"/>
    <n v="24.9"/>
    <x v="202"/>
    <x v="8"/>
    <d v="2025-01-13T00:00:00"/>
    <x v="2"/>
    <x v="1"/>
    <x v="0"/>
    <x v="0"/>
    <x v="3"/>
    <x v="5"/>
    <x v="1"/>
    <x v="2"/>
  </r>
  <r>
    <x v="208"/>
    <x v="0"/>
    <x v="2"/>
    <n v="49.4"/>
    <x v="203"/>
    <x v="8"/>
    <d v="2025-01-12T00:00:00"/>
    <x v="2"/>
    <x v="4"/>
    <x v="4"/>
    <x v="0"/>
    <x v="3"/>
    <x v="2"/>
    <x v="1"/>
    <x v="2"/>
  </r>
  <r>
    <x v="209"/>
    <x v="8"/>
    <x v="1"/>
    <n v="22.7"/>
    <x v="204"/>
    <x v="8"/>
    <d v="2025-01-10T00:00:00"/>
    <x v="1"/>
    <x v="3"/>
    <x v="2"/>
    <x v="0"/>
    <x v="3"/>
    <x v="3"/>
    <x v="1"/>
    <x v="1"/>
  </r>
  <r>
    <x v="210"/>
    <x v="1"/>
    <x v="0"/>
    <n v="77.3"/>
    <x v="83"/>
    <x v="8"/>
    <d v="2025-01-09T00:00:00"/>
    <x v="2"/>
    <x v="0"/>
    <x v="2"/>
    <x v="0"/>
    <x v="6"/>
    <x v="7"/>
    <x v="1"/>
    <x v="2"/>
  </r>
  <r>
    <x v="211"/>
    <x v="1"/>
    <x v="9"/>
    <n v="109.1"/>
    <x v="205"/>
    <x v="8"/>
    <d v="2025-01-12T00:00:00"/>
    <x v="2"/>
    <x v="0"/>
    <x v="0"/>
    <x v="0"/>
    <x v="6"/>
    <x v="2"/>
    <x v="1"/>
    <x v="2"/>
  </r>
  <r>
    <x v="212"/>
    <x v="2"/>
    <x v="12"/>
    <n v="53.9"/>
    <x v="206"/>
    <x v="8"/>
    <d v="2025-01-10T00:00:00"/>
    <x v="1"/>
    <x v="0"/>
    <x v="1"/>
    <x v="0"/>
    <x v="8"/>
    <x v="3"/>
    <x v="1"/>
    <x v="1"/>
  </r>
  <r>
    <x v="213"/>
    <x v="9"/>
    <x v="18"/>
    <n v="21.2"/>
    <x v="207"/>
    <x v="8"/>
    <d v="2025-01-09T00:00:00"/>
    <x v="2"/>
    <x v="0"/>
    <x v="0"/>
    <x v="0"/>
    <x v="9"/>
    <x v="7"/>
    <x v="1"/>
    <x v="2"/>
  </r>
  <r>
    <x v="214"/>
    <x v="16"/>
    <x v="12"/>
    <n v="69"/>
    <x v="208"/>
    <x v="8"/>
    <d v="2025-01-11T00:00:00"/>
    <x v="2"/>
    <x v="1"/>
    <x v="1"/>
    <x v="0"/>
    <x v="18"/>
    <x v="1"/>
    <x v="1"/>
    <x v="2"/>
  </r>
  <r>
    <x v="215"/>
    <x v="6"/>
    <x v="2"/>
    <n v="46.2"/>
    <x v="209"/>
    <x v="8"/>
    <d v="2025-01-11T00:00:00"/>
    <x v="2"/>
    <x v="0"/>
    <x v="2"/>
    <x v="0"/>
    <x v="31"/>
    <x v="1"/>
    <x v="1"/>
    <x v="2"/>
  </r>
  <r>
    <x v="216"/>
    <x v="1"/>
    <x v="9"/>
    <n v="97.4"/>
    <x v="210"/>
    <x v="8"/>
    <d v="2025-01-13T00:00:00"/>
    <x v="2"/>
    <x v="4"/>
    <x v="2"/>
    <x v="0"/>
    <x v="21"/>
    <x v="5"/>
    <x v="1"/>
    <x v="2"/>
  </r>
  <r>
    <x v="217"/>
    <x v="8"/>
    <x v="9"/>
    <n v="21"/>
    <x v="211"/>
    <x v="8"/>
    <d v="2025-01-10T00:00:00"/>
    <x v="1"/>
    <x v="0"/>
    <x v="1"/>
    <x v="0"/>
    <x v="21"/>
    <x v="3"/>
    <x v="1"/>
    <x v="1"/>
  </r>
  <r>
    <x v="218"/>
    <x v="5"/>
    <x v="1"/>
    <n v="32.700000000000003"/>
    <x v="212"/>
    <x v="9"/>
    <d v="2025-01-13T00:00:00"/>
    <x v="2"/>
    <x v="1"/>
    <x v="0"/>
    <x v="0"/>
    <x v="2"/>
    <x v="2"/>
    <x v="1"/>
    <x v="2"/>
  </r>
  <r>
    <x v="219"/>
    <x v="6"/>
    <x v="12"/>
    <n v="48"/>
    <x v="213"/>
    <x v="9"/>
    <d v="2025-01-11T00:00:00"/>
    <x v="1"/>
    <x v="3"/>
    <x v="0"/>
    <x v="0"/>
    <x v="3"/>
    <x v="3"/>
    <x v="1"/>
    <x v="1"/>
  </r>
  <r>
    <x v="220"/>
    <x v="6"/>
    <x v="2"/>
    <n v="68.2"/>
    <x v="214"/>
    <x v="9"/>
    <d v="2025-01-14T00:00:00"/>
    <x v="0"/>
    <x v="0"/>
    <x v="2"/>
    <x v="0"/>
    <x v="3"/>
    <x v="5"/>
    <x v="1"/>
    <x v="0"/>
  </r>
  <r>
    <x v="221"/>
    <x v="5"/>
    <x v="0"/>
    <n v="45.4"/>
    <x v="204"/>
    <x v="9"/>
    <d v="2025-01-12T00:00:00"/>
    <x v="1"/>
    <x v="1"/>
    <x v="0"/>
    <x v="0"/>
    <x v="3"/>
    <x v="1"/>
    <x v="1"/>
    <x v="1"/>
  </r>
  <r>
    <x v="222"/>
    <x v="12"/>
    <x v="1"/>
    <n v="53.9"/>
    <x v="215"/>
    <x v="9"/>
    <d v="2025-01-11T00:00:00"/>
    <x v="2"/>
    <x v="2"/>
    <x v="0"/>
    <x v="0"/>
    <x v="3"/>
    <x v="3"/>
    <x v="1"/>
    <x v="2"/>
  </r>
  <r>
    <x v="223"/>
    <x v="2"/>
    <x v="12"/>
    <n v="62.1"/>
    <x v="216"/>
    <x v="9"/>
    <d v="2025-01-14T00:00:00"/>
    <x v="2"/>
    <x v="0"/>
    <x v="0"/>
    <x v="0"/>
    <x v="4"/>
    <x v="5"/>
    <x v="1"/>
    <x v="2"/>
  </r>
  <r>
    <x v="224"/>
    <x v="13"/>
    <x v="3"/>
    <n v="33.1"/>
    <x v="217"/>
    <x v="9"/>
    <d v="2025-01-15T00:00:00"/>
    <x v="1"/>
    <x v="1"/>
    <x v="0"/>
    <x v="0"/>
    <x v="6"/>
    <x v="0"/>
    <x v="1"/>
    <x v="1"/>
  </r>
  <r>
    <x v="225"/>
    <x v="18"/>
    <x v="9"/>
    <n v="35.200000000000003"/>
    <x v="218"/>
    <x v="9"/>
    <d v="2025-01-10T00:00:00"/>
    <x v="2"/>
    <x v="1"/>
    <x v="0"/>
    <x v="0"/>
    <x v="6"/>
    <x v="7"/>
    <x v="1"/>
    <x v="2"/>
  </r>
  <r>
    <x v="226"/>
    <x v="9"/>
    <x v="2"/>
    <n v="32.1"/>
    <x v="219"/>
    <x v="9"/>
    <d v="2025-01-15T00:00:00"/>
    <x v="1"/>
    <x v="3"/>
    <x v="0"/>
    <x v="0"/>
    <x v="8"/>
    <x v="0"/>
    <x v="1"/>
    <x v="1"/>
  </r>
  <r>
    <x v="227"/>
    <x v="11"/>
    <x v="0"/>
    <n v="38.1"/>
    <x v="220"/>
    <x v="9"/>
    <d v="2025-01-15T00:00:00"/>
    <x v="2"/>
    <x v="0"/>
    <x v="2"/>
    <x v="0"/>
    <x v="8"/>
    <x v="0"/>
    <x v="1"/>
    <x v="2"/>
  </r>
  <r>
    <x v="228"/>
    <x v="8"/>
    <x v="0"/>
    <n v="65.2"/>
    <x v="221"/>
    <x v="9"/>
    <d v="2025-01-15T00:00:00"/>
    <x v="2"/>
    <x v="3"/>
    <x v="1"/>
    <x v="0"/>
    <x v="8"/>
    <x v="0"/>
    <x v="1"/>
    <x v="2"/>
  </r>
  <r>
    <x v="229"/>
    <x v="10"/>
    <x v="3"/>
    <n v="55.2"/>
    <x v="222"/>
    <x v="9"/>
    <d v="2025-01-11T00:00:00"/>
    <x v="1"/>
    <x v="2"/>
    <x v="0"/>
    <x v="0"/>
    <x v="11"/>
    <x v="3"/>
    <x v="1"/>
    <x v="1"/>
  </r>
  <r>
    <x v="230"/>
    <x v="6"/>
    <x v="0"/>
    <n v="62"/>
    <x v="85"/>
    <x v="9"/>
    <d v="2025-01-14T00:00:00"/>
    <x v="2"/>
    <x v="0"/>
    <x v="0"/>
    <x v="0"/>
    <x v="11"/>
    <x v="5"/>
    <x v="1"/>
    <x v="2"/>
  </r>
  <r>
    <x v="231"/>
    <x v="7"/>
    <x v="2"/>
    <n v="45.9"/>
    <x v="223"/>
    <x v="9"/>
    <d v="2025-01-11T00:00:00"/>
    <x v="2"/>
    <x v="2"/>
    <x v="0"/>
    <x v="0"/>
    <x v="32"/>
    <x v="3"/>
    <x v="1"/>
    <x v="2"/>
  </r>
  <r>
    <x v="232"/>
    <x v="18"/>
    <x v="2"/>
    <n v="58.3"/>
    <x v="224"/>
    <x v="9"/>
    <d v="2025-01-10T00:00:00"/>
    <x v="1"/>
    <x v="1"/>
    <x v="1"/>
    <x v="0"/>
    <x v="18"/>
    <x v="7"/>
    <x v="1"/>
    <x v="1"/>
  </r>
  <r>
    <x v="233"/>
    <x v="8"/>
    <x v="1"/>
    <n v="22.3"/>
    <x v="225"/>
    <x v="9"/>
    <d v="2025-01-13T00:00:00"/>
    <x v="2"/>
    <x v="0"/>
    <x v="2"/>
    <x v="0"/>
    <x v="20"/>
    <x v="2"/>
    <x v="1"/>
    <x v="2"/>
  </r>
  <r>
    <x v="234"/>
    <x v="19"/>
    <x v="9"/>
    <n v="24"/>
    <x v="160"/>
    <x v="9"/>
    <d v="2025-01-11T00:00:00"/>
    <x v="1"/>
    <x v="4"/>
    <x v="0"/>
    <x v="0"/>
    <x v="1"/>
    <x v="3"/>
    <x v="1"/>
    <x v="1"/>
  </r>
  <r>
    <x v="235"/>
    <x v="0"/>
    <x v="7"/>
    <n v="21.3"/>
    <x v="226"/>
    <x v="9"/>
    <d v="2025-01-10T00:00:00"/>
    <x v="2"/>
    <x v="1"/>
    <x v="2"/>
    <x v="0"/>
    <x v="22"/>
    <x v="7"/>
    <x v="1"/>
    <x v="2"/>
  </r>
  <r>
    <x v="236"/>
    <x v="6"/>
    <x v="24"/>
    <n v="57.8"/>
    <x v="227"/>
    <x v="9"/>
    <d v="2025-01-12T00:00:00"/>
    <x v="2"/>
    <x v="0"/>
    <x v="2"/>
    <x v="0"/>
    <x v="3"/>
    <x v="1"/>
    <x v="1"/>
    <x v="2"/>
  </r>
  <r>
    <x v="237"/>
    <x v="10"/>
    <x v="2"/>
    <n v="67.599999999999994"/>
    <x v="228"/>
    <x v="9"/>
    <d v="2025-01-11T00:00:00"/>
    <x v="2"/>
    <x v="0"/>
    <x v="0"/>
    <x v="0"/>
    <x v="3"/>
    <x v="3"/>
    <x v="1"/>
    <x v="2"/>
  </r>
  <r>
    <x v="238"/>
    <x v="6"/>
    <x v="13"/>
    <n v="66.7"/>
    <x v="229"/>
    <x v="9"/>
    <d v="2025-01-14T00:00:00"/>
    <x v="1"/>
    <x v="4"/>
    <x v="1"/>
    <x v="0"/>
    <x v="3"/>
    <x v="5"/>
    <x v="1"/>
    <x v="1"/>
  </r>
  <r>
    <x v="239"/>
    <x v="1"/>
    <x v="12"/>
    <n v="53.1"/>
    <x v="230"/>
    <x v="9"/>
    <d v="2025-01-12T00:00:00"/>
    <x v="2"/>
    <x v="1"/>
    <x v="0"/>
    <x v="0"/>
    <x v="3"/>
    <x v="1"/>
    <x v="1"/>
    <x v="2"/>
  </r>
  <r>
    <x v="240"/>
    <x v="12"/>
    <x v="2"/>
    <n v="57.4"/>
    <x v="231"/>
    <x v="9"/>
    <d v="2025-01-13T00:00:00"/>
    <x v="2"/>
    <x v="0"/>
    <x v="2"/>
    <x v="0"/>
    <x v="29"/>
    <x v="2"/>
    <x v="1"/>
    <x v="2"/>
  </r>
  <r>
    <x v="241"/>
    <x v="2"/>
    <x v="9"/>
    <n v="58.1"/>
    <x v="232"/>
    <x v="9"/>
    <d v="2025-01-10T00:00:00"/>
    <x v="1"/>
    <x v="2"/>
    <x v="2"/>
    <x v="0"/>
    <x v="6"/>
    <x v="7"/>
    <x v="1"/>
    <x v="1"/>
  </r>
  <r>
    <x v="242"/>
    <x v="5"/>
    <x v="2"/>
    <n v="31.8"/>
    <x v="233"/>
    <x v="10"/>
    <d v="2025-01-13T00:00:00"/>
    <x v="1"/>
    <x v="3"/>
    <x v="0"/>
    <x v="0"/>
    <x v="6"/>
    <x v="1"/>
    <x v="1"/>
    <x v="1"/>
  </r>
  <r>
    <x v="243"/>
    <x v="4"/>
    <x v="2"/>
    <n v="31.5"/>
    <x v="234"/>
    <x v="10"/>
    <d v="2025-01-14T00:00:00"/>
    <x v="1"/>
    <x v="0"/>
    <x v="1"/>
    <x v="0"/>
    <x v="8"/>
    <x v="2"/>
    <x v="1"/>
    <x v="1"/>
  </r>
  <r>
    <x v="244"/>
    <x v="6"/>
    <x v="3"/>
    <n v="55.9"/>
    <x v="235"/>
    <x v="10"/>
    <d v="2025-01-15T00:00:00"/>
    <x v="2"/>
    <x v="1"/>
    <x v="2"/>
    <x v="0"/>
    <x v="8"/>
    <x v="5"/>
    <x v="1"/>
    <x v="2"/>
  </r>
  <r>
    <x v="245"/>
    <x v="8"/>
    <x v="1"/>
    <n v="36.4"/>
    <x v="236"/>
    <x v="10"/>
    <d v="2025-01-12T00:00:00"/>
    <x v="1"/>
    <x v="1"/>
    <x v="1"/>
    <x v="0"/>
    <x v="9"/>
    <x v="3"/>
    <x v="1"/>
    <x v="1"/>
  </r>
  <r>
    <x v="246"/>
    <x v="1"/>
    <x v="9"/>
    <n v="47.3"/>
    <x v="237"/>
    <x v="10"/>
    <d v="2025-01-14T00:00:00"/>
    <x v="1"/>
    <x v="2"/>
    <x v="0"/>
    <x v="0"/>
    <x v="10"/>
    <x v="2"/>
    <x v="1"/>
    <x v="1"/>
  </r>
  <r>
    <x v="247"/>
    <x v="6"/>
    <x v="2"/>
    <n v="82.5"/>
    <x v="238"/>
    <x v="10"/>
    <d v="2025-01-12T00:00:00"/>
    <x v="1"/>
    <x v="0"/>
    <x v="0"/>
    <x v="0"/>
    <x v="11"/>
    <x v="3"/>
    <x v="1"/>
    <x v="1"/>
  </r>
  <r>
    <x v="248"/>
    <x v="0"/>
    <x v="0"/>
    <n v="14.3"/>
    <x v="239"/>
    <x v="10"/>
    <d v="2025-01-12T00:00:00"/>
    <x v="2"/>
    <x v="0"/>
    <x v="0"/>
    <x v="0"/>
    <x v="21"/>
    <x v="3"/>
    <x v="1"/>
    <x v="2"/>
  </r>
  <r>
    <x v="249"/>
    <x v="2"/>
    <x v="13"/>
    <n v="57.6"/>
    <x v="240"/>
    <x v="10"/>
    <d v="2025-01-25T00:00:00"/>
    <x v="2"/>
    <x v="0"/>
    <x v="0"/>
    <x v="0"/>
    <x v="21"/>
    <x v="12"/>
    <x v="1"/>
    <x v="2"/>
  </r>
  <r>
    <x v="250"/>
    <x v="2"/>
    <x v="2"/>
    <n v="142.4"/>
    <x v="241"/>
    <x v="10"/>
    <d v="2025-01-13T00:00:00"/>
    <x v="1"/>
    <x v="4"/>
    <x v="1"/>
    <x v="0"/>
    <x v="21"/>
    <x v="1"/>
    <x v="1"/>
    <x v="1"/>
  </r>
  <r>
    <x v="251"/>
    <x v="12"/>
    <x v="0"/>
    <n v="30.2"/>
    <x v="242"/>
    <x v="10"/>
    <d v="2025-01-15T00:00:00"/>
    <x v="1"/>
    <x v="1"/>
    <x v="2"/>
    <x v="0"/>
    <x v="2"/>
    <x v="5"/>
    <x v="1"/>
    <x v="1"/>
  </r>
  <r>
    <x v="252"/>
    <x v="18"/>
    <x v="2"/>
    <n v="65.3"/>
    <x v="243"/>
    <x v="10"/>
    <d v="2025-01-12T00:00:00"/>
    <x v="3"/>
    <x v="1"/>
    <x v="0"/>
    <x v="0"/>
    <x v="33"/>
    <x v="3"/>
    <x v="1"/>
    <x v="0"/>
  </r>
  <r>
    <x v="253"/>
    <x v="0"/>
    <x v="1"/>
    <n v="33.4"/>
    <x v="119"/>
    <x v="10"/>
    <d v="2025-01-12T00:00:00"/>
    <x v="1"/>
    <x v="1"/>
    <x v="1"/>
    <x v="0"/>
    <x v="22"/>
    <x v="3"/>
    <x v="1"/>
    <x v="1"/>
  </r>
  <r>
    <x v="254"/>
    <x v="7"/>
    <x v="1"/>
    <n v="45.1"/>
    <x v="244"/>
    <x v="10"/>
    <d v="2025-01-19T00:00:00"/>
    <x v="1"/>
    <x v="0"/>
    <x v="0"/>
    <x v="0"/>
    <x v="34"/>
    <x v="9"/>
    <x v="1"/>
    <x v="1"/>
  </r>
  <r>
    <x v="255"/>
    <x v="2"/>
    <x v="3"/>
    <n v="61.7"/>
    <x v="245"/>
    <x v="10"/>
    <d v="2025-01-13T00:00:00"/>
    <x v="2"/>
    <x v="4"/>
    <x v="0"/>
    <x v="0"/>
    <x v="3"/>
    <x v="1"/>
    <x v="1"/>
    <x v="2"/>
  </r>
  <r>
    <x v="256"/>
    <x v="9"/>
    <x v="2"/>
    <n v="45.1"/>
    <x v="246"/>
    <x v="11"/>
    <d v="2025-01-13T00:00:00"/>
    <x v="1"/>
    <x v="4"/>
    <x v="1"/>
    <x v="0"/>
    <x v="3"/>
    <x v="3"/>
    <x v="2"/>
    <x v="1"/>
  </r>
  <r>
    <x v="257"/>
    <x v="15"/>
    <x v="9"/>
    <n v="22.7"/>
    <x v="247"/>
    <x v="11"/>
    <d v="2025-01-17T00:00:00"/>
    <x v="1"/>
    <x v="0"/>
    <x v="2"/>
    <x v="0"/>
    <x v="35"/>
    <x v="0"/>
    <x v="2"/>
    <x v="1"/>
  </r>
  <r>
    <x v="258"/>
    <x v="8"/>
    <x v="0"/>
    <n v="17.600000000000001"/>
    <x v="248"/>
    <x v="11"/>
    <d v="2025-01-13T00:00:00"/>
    <x v="2"/>
    <x v="0"/>
    <x v="2"/>
    <x v="0"/>
    <x v="23"/>
    <x v="3"/>
    <x v="2"/>
    <x v="2"/>
  </r>
  <r>
    <x v="259"/>
    <x v="14"/>
    <x v="1"/>
    <n v="11.3"/>
    <x v="249"/>
    <x v="11"/>
    <d v="2025-01-15T00:00:00"/>
    <x v="2"/>
    <x v="3"/>
    <x v="2"/>
    <x v="0"/>
    <x v="23"/>
    <x v="2"/>
    <x v="2"/>
    <x v="2"/>
  </r>
  <r>
    <x v="260"/>
    <x v="6"/>
    <x v="2"/>
    <n v="53.4"/>
    <x v="250"/>
    <x v="11"/>
    <d v="2025-01-15T00:00:00"/>
    <x v="1"/>
    <x v="3"/>
    <x v="2"/>
    <x v="0"/>
    <x v="36"/>
    <x v="2"/>
    <x v="2"/>
    <x v="1"/>
  </r>
  <r>
    <x v="261"/>
    <x v="6"/>
    <x v="5"/>
    <n v="51.1"/>
    <x v="251"/>
    <x v="11"/>
    <d v="2025-01-14T00:00:00"/>
    <x v="2"/>
    <x v="2"/>
    <x v="2"/>
    <x v="0"/>
    <x v="8"/>
    <x v="1"/>
    <x v="2"/>
    <x v="2"/>
  </r>
  <r>
    <x v="262"/>
    <x v="8"/>
    <x v="1"/>
    <n v="27.5"/>
    <x v="252"/>
    <x v="11"/>
    <d v="2025-01-13T00:00:00"/>
    <x v="1"/>
    <x v="4"/>
    <x v="1"/>
    <x v="0"/>
    <x v="8"/>
    <x v="3"/>
    <x v="2"/>
    <x v="1"/>
  </r>
  <r>
    <x v="263"/>
    <x v="9"/>
    <x v="0"/>
    <n v="33.5"/>
    <x v="253"/>
    <x v="11"/>
    <d v="2025-01-14T00:00:00"/>
    <x v="2"/>
    <x v="0"/>
    <x v="4"/>
    <x v="0"/>
    <x v="8"/>
    <x v="1"/>
    <x v="2"/>
    <x v="2"/>
  </r>
  <r>
    <x v="264"/>
    <x v="4"/>
    <x v="0"/>
    <n v="59.5"/>
    <x v="254"/>
    <x v="11"/>
    <d v="2025-01-12T00:00:00"/>
    <x v="1"/>
    <x v="0"/>
    <x v="2"/>
    <x v="0"/>
    <x v="18"/>
    <x v="7"/>
    <x v="2"/>
    <x v="1"/>
  </r>
  <r>
    <x v="265"/>
    <x v="17"/>
    <x v="12"/>
    <n v="23.5"/>
    <x v="255"/>
    <x v="11"/>
    <d v="2025-01-13T00:00:00"/>
    <x v="2"/>
    <x v="3"/>
    <x v="3"/>
    <x v="0"/>
    <x v="19"/>
    <x v="3"/>
    <x v="2"/>
    <x v="2"/>
  </r>
  <r>
    <x v="266"/>
    <x v="6"/>
    <x v="0"/>
    <n v="49.7"/>
    <x v="256"/>
    <x v="11"/>
    <d v="2025-01-13T00:00:00"/>
    <x v="0"/>
    <x v="1"/>
    <x v="2"/>
    <x v="0"/>
    <x v="20"/>
    <x v="3"/>
    <x v="2"/>
    <x v="0"/>
  </r>
  <r>
    <x v="267"/>
    <x v="6"/>
    <x v="12"/>
    <n v="44.2"/>
    <x v="257"/>
    <x v="11"/>
    <d v="2025-01-15T00:00:00"/>
    <x v="2"/>
    <x v="0"/>
    <x v="2"/>
    <x v="0"/>
    <x v="21"/>
    <x v="2"/>
    <x v="2"/>
    <x v="2"/>
  </r>
  <r>
    <x v="268"/>
    <x v="8"/>
    <x v="0"/>
    <n v="22.1"/>
    <x v="258"/>
    <x v="11"/>
    <d v="2025-01-16T00:00:00"/>
    <x v="2"/>
    <x v="1"/>
    <x v="1"/>
    <x v="0"/>
    <x v="33"/>
    <x v="5"/>
    <x v="2"/>
    <x v="2"/>
  </r>
  <r>
    <x v="269"/>
    <x v="6"/>
    <x v="2"/>
    <n v="90.9"/>
    <x v="259"/>
    <x v="11"/>
    <d v="2025-01-13T00:00:00"/>
    <x v="2"/>
    <x v="2"/>
    <x v="4"/>
    <x v="0"/>
    <x v="3"/>
    <x v="3"/>
    <x v="2"/>
    <x v="2"/>
  </r>
  <r>
    <x v="270"/>
    <x v="8"/>
    <x v="2"/>
    <n v="44.5"/>
    <x v="260"/>
    <x v="11"/>
    <d v="2025-01-13T00:00:00"/>
    <x v="2"/>
    <x v="1"/>
    <x v="0"/>
    <x v="0"/>
    <x v="3"/>
    <x v="3"/>
    <x v="2"/>
    <x v="2"/>
  </r>
  <r>
    <x v="271"/>
    <x v="9"/>
    <x v="13"/>
    <n v="32.299999999999997"/>
    <x v="261"/>
    <x v="11"/>
    <d v="2025-01-16T00:00:00"/>
    <x v="2"/>
    <x v="0"/>
    <x v="0"/>
    <x v="0"/>
    <x v="3"/>
    <x v="5"/>
    <x v="2"/>
    <x v="2"/>
  </r>
  <r>
    <x v="272"/>
    <x v="17"/>
    <x v="2"/>
    <n v="87.5"/>
    <x v="175"/>
    <x v="11"/>
    <d v="2025-01-13T00:00:00"/>
    <x v="2"/>
    <x v="1"/>
    <x v="1"/>
    <x v="0"/>
    <x v="3"/>
    <x v="3"/>
    <x v="2"/>
    <x v="2"/>
  </r>
  <r>
    <x v="273"/>
    <x v="16"/>
    <x v="9"/>
    <n v="48.7"/>
    <x v="262"/>
    <x v="11"/>
    <d v="2025-01-13T00:00:00"/>
    <x v="1"/>
    <x v="2"/>
    <x v="0"/>
    <x v="0"/>
    <x v="3"/>
    <x v="3"/>
    <x v="2"/>
    <x v="1"/>
  </r>
  <r>
    <x v="274"/>
    <x v="0"/>
    <x v="9"/>
    <n v="22.5"/>
    <x v="158"/>
    <x v="11"/>
    <d v="2025-01-13T00:00:00"/>
    <x v="1"/>
    <x v="0"/>
    <x v="0"/>
    <x v="0"/>
    <x v="3"/>
    <x v="3"/>
    <x v="2"/>
    <x v="1"/>
  </r>
  <r>
    <x v="275"/>
    <x v="1"/>
    <x v="8"/>
    <n v="65.900000000000006"/>
    <x v="263"/>
    <x v="11"/>
    <d v="2025-01-15T00:00:00"/>
    <x v="2"/>
    <x v="1"/>
    <x v="2"/>
    <x v="0"/>
    <x v="3"/>
    <x v="2"/>
    <x v="2"/>
    <x v="2"/>
  </r>
  <r>
    <x v="276"/>
    <x v="6"/>
    <x v="9"/>
    <n v="41.9"/>
    <x v="264"/>
    <x v="11"/>
    <d v="2025-01-19T00:00:00"/>
    <x v="0"/>
    <x v="0"/>
    <x v="0"/>
    <x v="0"/>
    <x v="3"/>
    <x v="6"/>
    <x v="2"/>
    <x v="0"/>
  </r>
  <r>
    <x v="277"/>
    <x v="1"/>
    <x v="9"/>
    <n v="67.5"/>
    <x v="265"/>
    <x v="11"/>
    <d v="2025-01-13T00:00:00"/>
    <x v="2"/>
    <x v="0"/>
    <x v="2"/>
    <x v="0"/>
    <x v="3"/>
    <x v="3"/>
    <x v="2"/>
    <x v="2"/>
  </r>
  <r>
    <x v="278"/>
    <x v="9"/>
    <x v="0"/>
    <n v="60.4"/>
    <x v="266"/>
    <x v="12"/>
    <d v="2025-01-15T00:00:00"/>
    <x v="2"/>
    <x v="1"/>
    <x v="1"/>
    <x v="0"/>
    <x v="3"/>
    <x v="1"/>
    <x v="2"/>
    <x v="2"/>
  </r>
  <r>
    <x v="279"/>
    <x v="1"/>
    <x v="3"/>
    <n v="30.4"/>
    <x v="267"/>
    <x v="12"/>
    <d v="2025-01-16T00:00:00"/>
    <x v="2"/>
    <x v="4"/>
    <x v="0"/>
    <x v="0"/>
    <x v="3"/>
    <x v="2"/>
    <x v="2"/>
    <x v="2"/>
  </r>
  <r>
    <x v="280"/>
    <x v="14"/>
    <x v="1"/>
    <n v="24.5"/>
    <x v="268"/>
    <x v="12"/>
    <d v="2025-01-14T00:00:00"/>
    <x v="1"/>
    <x v="3"/>
    <x v="2"/>
    <x v="0"/>
    <x v="3"/>
    <x v="3"/>
    <x v="2"/>
    <x v="1"/>
  </r>
  <r>
    <x v="281"/>
    <x v="2"/>
    <x v="2"/>
    <n v="105.9"/>
    <x v="269"/>
    <x v="12"/>
    <d v="2025-01-18T00:00:00"/>
    <x v="1"/>
    <x v="0"/>
    <x v="0"/>
    <x v="0"/>
    <x v="37"/>
    <x v="0"/>
    <x v="2"/>
    <x v="1"/>
  </r>
  <r>
    <x v="282"/>
    <x v="10"/>
    <x v="25"/>
    <n v="25.9"/>
    <x v="270"/>
    <x v="12"/>
    <d v="2025-01-14T00:00:00"/>
    <x v="2"/>
    <x v="4"/>
    <x v="0"/>
    <x v="0"/>
    <x v="23"/>
    <x v="3"/>
    <x v="2"/>
    <x v="2"/>
  </r>
  <r>
    <x v="283"/>
    <x v="6"/>
    <x v="2"/>
    <n v="66.8"/>
    <x v="271"/>
    <x v="12"/>
    <d v="2025-01-13T00:00:00"/>
    <x v="1"/>
    <x v="0"/>
    <x v="0"/>
    <x v="0"/>
    <x v="23"/>
    <x v="7"/>
    <x v="2"/>
    <x v="1"/>
  </r>
  <r>
    <x v="284"/>
    <x v="6"/>
    <x v="2"/>
    <n v="112.3"/>
    <x v="272"/>
    <x v="12"/>
    <d v="2025-01-14T00:00:00"/>
    <x v="1"/>
    <x v="2"/>
    <x v="4"/>
    <x v="0"/>
    <x v="6"/>
    <x v="3"/>
    <x v="2"/>
    <x v="1"/>
  </r>
  <r>
    <x v="285"/>
    <x v="1"/>
    <x v="13"/>
    <n v="94.1"/>
    <x v="273"/>
    <x v="12"/>
    <d v="2025-01-14T00:00:00"/>
    <x v="2"/>
    <x v="0"/>
    <x v="4"/>
    <x v="0"/>
    <x v="6"/>
    <x v="3"/>
    <x v="2"/>
    <x v="2"/>
  </r>
  <r>
    <x v="286"/>
    <x v="5"/>
    <x v="0"/>
    <n v="40.700000000000003"/>
    <x v="274"/>
    <x v="12"/>
    <d v="2025-01-16T00:00:00"/>
    <x v="2"/>
    <x v="2"/>
    <x v="0"/>
    <x v="0"/>
    <x v="6"/>
    <x v="2"/>
    <x v="2"/>
    <x v="2"/>
  </r>
  <r>
    <x v="287"/>
    <x v="3"/>
    <x v="1"/>
    <n v="71.400000000000006"/>
    <x v="275"/>
    <x v="12"/>
    <d v="2025-01-14T00:00:00"/>
    <x v="1"/>
    <x v="0"/>
    <x v="0"/>
    <x v="0"/>
    <x v="7"/>
    <x v="3"/>
    <x v="2"/>
    <x v="1"/>
  </r>
  <r>
    <x v="288"/>
    <x v="0"/>
    <x v="16"/>
    <n v="15.6"/>
    <x v="276"/>
    <x v="12"/>
    <d v="2025-01-14T00:00:00"/>
    <x v="1"/>
    <x v="1"/>
    <x v="3"/>
    <x v="0"/>
    <x v="8"/>
    <x v="3"/>
    <x v="2"/>
    <x v="1"/>
  </r>
  <r>
    <x v="289"/>
    <x v="10"/>
    <x v="12"/>
    <n v="37.799999999999997"/>
    <x v="277"/>
    <x v="12"/>
    <d v="2025-01-14T00:00:00"/>
    <x v="1"/>
    <x v="2"/>
    <x v="2"/>
    <x v="0"/>
    <x v="8"/>
    <x v="3"/>
    <x v="2"/>
    <x v="1"/>
  </r>
  <r>
    <x v="290"/>
    <x v="4"/>
    <x v="2"/>
    <n v="28.1"/>
    <x v="278"/>
    <x v="12"/>
    <d v="2025-01-17T00:00:00"/>
    <x v="1"/>
    <x v="0"/>
    <x v="0"/>
    <x v="0"/>
    <x v="8"/>
    <x v="5"/>
    <x v="2"/>
    <x v="1"/>
  </r>
  <r>
    <x v="291"/>
    <x v="7"/>
    <x v="13"/>
    <n v="51.4"/>
    <x v="279"/>
    <x v="12"/>
    <d v="2025-01-17T00:00:00"/>
    <x v="1"/>
    <x v="0"/>
    <x v="0"/>
    <x v="0"/>
    <x v="8"/>
    <x v="5"/>
    <x v="2"/>
    <x v="1"/>
  </r>
  <r>
    <x v="292"/>
    <x v="7"/>
    <x v="1"/>
    <n v="97.7"/>
    <x v="280"/>
    <x v="12"/>
    <d v="2025-01-15T00:00:00"/>
    <x v="2"/>
    <x v="4"/>
    <x v="2"/>
    <x v="0"/>
    <x v="17"/>
    <x v="1"/>
    <x v="2"/>
    <x v="2"/>
  </r>
  <r>
    <x v="293"/>
    <x v="1"/>
    <x v="12"/>
    <n v="63.8"/>
    <x v="281"/>
    <x v="12"/>
    <d v="2025-01-14T00:00:00"/>
    <x v="1"/>
    <x v="2"/>
    <x v="0"/>
    <x v="0"/>
    <x v="38"/>
    <x v="3"/>
    <x v="2"/>
    <x v="1"/>
  </r>
  <r>
    <x v="294"/>
    <x v="13"/>
    <x v="1"/>
    <n v="20.100000000000001"/>
    <x v="282"/>
    <x v="12"/>
    <d v="2025-01-15T00:00:00"/>
    <x v="1"/>
    <x v="0"/>
    <x v="2"/>
    <x v="0"/>
    <x v="20"/>
    <x v="1"/>
    <x v="2"/>
    <x v="1"/>
  </r>
  <r>
    <x v="295"/>
    <x v="11"/>
    <x v="2"/>
    <n v="50.4"/>
    <x v="277"/>
    <x v="12"/>
    <d v="2025-01-16T00:00:00"/>
    <x v="2"/>
    <x v="3"/>
    <x v="0"/>
    <x v="0"/>
    <x v="13"/>
    <x v="2"/>
    <x v="2"/>
    <x v="2"/>
  </r>
  <r>
    <x v="296"/>
    <x v="0"/>
    <x v="0"/>
    <n v="16.2"/>
    <x v="283"/>
    <x v="12"/>
    <d v="2025-01-26T00:00:00"/>
    <x v="2"/>
    <x v="1"/>
    <x v="0"/>
    <x v="0"/>
    <x v="1"/>
    <x v="10"/>
    <x v="2"/>
    <x v="2"/>
  </r>
  <r>
    <x v="297"/>
    <x v="6"/>
    <x v="3"/>
    <n v="80.900000000000006"/>
    <x v="284"/>
    <x v="12"/>
    <d v="2025-01-15T00:00:00"/>
    <x v="1"/>
    <x v="4"/>
    <x v="4"/>
    <x v="0"/>
    <x v="2"/>
    <x v="1"/>
    <x v="2"/>
    <x v="1"/>
  </r>
  <r>
    <x v="298"/>
    <x v="9"/>
    <x v="13"/>
    <n v="95.2"/>
    <x v="285"/>
    <x v="12"/>
    <d v="2025-01-15T00:00:00"/>
    <x v="2"/>
    <x v="0"/>
    <x v="2"/>
    <x v="0"/>
    <x v="2"/>
    <x v="1"/>
    <x v="2"/>
    <x v="2"/>
  </r>
  <r>
    <x v="299"/>
    <x v="5"/>
    <x v="8"/>
    <n v="70.400000000000006"/>
    <x v="286"/>
    <x v="12"/>
    <d v="2025-01-14T00:00:00"/>
    <x v="1"/>
    <x v="1"/>
    <x v="1"/>
    <x v="0"/>
    <x v="3"/>
    <x v="3"/>
    <x v="2"/>
    <x v="1"/>
  </r>
  <r>
    <x v="300"/>
    <x v="0"/>
    <x v="9"/>
    <n v="10.7"/>
    <x v="287"/>
    <x v="12"/>
    <d v="2025-01-17T00:00:00"/>
    <x v="2"/>
    <x v="2"/>
    <x v="0"/>
    <x v="0"/>
    <x v="3"/>
    <x v="5"/>
    <x v="2"/>
    <x v="2"/>
  </r>
  <r>
    <x v="301"/>
    <x v="8"/>
    <x v="9"/>
    <n v="19.600000000000001"/>
    <x v="11"/>
    <x v="12"/>
    <d v="2025-01-15T00:00:00"/>
    <x v="2"/>
    <x v="0"/>
    <x v="3"/>
    <x v="0"/>
    <x v="3"/>
    <x v="1"/>
    <x v="2"/>
    <x v="2"/>
  </r>
  <r>
    <x v="302"/>
    <x v="8"/>
    <x v="5"/>
    <n v="34.700000000000003"/>
    <x v="288"/>
    <x v="12"/>
    <d v="2025-01-15T00:00:00"/>
    <x v="2"/>
    <x v="0"/>
    <x v="2"/>
    <x v="0"/>
    <x v="3"/>
    <x v="1"/>
    <x v="2"/>
    <x v="2"/>
  </r>
  <r>
    <x v="303"/>
    <x v="10"/>
    <x v="11"/>
    <n v="34.1"/>
    <x v="289"/>
    <x v="12"/>
    <d v="2025-01-14T00:00:00"/>
    <x v="2"/>
    <x v="4"/>
    <x v="1"/>
    <x v="0"/>
    <x v="3"/>
    <x v="3"/>
    <x v="2"/>
    <x v="2"/>
  </r>
  <r>
    <x v="304"/>
    <x v="0"/>
    <x v="26"/>
    <n v="29.3"/>
    <x v="290"/>
    <x v="12"/>
    <d v="2025-01-13T00:00:00"/>
    <x v="1"/>
    <x v="0"/>
    <x v="1"/>
    <x v="0"/>
    <x v="3"/>
    <x v="7"/>
    <x v="2"/>
    <x v="1"/>
  </r>
  <r>
    <x v="305"/>
    <x v="1"/>
    <x v="0"/>
    <n v="55.2"/>
    <x v="291"/>
    <x v="12"/>
    <d v="2025-01-14T00:00:00"/>
    <x v="2"/>
    <x v="0"/>
    <x v="1"/>
    <x v="0"/>
    <x v="3"/>
    <x v="3"/>
    <x v="2"/>
    <x v="2"/>
  </r>
  <r>
    <x v="306"/>
    <x v="18"/>
    <x v="2"/>
    <n v="26"/>
    <x v="292"/>
    <x v="12"/>
    <d v="2025-01-16T00:00:00"/>
    <x v="2"/>
    <x v="0"/>
    <x v="2"/>
    <x v="0"/>
    <x v="3"/>
    <x v="2"/>
    <x v="2"/>
    <x v="2"/>
  </r>
  <r>
    <x v="307"/>
    <x v="14"/>
    <x v="1"/>
    <n v="14.2"/>
    <x v="293"/>
    <x v="12"/>
    <d v="2025-01-18T00:00:00"/>
    <x v="2"/>
    <x v="3"/>
    <x v="0"/>
    <x v="0"/>
    <x v="39"/>
    <x v="0"/>
    <x v="2"/>
    <x v="2"/>
  </r>
  <r>
    <x v="308"/>
    <x v="8"/>
    <x v="11"/>
    <n v="22.7"/>
    <x v="294"/>
    <x v="13"/>
    <d v="2025-01-15T00:00:00"/>
    <x v="1"/>
    <x v="1"/>
    <x v="0"/>
    <x v="0"/>
    <x v="6"/>
    <x v="3"/>
    <x v="2"/>
    <x v="1"/>
  </r>
  <r>
    <x v="309"/>
    <x v="0"/>
    <x v="20"/>
    <n v="19.8"/>
    <x v="295"/>
    <x v="13"/>
    <d v="2025-01-14T00:00:00"/>
    <x v="2"/>
    <x v="0"/>
    <x v="2"/>
    <x v="0"/>
    <x v="6"/>
    <x v="7"/>
    <x v="2"/>
    <x v="2"/>
  </r>
  <r>
    <x v="310"/>
    <x v="0"/>
    <x v="2"/>
    <n v="31.7"/>
    <x v="296"/>
    <x v="13"/>
    <d v="2025-01-15T00:00:00"/>
    <x v="1"/>
    <x v="2"/>
    <x v="0"/>
    <x v="0"/>
    <x v="6"/>
    <x v="3"/>
    <x v="2"/>
    <x v="1"/>
  </r>
  <r>
    <x v="311"/>
    <x v="8"/>
    <x v="12"/>
    <n v="30.4"/>
    <x v="297"/>
    <x v="13"/>
    <d v="2025-01-18T00:00:00"/>
    <x v="1"/>
    <x v="0"/>
    <x v="0"/>
    <x v="0"/>
    <x v="6"/>
    <x v="5"/>
    <x v="2"/>
    <x v="1"/>
  </r>
  <r>
    <x v="312"/>
    <x v="0"/>
    <x v="12"/>
    <n v="25.6"/>
    <x v="298"/>
    <x v="13"/>
    <d v="2025-01-15T00:00:00"/>
    <x v="1"/>
    <x v="3"/>
    <x v="0"/>
    <x v="0"/>
    <x v="8"/>
    <x v="3"/>
    <x v="2"/>
    <x v="1"/>
  </r>
  <r>
    <x v="313"/>
    <x v="5"/>
    <x v="1"/>
    <n v="34.9"/>
    <x v="299"/>
    <x v="13"/>
    <d v="2025-01-15T00:00:00"/>
    <x v="2"/>
    <x v="2"/>
    <x v="0"/>
    <x v="0"/>
    <x v="9"/>
    <x v="3"/>
    <x v="2"/>
    <x v="2"/>
  </r>
  <r>
    <x v="314"/>
    <x v="7"/>
    <x v="13"/>
    <n v="42.7"/>
    <x v="300"/>
    <x v="13"/>
    <d v="2025-01-17T00:00:00"/>
    <x v="1"/>
    <x v="2"/>
    <x v="1"/>
    <x v="0"/>
    <x v="11"/>
    <x v="2"/>
    <x v="2"/>
    <x v="1"/>
  </r>
  <r>
    <x v="315"/>
    <x v="8"/>
    <x v="0"/>
    <n v="23.9"/>
    <x v="301"/>
    <x v="13"/>
    <d v="2025-01-16T00:00:00"/>
    <x v="2"/>
    <x v="3"/>
    <x v="0"/>
    <x v="0"/>
    <x v="11"/>
    <x v="1"/>
    <x v="2"/>
    <x v="2"/>
  </r>
  <r>
    <x v="316"/>
    <x v="6"/>
    <x v="0"/>
    <n v="124.3"/>
    <x v="302"/>
    <x v="13"/>
    <d v="2025-01-15T00:00:00"/>
    <x v="0"/>
    <x v="2"/>
    <x v="1"/>
    <x v="0"/>
    <x v="21"/>
    <x v="3"/>
    <x v="2"/>
    <x v="0"/>
  </r>
  <r>
    <x v="317"/>
    <x v="8"/>
    <x v="13"/>
    <n v="35.9"/>
    <x v="303"/>
    <x v="13"/>
    <d v="2025-01-15T00:00:00"/>
    <x v="2"/>
    <x v="0"/>
    <x v="1"/>
    <x v="0"/>
    <x v="1"/>
    <x v="3"/>
    <x v="2"/>
    <x v="2"/>
  </r>
  <r>
    <x v="318"/>
    <x v="2"/>
    <x v="1"/>
    <n v="69.099999999999994"/>
    <x v="304"/>
    <x v="13"/>
    <d v="2025-01-17T00:00:00"/>
    <x v="2"/>
    <x v="0"/>
    <x v="2"/>
    <x v="0"/>
    <x v="22"/>
    <x v="2"/>
    <x v="2"/>
    <x v="2"/>
  </r>
  <r>
    <x v="319"/>
    <x v="7"/>
    <x v="0"/>
    <n v="58.4"/>
    <x v="305"/>
    <x v="13"/>
    <d v="2025-01-18T00:00:00"/>
    <x v="1"/>
    <x v="0"/>
    <x v="0"/>
    <x v="0"/>
    <x v="22"/>
    <x v="5"/>
    <x v="2"/>
    <x v="1"/>
  </r>
  <r>
    <x v="320"/>
    <x v="5"/>
    <x v="0"/>
    <n v="65.2"/>
    <x v="221"/>
    <x v="13"/>
    <d v="2025-01-16T00:00:00"/>
    <x v="3"/>
    <x v="4"/>
    <x v="4"/>
    <x v="0"/>
    <x v="3"/>
    <x v="1"/>
    <x v="2"/>
    <x v="0"/>
  </r>
  <r>
    <x v="321"/>
    <x v="8"/>
    <x v="14"/>
    <n v="32.700000000000003"/>
    <x v="306"/>
    <x v="13"/>
    <d v="2025-01-21T00:00:00"/>
    <x v="0"/>
    <x v="4"/>
    <x v="0"/>
    <x v="0"/>
    <x v="3"/>
    <x v="6"/>
    <x v="2"/>
    <x v="0"/>
  </r>
  <r>
    <x v="322"/>
    <x v="10"/>
    <x v="3"/>
    <n v="24.4"/>
    <x v="307"/>
    <x v="13"/>
    <d v="2025-01-15T00:00:00"/>
    <x v="2"/>
    <x v="0"/>
    <x v="0"/>
    <x v="0"/>
    <x v="3"/>
    <x v="3"/>
    <x v="2"/>
    <x v="2"/>
  </r>
  <r>
    <x v="323"/>
    <x v="14"/>
    <x v="1"/>
    <n v="50.4"/>
    <x v="90"/>
    <x v="13"/>
    <d v="2025-01-20T00:00:00"/>
    <x v="1"/>
    <x v="0"/>
    <x v="1"/>
    <x v="0"/>
    <x v="3"/>
    <x v="4"/>
    <x v="2"/>
    <x v="1"/>
  </r>
  <r>
    <x v="324"/>
    <x v="1"/>
    <x v="1"/>
    <n v="100"/>
    <x v="308"/>
    <x v="13"/>
    <d v="2025-01-15T00:00:00"/>
    <x v="2"/>
    <x v="0"/>
    <x v="0"/>
    <x v="0"/>
    <x v="3"/>
    <x v="3"/>
    <x v="2"/>
    <x v="2"/>
  </r>
  <r>
    <x v="325"/>
    <x v="10"/>
    <x v="2"/>
    <n v="43"/>
    <x v="309"/>
    <x v="14"/>
    <d v="2025-01-15T00:00:00"/>
    <x v="2"/>
    <x v="2"/>
    <x v="1"/>
    <x v="0"/>
    <x v="3"/>
    <x v="7"/>
    <x v="2"/>
    <x v="2"/>
  </r>
  <r>
    <x v="326"/>
    <x v="1"/>
    <x v="9"/>
    <n v="64.400000000000006"/>
    <x v="310"/>
    <x v="14"/>
    <d v="2025-01-17T00:00:00"/>
    <x v="1"/>
    <x v="2"/>
    <x v="1"/>
    <x v="0"/>
    <x v="3"/>
    <x v="1"/>
    <x v="2"/>
    <x v="1"/>
  </r>
  <r>
    <x v="327"/>
    <x v="18"/>
    <x v="1"/>
    <n v="57.4"/>
    <x v="311"/>
    <x v="14"/>
    <d v="2025-01-16T00:00:00"/>
    <x v="1"/>
    <x v="2"/>
    <x v="1"/>
    <x v="0"/>
    <x v="3"/>
    <x v="3"/>
    <x v="2"/>
    <x v="1"/>
  </r>
  <r>
    <x v="328"/>
    <x v="2"/>
    <x v="2"/>
    <n v="55.1"/>
    <x v="312"/>
    <x v="14"/>
    <d v="2025-01-18T00:00:00"/>
    <x v="2"/>
    <x v="1"/>
    <x v="0"/>
    <x v="0"/>
    <x v="3"/>
    <x v="2"/>
    <x v="2"/>
    <x v="2"/>
  </r>
  <r>
    <x v="329"/>
    <x v="7"/>
    <x v="12"/>
    <n v="45.4"/>
    <x v="106"/>
    <x v="14"/>
    <d v="2025-01-16T00:00:00"/>
    <x v="2"/>
    <x v="1"/>
    <x v="0"/>
    <x v="0"/>
    <x v="3"/>
    <x v="3"/>
    <x v="2"/>
    <x v="2"/>
  </r>
  <r>
    <x v="330"/>
    <x v="3"/>
    <x v="2"/>
    <n v="93.3"/>
    <x v="313"/>
    <x v="14"/>
    <d v="2025-01-16T00:00:00"/>
    <x v="2"/>
    <x v="0"/>
    <x v="0"/>
    <x v="0"/>
    <x v="40"/>
    <x v="3"/>
    <x v="2"/>
    <x v="2"/>
  </r>
  <r>
    <x v="331"/>
    <x v="2"/>
    <x v="10"/>
    <n v="158.19999999999999"/>
    <x v="314"/>
    <x v="14"/>
    <d v="2025-01-16T00:00:00"/>
    <x v="2"/>
    <x v="1"/>
    <x v="2"/>
    <x v="0"/>
    <x v="16"/>
    <x v="3"/>
    <x v="2"/>
    <x v="2"/>
  </r>
  <r>
    <x v="332"/>
    <x v="2"/>
    <x v="1"/>
    <n v="74.900000000000006"/>
    <x v="315"/>
    <x v="14"/>
    <d v="2025-01-17T00:00:00"/>
    <x v="1"/>
    <x v="3"/>
    <x v="0"/>
    <x v="0"/>
    <x v="6"/>
    <x v="1"/>
    <x v="2"/>
    <x v="1"/>
  </r>
  <r>
    <x v="333"/>
    <x v="8"/>
    <x v="3"/>
    <n v="26"/>
    <x v="316"/>
    <x v="14"/>
    <d v="2025-01-18T00:00:00"/>
    <x v="2"/>
    <x v="1"/>
    <x v="0"/>
    <x v="0"/>
    <x v="8"/>
    <x v="2"/>
    <x v="2"/>
    <x v="2"/>
  </r>
  <r>
    <x v="334"/>
    <x v="9"/>
    <x v="13"/>
    <n v="37.5"/>
    <x v="317"/>
    <x v="14"/>
    <d v="2025-01-16T00:00:00"/>
    <x v="2"/>
    <x v="0"/>
    <x v="1"/>
    <x v="0"/>
    <x v="8"/>
    <x v="3"/>
    <x v="2"/>
    <x v="2"/>
  </r>
  <r>
    <x v="335"/>
    <x v="6"/>
    <x v="1"/>
    <n v="75.8"/>
    <x v="318"/>
    <x v="14"/>
    <d v="2025-01-21T00:00:00"/>
    <x v="1"/>
    <x v="0"/>
    <x v="0"/>
    <x v="0"/>
    <x v="8"/>
    <x v="4"/>
    <x v="2"/>
    <x v="1"/>
  </r>
  <r>
    <x v="336"/>
    <x v="7"/>
    <x v="0"/>
    <n v="48.5"/>
    <x v="319"/>
    <x v="14"/>
    <d v="2025-01-27T00:00:00"/>
    <x v="0"/>
    <x v="4"/>
    <x v="2"/>
    <x v="0"/>
    <x v="8"/>
    <x v="13"/>
    <x v="2"/>
    <x v="0"/>
  </r>
  <r>
    <x v="337"/>
    <x v="6"/>
    <x v="2"/>
    <n v="98.9"/>
    <x v="320"/>
    <x v="14"/>
    <d v="2025-01-17T00:00:00"/>
    <x v="2"/>
    <x v="4"/>
    <x v="1"/>
    <x v="0"/>
    <x v="8"/>
    <x v="1"/>
    <x v="2"/>
    <x v="2"/>
  </r>
  <r>
    <x v="338"/>
    <x v="1"/>
    <x v="4"/>
    <n v="50.9"/>
    <x v="321"/>
    <x v="14"/>
    <d v="2025-01-15T00:00:00"/>
    <x v="1"/>
    <x v="4"/>
    <x v="0"/>
    <x v="0"/>
    <x v="8"/>
    <x v="7"/>
    <x v="2"/>
    <x v="1"/>
  </r>
  <r>
    <x v="339"/>
    <x v="12"/>
    <x v="13"/>
    <n v="84.7"/>
    <x v="322"/>
    <x v="14"/>
    <d v="2025-01-15T00:00:00"/>
    <x v="2"/>
    <x v="2"/>
    <x v="0"/>
    <x v="0"/>
    <x v="8"/>
    <x v="7"/>
    <x v="2"/>
    <x v="2"/>
  </r>
  <r>
    <x v="340"/>
    <x v="8"/>
    <x v="0"/>
    <n v="20.7"/>
    <x v="323"/>
    <x v="14"/>
    <d v="2025-01-17T00:00:00"/>
    <x v="2"/>
    <x v="3"/>
    <x v="2"/>
    <x v="0"/>
    <x v="8"/>
    <x v="1"/>
    <x v="2"/>
    <x v="2"/>
  </r>
  <r>
    <x v="341"/>
    <x v="12"/>
    <x v="11"/>
    <n v="57.8"/>
    <x v="324"/>
    <x v="14"/>
    <d v="2025-01-26T00:00:00"/>
    <x v="1"/>
    <x v="0"/>
    <x v="4"/>
    <x v="0"/>
    <x v="17"/>
    <x v="11"/>
    <x v="2"/>
    <x v="1"/>
  </r>
  <r>
    <x v="342"/>
    <x v="2"/>
    <x v="1"/>
    <n v="106.9"/>
    <x v="325"/>
    <x v="14"/>
    <d v="2025-01-17T00:00:00"/>
    <x v="2"/>
    <x v="0"/>
    <x v="2"/>
    <x v="0"/>
    <x v="41"/>
    <x v="1"/>
    <x v="2"/>
    <x v="2"/>
  </r>
  <r>
    <x v="343"/>
    <x v="3"/>
    <x v="9"/>
    <n v="45.2"/>
    <x v="326"/>
    <x v="14"/>
    <d v="2025-01-19T00:00:00"/>
    <x v="2"/>
    <x v="1"/>
    <x v="0"/>
    <x v="0"/>
    <x v="21"/>
    <x v="5"/>
    <x v="2"/>
    <x v="2"/>
  </r>
  <r>
    <x v="344"/>
    <x v="8"/>
    <x v="15"/>
    <n v="34.6"/>
    <x v="327"/>
    <x v="14"/>
    <d v="2025-01-15T00:00:00"/>
    <x v="2"/>
    <x v="1"/>
    <x v="1"/>
    <x v="0"/>
    <x v="21"/>
    <x v="7"/>
    <x v="2"/>
    <x v="2"/>
  </r>
  <r>
    <x v="345"/>
    <x v="15"/>
    <x v="0"/>
    <n v="43.8"/>
    <x v="328"/>
    <x v="14"/>
    <d v="2025-01-17T00:00:00"/>
    <x v="0"/>
    <x v="0"/>
    <x v="2"/>
    <x v="0"/>
    <x v="21"/>
    <x v="1"/>
    <x v="2"/>
    <x v="0"/>
  </r>
  <r>
    <x v="346"/>
    <x v="15"/>
    <x v="0"/>
    <n v="20.399999999999999"/>
    <x v="190"/>
    <x v="14"/>
    <d v="2025-01-17T00:00:00"/>
    <x v="1"/>
    <x v="4"/>
    <x v="1"/>
    <x v="0"/>
    <x v="21"/>
    <x v="1"/>
    <x v="2"/>
    <x v="1"/>
  </r>
  <r>
    <x v="347"/>
    <x v="1"/>
    <x v="0"/>
    <n v="36.700000000000003"/>
    <x v="329"/>
    <x v="14"/>
    <d v="2025-01-16T00:00:00"/>
    <x v="1"/>
    <x v="0"/>
    <x v="1"/>
    <x v="0"/>
    <x v="1"/>
    <x v="3"/>
    <x v="2"/>
    <x v="1"/>
  </r>
  <r>
    <x v="348"/>
    <x v="8"/>
    <x v="2"/>
    <n v="27.2"/>
    <x v="330"/>
    <x v="14"/>
    <d v="2025-01-19T00:00:00"/>
    <x v="1"/>
    <x v="0"/>
    <x v="2"/>
    <x v="0"/>
    <x v="1"/>
    <x v="5"/>
    <x v="2"/>
    <x v="1"/>
  </r>
  <r>
    <x v="349"/>
    <x v="6"/>
    <x v="0"/>
    <n v="58.2"/>
    <x v="331"/>
    <x v="14"/>
    <d v="2025-01-16T00:00:00"/>
    <x v="2"/>
    <x v="0"/>
    <x v="2"/>
    <x v="0"/>
    <x v="42"/>
    <x v="3"/>
    <x v="2"/>
    <x v="2"/>
  </r>
  <r>
    <x v="350"/>
    <x v="8"/>
    <x v="2"/>
    <n v="25.6"/>
    <x v="332"/>
    <x v="14"/>
    <d v="2025-01-16T00:00:00"/>
    <x v="1"/>
    <x v="4"/>
    <x v="4"/>
    <x v="0"/>
    <x v="2"/>
    <x v="3"/>
    <x v="2"/>
    <x v="1"/>
  </r>
  <r>
    <x v="351"/>
    <x v="10"/>
    <x v="0"/>
    <n v="21.2"/>
    <x v="333"/>
    <x v="14"/>
    <d v="2025-01-15T00:00:00"/>
    <x v="2"/>
    <x v="1"/>
    <x v="2"/>
    <x v="0"/>
    <x v="3"/>
    <x v="7"/>
    <x v="2"/>
    <x v="2"/>
  </r>
  <r>
    <x v="352"/>
    <x v="6"/>
    <x v="1"/>
    <n v="48.2"/>
    <x v="334"/>
    <x v="14"/>
    <d v="2025-01-23T00:00:00"/>
    <x v="2"/>
    <x v="0"/>
    <x v="2"/>
    <x v="0"/>
    <x v="3"/>
    <x v="9"/>
    <x v="2"/>
    <x v="2"/>
  </r>
  <r>
    <x v="353"/>
    <x v="1"/>
    <x v="12"/>
    <n v="83.4"/>
    <x v="335"/>
    <x v="15"/>
    <d v="2025-01-17T00:00:00"/>
    <x v="1"/>
    <x v="0"/>
    <x v="0"/>
    <x v="0"/>
    <x v="3"/>
    <x v="3"/>
    <x v="2"/>
    <x v="1"/>
  </r>
  <r>
    <x v="354"/>
    <x v="9"/>
    <x v="2"/>
    <n v="45.3"/>
    <x v="336"/>
    <x v="15"/>
    <d v="2025-01-22T00:00:00"/>
    <x v="1"/>
    <x v="2"/>
    <x v="1"/>
    <x v="0"/>
    <x v="3"/>
    <x v="4"/>
    <x v="2"/>
    <x v="1"/>
  </r>
  <r>
    <x v="355"/>
    <x v="17"/>
    <x v="0"/>
    <n v="42"/>
    <x v="337"/>
    <x v="15"/>
    <d v="2025-01-17T00:00:00"/>
    <x v="0"/>
    <x v="0"/>
    <x v="0"/>
    <x v="0"/>
    <x v="3"/>
    <x v="3"/>
    <x v="2"/>
    <x v="0"/>
  </r>
  <r>
    <x v="356"/>
    <x v="0"/>
    <x v="11"/>
    <n v="21.8"/>
    <x v="338"/>
    <x v="15"/>
    <d v="2025-01-18T00:00:00"/>
    <x v="2"/>
    <x v="1"/>
    <x v="0"/>
    <x v="0"/>
    <x v="3"/>
    <x v="1"/>
    <x v="2"/>
    <x v="2"/>
  </r>
  <r>
    <x v="357"/>
    <x v="8"/>
    <x v="16"/>
    <n v="21.4"/>
    <x v="339"/>
    <x v="15"/>
    <d v="2025-01-19T00:00:00"/>
    <x v="2"/>
    <x v="1"/>
    <x v="2"/>
    <x v="0"/>
    <x v="3"/>
    <x v="2"/>
    <x v="2"/>
    <x v="2"/>
  </r>
  <r>
    <x v="358"/>
    <x v="10"/>
    <x v="2"/>
    <n v="45"/>
    <x v="340"/>
    <x v="15"/>
    <d v="2025-01-16T00:00:00"/>
    <x v="2"/>
    <x v="1"/>
    <x v="2"/>
    <x v="0"/>
    <x v="3"/>
    <x v="7"/>
    <x v="2"/>
    <x v="2"/>
  </r>
  <r>
    <x v="359"/>
    <x v="14"/>
    <x v="0"/>
    <n v="39.6"/>
    <x v="341"/>
    <x v="15"/>
    <d v="2025-01-17T00:00:00"/>
    <x v="1"/>
    <x v="0"/>
    <x v="2"/>
    <x v="0"/>
    <x v="3"/>
    <x v="3"/>
    <x v="2"/>
    <x v="1"/>
  </r>
  <r>
    <x v="360"/>
    <x v="12"/>
    <x v="2"/>
    <n v="79.8"/>
    <x v="342"/>
    <x v="15"/>
    <d v="2025-01-22T00:00:00"/>
    <x v="2"/>
    <x v="1"/>
    <x v="4"/>
    <x v="0"/>
    <x v="3"/>
    <x v="4"/>
    <x v="2"/>
    <x v="2"/>
  </r>
  <r>
    <x v="361"/>
    <x v="1"/>
    <x v="12"/>
    <n v="63.6"/>
    <x v="343"/>
    <x v="15"/>
    <d v="2025-01-17T00:00:00"/>
    <x v="3"/>
    <x v="0"/>
    <x v="2"/>
    <x v="0"/>
    <x v="24"/>
    <x v="3"/>
    <x v="2"/>
    <x v="0"/>
  </r>
  <r>
    <x v="362"/>
    <x v="7"/>
    <x v="7"/>
    <n v="92.7"/>
    <x v="344"/>
    <x v="15"/>
    <d v="2025-01-20T00:00:00"/>
    <x v="1"/>
    <x v="1"/>
    <x v="2"/>
    <x v="0"/>
    <x v="6"/>
    <x v="5"/>
    <x v="2"/>
    <x v="1"/>
  </r>
  <r>
    <x v="363"/>
    <x v="1"/>
    <x v="12"/>
    <n v="48.4"/>
    <x v="345"/>
    <x v="15"/>
    <d v="2025-01-18T00:00:00"/>
    <x v="2"/>
    <x v="1"/>
    <x v="2"/>
    <x v="0"/>
    <x v="6"/>
    <x v="1"/>
    <x v="2"/>
    <x v="2"/>
  </r>
  <r>
    <x v="364"/>
    <x v="9"/>
    <x v="8"/>
    <n v="36"/>
    <x v="346"/>
    <x v="15"/>
    <d v="2025-01-19T00:00:00"/>
    <x v="1"/>
    <x v="2"/>
    <x v="2"/>
    <x v="0"/>
    <x v="8"/>
    <x v="2"/>
    <x v="2"/>
    <x v="1"/>
  </r>
  <r>
    <x v="365"/>
    <x v="8"/>
    <x v="4"/>
    <n v="27"/>
    <x v="347"/>
    <x v="15"/>
    <d v="2025-01-18T00:00:00"/>
    <x v="2"/>
    <x v="2"/>
    <x v="1"/>
    <x v="0"/>
    <x v="8"/>
    <x v="1"/>
    <x v="2"/>
    <x v="2"/>
  </r>
  <r>
    <x v="366"/>
    <x v="2"/>
    <x v="8"/>
    <n v="53.9"/>
    <x v="348"/>
    <x v="15"/>
    <d v="2025-01-17T00:00:00"/>
    <x v="0"/>
    <x v="0"/>
    <x v="0"/>
    <x v="0"/>
    <x v="8"/>
    <x v="3"/>
    <x v="2"/>
    <x v="0"/>
  </r>
  <r>
    <x v="367"/>
    <x v="3"/>
    <x v="11"/>
    <n v="48.4"/>
    <x v="349"/>
    <x v="15"/>
    <d v="2025-01-17T00:00:00"/>
    <x v="2"/>
    <x v="1"/>
    <x v="0"/>
    <x v="0"/>
    <x v="9"/>
    <x v="3"/>
    <x v="2"/>
    <x v="2"/>
  </r>
  <r>
    <x v="368"/>
    <x v="17"/>
    <x v="1"/>
    <n v="49.9"/>
    <x v="350"/>
    <x v="15"/>
    <d v="2025-01-21T00:00:00"/>
    <x v="1"/>
    <x v="4"/>
    <x v="4"/>
    <x v="0"/>
    <x v="10"/>
    <x v="0"/>
    <x v="2"/>
    <x v="1"/>
  </r>
  <r>
    <x v="369"/>
    <x v="1"/>
    <x v="2"/>
    <n v="51.7"/>
    <x v="351"/>
    <x v="15"/>
    <d v="2025-01-17T00:00:00"/>
    <x v="2"/>
    <x v="0"/>
    <x v="2"/>
    <x v="0"/>
    <x v="11"/>
    <x v="3"/>
    <x v="2"/>
    <x v="2"/>
  </r>
  <r>
    <x v="370"/>
    <x v="8"/>
    <x v="2"/>
    <n v="41.8"/>
    <x v="352"/>
    <x v="15"/>
    <d v="2025-01-18T00:00:00"/>
    <x v="2"/>
    <x v="2"/>
    <x v="0"/>
    <x v="0"/>
    <x v="18"/>
    <x v="1"/>
    <x v="2"/>
    <x v="2"/>
  </r>
  <r>
    <x v="371"/>
    <x v="4"/>
    <x v="12"/>
    <n v="36.200000000000003"/>
    <x v="353"/>
    <x v="16"/>
    <d v="2025-01-18T00:00:00"/>
    <x v="1"/>
    <x v="2"/>
    <x v="2"/>
    <x v="0"/>
    <x v="21"/>
    <x v="3"/>
    <x v="2"/>
    <x v="1"/>
  </r>
  <r>
    <x v="372"/>
    <x v="2"/>
    <x v="0"/>
    <n v="150.9"/>
    <x v="354"/>
    <x v="16"/>
    <d v="2025-01-27T00:00:00"/>
    <x v="1"/>
    <x v="0"/>
    <x v="0"/>
    <x v="0"/>
    <x v="1"/>
    <x v="14"/>
    <x v="2"/>
    <x v="1"/>
  </r>
  <r>
    <x v="373"/>
    <x v="18"/>
    <x v="12"/>
    <n v="77.599999999999994"/>
    <x v="355"/>
    <x v="16"/>
    <d v="2025-01-18T00:00:00"/>
    <x v="0"/>
    <x v="2"/>
    <x v="0"/>
    <x v="0"/>
    <x v="3"/>
    <x v="3"/>
    <x v="2"/>
    <x v="0"/>
  </r>
  <r>
    <x v="374"/>
    <x v="13"/>
    <x v="9"/>
    <n v="65.5"/>
    <x v="356"/>
    <x v="16"/>
    <d v="2025-01-17T00:00:00"/>
    <x v="1"/>
    <x v="1"/>
    <x v="0"/>
    <x v="0"/>
    <x v="3"/>
    <x v="7"/>
    <x v="2"/>
    <x v="1"/>
  </r>
  <r>
    <x v="375"/>
    <x v="6"/>
    <x v="2"/>
    <n v="90.1"/>
    <x v="357"/>
    <x v="16"/>
    <d v="2025-01-19T00:00:00"/>
    <x v="2"/>
    <x v="0"/>
    <x v="0"/>
    <x v="0"/>
    <x v="3"/>
    <x v="1"/>
    <x v="2"/>
    <x v="2"/>
  </r>
  <r>
    <x v="376"/>
    <x v="1"/>
    <x v="1"/>
    <n v="108.3"/>
    <x v="358"/>
    <x v="16"/>
    <d v="2025-01-20T00:00:00"/>
    <x v="3"/>
    <x v="4"/>
    <x v="0"/>
    <x v="0"/>
    <x v="3"/>
    <x v="2"/>
    <x v="2"/>
    <x v="0"/>
  </r>
  <r>
    <x v="377"/>
    <x v="5"/>
    <x v="2"/>
    <n v="59.9"/>
    <x v="359"/>
    <x v="16"/>
    <d v="2025-01-21T00:00:00"/>
    <x v="2"/>
    <x v="0"/>
    <x v="0"/>
    <x v="0"/>
    <x v="3"/>
    <x v="5"/>
    <x v="2"/>
    <x v="2"/>
  </r>
  <r>
    <x v="378"/>
    <x v="2"/>
    <x v="14"/>
    <n v="139"/>
    <x v="360"/>
    <x v="16"/>
    <d v="2025-01-19T00:00:00"/>
    <x v="2"/>
    <x v="1"/>
    <x v="4"/>
    <x v="0"/>
    <x v="3"/>
    <x v="1"/>
    <x v="2"/>
    <x v="2"/>
  </r>
  <r>
    <x v="379"/>
    <x v="6"/>
    <x v="2"/>
    <n v="87.3"/>
    <x v="361"/>
    <x v="16"/>
    <d v="2025-01-18T00:00:00"/>
    <x v="2"/>
    <x v="0"/>
    <x v="0"/>
    <x v="0"/>
    <x v="3"/>
    <x v="3"/>
    <x v="2"/>
    <x v="2"/>
  </r>
  <r>
    <x v="380"/>
    <x v="11"/>
    <x v="12"/>
    <n v="42.3"/>
    <x v="362"/>
    <x v="16"/>
    <d v="2025-01-17T00:00:00"/>
    <x v="1"/>
    <x v="0"/>
    <x v="0"/>
    <x v="0"/>
    <x v="3"/>
    <x v="7"/>
    <x v="2"/>
    <x v="1"/>
  </r>
  <r>
    <x v="381"/>
    <x v="14"/>
    <x v="8"/>
    <n v="103.6"/>
    <x v="363"/>
    <x v="16"/>
    <d v="2025-01-18T00:00:00"/>
    <x v="3"/>
    <x v="0"/>
    <x v="1"/>
    <x v="0"/>
    <x v="3"/>
    <x v="3"/>
    <x v="2"/>
    <x v="0"/>
  </r>
  <r>
    <x v="382"/>
    <x v="6"/>
    <x v="1"/>
    <n v="90.9"/>
    <x v="364"/>
    <x v="16"/>
    <d v="2025-01-18T00:00:00"/>
    <x v="1"/>
    <x v="1"/>
    <x v="0"/>
    <x v="0"/>
    <x v="6"/>
    <x v="3"/>
    <x v="2"/>
    <x v="1"/>
  </r>
  <r>
    <x v="383"/>
    <x v="9"/>
    <x v="27"/>
    <n v="100.9"/>
    <x v="365"/>
    <x v="16"/>
    <d v="2025-01-18T00:00:00"/>
    <x v="2"/>
    <x v="1"/>
    <x v="0"/>
    <x v="0"/>
    <x v="6"/>
    <x v="3"/>
    <x v="2"/>
    <x v="2"/>
  </r>
  <r>
    <x v="384"/>
    <x v="4"/>
    <x v="9"/>
    <n v="36"/>
    <x v="366"/>
    <x v="16"/>
    <d v="2025-01-19T00:00:00"/>
    <x v="2"/>
    <x v="1"/>
    <x v="0"/>
    <x v="0"/>
    <x v="7"/>
    <x v="1"/>
    <x v="2"/>
    <x v="2"/>
  </r>
  <r>
    <x v="385"/>
    <x v="6"/>
    <x v="13"/>
    <n v="83.3"/>
    <x v="367"/>
    <x v="16"/>
    <d v="2025-01-20T00:00:00"/>
    <x v="0"/>
    <x v="2"/>
    <x v="0"/>
    <x v="0"/>
    <x v="7"/>
    <x v="2"/>
    <x v="2"/>
    <x v="0"/>
  </r>
  <r>
    <x v="386"/>
    <x v="2"/>
    <x v="14"/>
    <n v="60.3"/>
    <x v="368"/>
    <x v="16"/>
    <d v="2025-01-18T00:00:00"/>
    <x v="1"/>
    <x v="2"/>
    <x v="1"/>
    <x v="0"/>
    <x v="7"/>
    <x v="3"/>
    <x v="2"/>
    <x v="1"/>
  </r>
  <r>
    <x v="387"/>
    <x v="2"/>
    <x v="13"/>
    <n v="120.3"/>
    <x v="369"/>
    <x v="16"/>
    <d v="2025-01-18T00:00:00"/>
    <x v="1"/>
    <x v="2"/>
    <x v="0"/>
    <x v="0"/>
    <x v="8"/>
    <x v="3"/>
    <x v="2"/>
    <x v="1"/>
  </r>
  <r>
    <x v="388"/>
    <x v="4"/>
    <x v="7"/>
    <n v="34"/>
    <x v="370"/>
    <x v="16"/>
    <d v="2025-01-21T00:00:00"/>
    <x v="2"/>
    <x v="2"/>
    <x v="0"/>
    <x v="0"/>
    <x v="8"/>
    <x v="5"/>
    <x v="2"/>
    <x v="2"/>
  </r>
  <r>
    <x v="389"/>
    <x v="10"/>
    <x v="9"/>
    <n v="42.6"/>
    <x v="226"/>
    <x v="16"/>
    <d v="2025-01-20T00:00:00"/>
    <x v="1"/>
    <x v="1"/>
    <x v="0"/>
    <x v="0"/>
    <x v="8"/>
    <x v="2"/>
    <x v="2"/>
    <x v="1"/>
  </r>
  <r>
    <x v="390"/>
    <x v="5"/>
    <x v="28"/>
    <n v="47.4"/>
    <x v="371"/>
    <x v="16"/>
    <d v="2025-01-17T00:00:00"/>
    <x v="2"/>
    <x v="2"/>
    <x v="1"/>
    <x v="0"/>
    <x v="17"/>
    <x v="7"/>
    <x v="2"/>
    <x v="2"/>
  </r>
  <r>
    <x v="391"/>
    <x v="2"/>
    <x v="0"/>
    <n v="74"/>
    <x v="372"/>
    <x v="17"/>
    <d v="2025-01-19T00:00:00"/>
    <x v="1"/>
    <x v="1"/>
    <x v="0"/>
    <x v="0"/>
    <x v="11"/>
    <x v="3"/>
    <x v="2"/>
    <x v="1"/>
  </r>
  <r>
    <x v="392"/>
    <x v="2"/>
    <x v="9"/>
    <n v="60.4"/>
    <x v="373"/>
    <x v="17"/>
    <d v="2025-01-21T00:00:00"/>
    <x v="2"/>
    <x v="1"/>
    <x v="4"/>
    <x v="0"/>
    <x v="18"/>
    <x v="2"/>
    <x v="2"/>
    <x v="2"/>
  </r>
  <r>
    <x v="393"/>
    <x v="12"/>
    <x v="1"/>
    <n v="69.3"/>
    <x v="374"/>
    <x v="17"/>
    <d v="2025-01-21T00:00:00"/>
    <x v="1"/>
    <x v="1"/>
    <x v="1"/>
    <x v="0"/>
    <x v="13"/>
    <x v="2"/>
    <x v="2"/>
    <x v="1"/>
  </r>
  <r>
    <x v="394"/>
    <x v="5"/>
    <x v="9"/>
    <n v="81"/>
    <x v="375"/>
    <x v="17"/>
    <d v="2025-01-24T00:00:00"/>
    <x v="1"/>
    <x v="3"/>
    <x v="0"/>
    <x v="0"/>
    <x v="21"/>
    <x v="4"/>
    <x v="2"/>
    <x v="1"/>
  </r>
  <r>
    <x v="395"/>
    <x v="15"/>
    <x v="2"/>
    <n v="41.5"/>
    <x v="376"/>
    <x v="17"/>
    <d v="2025-01-20T00:00:00"/>
    <x v="3"/>
    <x v="1"/>
    <x v="0"/>
    <x v="0"/>
    <x v="21"/>
    <x v="1"/>
    <x v="2"/>
    <x v="0"/>
  </r>
  <r>
    <x v="396"/>
    <x v="18"/>
    <x v="1"/>
    <n v="69.7"/>
    <x v="377"/>
    <x v="17"/>
    <d v="2025-01-23T00:00:00"/>
    <x v="1"/>
    <x v="1"/>
    <x v="0"/>
    <x v="0"/>
    <x v="21"/>
    <x v="0"/>
    <x v="2"/>
    <x v="1"/>
  </r>
  <r>
    <x v="397"/>
    <x v="2"/>
    <x v="9"/>
    <n v="83.6"/>
    <x v="378"/>
    <x v="17"/>
    <d v="2025-01-18T00:00:00"/>
    <x v="2"/>
    <x v="4"/>
    <x v="0"/>
    <x v="0"/>
    <x v="1"/>
    <x v="7"/>
    <x v="2"/>
    <x v="2"/>
  </r>
  <r>
    <x v="398"/>
    <x v="8"/>
    <x v="3"/>
    <n v="21.5"/>
    <x v="379"/>
    <x v="17"/>
    <d v="2025-01-20T00:00:00"/>
    <x v="1"/>
    <x v="1"/>
    <x v="4"/>
    <x v="0"/>
    <x v="34"/>
    <x v="1"/>
    <x v="2"/>
    <x v="1"/>
  </r>
  <r>
    <x v="399"/>
    <x v="8"/>
    <x v="8"/>
    <n v="28.6"/>
    <x v="27"/>
    <x v="17"/>
    <d v="2025-01-19T00:00:00"/>
    <x v="1"/>
    <x v="0"/>
    <x v="0"/>
    <x v="0"/>
    <x v="3"/>
    <x v="3"/>
    <x v="2"/>
    <x v="1"/>
  </r>
  <r>
    <x v="400"/>
    <x v="8"/>
    <x v="13"/>
    <n v="18.8"/>
    <x v="380"/>
    <x v="17"/>
    <d v="2025-01-21T00:00:00"/>
    <x v="1"/>
    <x v="3"/>
    <x v="2"/>
    <x v="0"/>
    <x v="3"/>
    <x v="2"/>
    <x v="2"/>
    <x v="1"/>
  </r>
  <r>
    <x v="401"/>
    <x v="10"/>
    <x v="12"/>
    <n v="35.1"/>
    <x v="381"/>
    <x v="17"/>
    <d v="2025-01-18T00:00:00"/>
    <x v="2"/>
    <x v="1"/>
    <x v="1"/>
    <x v="0"/>
    <x v="3"/>
    <x v="7"/>
    <x v="2"/>
    <x v="2"/>
  </r>
  <r>
    <x v="402"/>
    <x v="0"/>
    <x v="1"/>
    <n v="12.7"/>
    <x v="382"/>
    <x v="17"/>
    <d v="2025-01-20T00:00:00"/>
    <x v="2"/>
    <x v="1"/>
    <x v="2"/>
    <x v="0"/>
    <x v="3"/>
    <x v="1"/>
    <x v="2"/>
    <x v="2"/>
  </r>
  <r>
    <x v="403"/>
    <x v="8"/>
    <x v="9"/>
    <n v="27.4"/>
    <x v="383"/>
    <x v="17"/>
    <d v="2025-01-20T00:00:00"/>
    <x v="3"/>
    <x v="0"/>
    <x v="0"/>
    <x v="0"/>
    <x v="3"/>
    <x v="1"/>
    <x v="2"/>
    <x v="0"/>
  </r>
  <r>
    <x v="404"/>
    <x v="10"/>
    <x v="1"/>
    <n v="61.3"/>
    <x v="384"/>
    <x v="17"/>
    <d v="2025-01-19T00:00:00"/>
    <x v="2"/>
    <x v="1"/>
    <x v="0"/>
    <x v="0"/>
    <x v="6"/>
    <x v="3"/>
    <x v="2"/>
    <x v="2"/>
  </r>
  <r>
    <x v="405"/>
    <x v="8"/>
    <x v="1"/>
    <n v="64.7"/>
    <x v="385"/>
    <x v="17"/>
    <d v="2025-01-20T00:00:00"/>
    <x v="2"/>
    <x v="3"/>
    <x v="2"/>
    <x v="0"/>
    <x v="6"/>
    <x v="1"/>
    <x v="2"/>
    <x v="2"/>
  </r>
  <r>
    <x v="406"/>
    <x v="7"/>
    <x v="12"/>
    <n v="91.4"/>
    <x v="386"/>
    <x v="17"/>
    <d v="2025-01-20T00:00:00"/>
    <x v="2"/>
    <x v="0"/>
    <x v="0"/>
    <x v="0"/>
    <x v="8"/>
    <x v="1"/>
    <x v="2"/>
    <x v="2"/>
  </r>
  <r>
    <x v="407"/>
    <x v="0"/>
    <x v="1"/>
    <n v="33.1"/>
    <x v="387"/>
    <x v="18"/>
    <d v="2025-01-20T00:00:00"/>
    <x v="1"/>
    <x v="0"/>
    <x v="2"/>
    <x v="0"/>
    <x v="8"/>
    <x v="3"/>
    <x v="3"/>
    <x v="1"/>
  </r>
  <r>
    <x v="408"/>
    <x v="3"/>
    <x v="1"/>
    <n v="105.6"/>
    <x v="23"/>
    <x v="18"/>
    <d v="2025-01-20T00:00:00"/>
    <x v="1"/>
    <x v="2"/>
    <x v="1"/>
    <x v="0"/>
    <x v="8"/>
    <x v="3"/>
    <x v="3"/>
    <x v="1"/>
  </r>
  <r>
    <x v="409"/>
    <x v="10"/>
    <x v="2"/>
    <n v="46.4"/>
    <x v="388"/>
    <x v="18"/>
    <d v="2025-01-20T00:00:00"/>
    <x v="1"/>
    <x v="2"/>
    <x v="0"/>
    <x v="0"/>
    <x v="9"/>
    <x v="3"/>
    <x v="3"/>
    <x v="1"/>
  </r>
  <r>
    <x v="410"/>
    <x v="9"/>
    <x v="21"/>
    <n v="35.299999999999997"/>
    <x v="389"/>
    <x v="18"/>
    <d v="2025-01-22T00:00:00"/>
    <x v="2"/>
    <x v="4"/>
    <x v="1"/>
    <x v="0"/>
    <x v="11"/>
    <x v="2"/>
    <x v="3"/>
    <x v="2"/>
  </r>
  <r>
    <x v="411"/>
    <x v="0"/>
    <x v="1"/>
    <n v="16.100000000000001"/>
    <x v="390"/>
    <x v="18"/>
    <d v="2025-01-21T00:00:00"/>
    <x v="1"/>
    <x v="3"/>
    <x v="2"/>
    <x v="0"/>
    <x v="32"/>
    <x v="1"/>
    <x v="3"/>
    <x v="1"/>
  </r>
  <r>
    <x v="412"/>
    <x v="4"/>
    <x v="1"/>
    <n v="27.9"/>
    <x v="391"/>
    <x v="18"/>
    <d v="2025-01-22T00:00:00"/>
    <x v="1"/>
    <x v="0"/>
    <x v="0"/>
    <x v="0"/>
    <x v="13"/>
    <x v="2"/>
    <x v="3"/>
    <x v="1"/>
  </r>
  <r>
    <x v="413"/>
    <x v="8"/>
    <x v="0"/>
    <n v="47.1"/>
    <x v="392"/>
    <x v="18"/>
    <d v="2025-01-27T00:00:00"/>
    <x v="2"/>
    <x v="1"/>
    <x v="0"/>
    <x v="0"/>
    <x v="2"/>
    <x v="9"/>
    <x v="3"/>
    <x v="2"/>
  </r>
  <r>
    <x v="414"/>
    <x v="6"/>
    <x v="1"/>
    <n v="85"/>
    <x v="393"/>
    <x v="18"/>
    <d v="2025-01-22T00:00:00"/>
    <x v="0"/>
    <x v="2"/>
    <x v="2"/>
    <x v="0"/>
    <x v="22"/>
    <x v="2"/>
    <x v="3"/>
    <x v="0"/>
  </r>
  <r>
    <x v="415"/>
    <x v="18"/>
    <x v="1"/>
    <n v="89"/>
    <x v="394"/>
    <x v="18"/>
    <d v="2025-01-21T00:00:00"/>
    <x v="2"/>
    <x v="0"/>
    <x v="0"/>
    <x v="0"/>
    <x v="3"/>
    <x v="1"/>
    <x v="3"/>
    <x v="2"/>
  </r>
  <r>
    <x v="416"/>
    <x v="16"/>
    <x v="2"/>
    <n v="36.6"/>
    <x v="17"/>
    <x v="18"/>
    <d v="2025-01-20T00:00:00"/>
    <x v="3"/>
    <x v="3"/>
    <x v="2"/>
    <x v="0"/>
    <x v="3"/>
    <x v="3"/>
    <x v="3"/>
    <x v="0"/>
  </r>
  <r>
    <x v="417"/>
    <x v="6"/>
    <x v="3"/>
    <n v="43.5"/>
    <x v="395"/>
    <x v="18"/>
    <d v="2025-01-20T00:00:00"/>
    <x v="1"/>
    <x v="1"/>
    <x v="2"/>
    <x v="0"/>
    <x v="3"/>
    <x v="3"/>
    <x v="3"/>
    <x v="1"/>
  </r>
  <r>
    <x v="418"/>
    <x v="9"/>
    <x v="10"/>
    <n v="30.5"/>
    <x v="396"/>
    <x v="18"/>
    <d v="2025-01-19T00:00:00"/>
    <x v="2"/>
    <x v="3"/>
    <x v="0"/>
    <x v="0"/>
    <x v="3"/>
    <x v="7"/>
    <x v="3"/>
    <x v="2"/>
  </r>
  <r>
    <x v="419"/>
    <x v="1"/>
    <x v="1"/>
    <n v="107.7"/>
    <x v="397"/>
    <x v="18"/>
    <d v="2025-01-23T00:00:00"/>
    <x v="1"/>
    <x v="3"/>
    <x v="4"/>
    <x v="0"/>
    <x v="3"/>
    <x v="5"/>
    <x v="3"/>
    <x v="1"/>
  </r>
  <r>
    <x v="420"/>
    <x v="17"/>
    <x v="18"/>
    <n v="57.1"/>
    <x v="398"/>
    <x v="18"/>
    <d v="2025-01-20T00:00:00"/>
    <x v="1"/>
    <x v="1"/>
    <x v="0"/>
    <x v="0"/>
    <x v="3"/>
    <x v="3"/>
    <x v="3"/>
    <x v="1"/>
  </r>
  <r>
    <x v="421"/>
    <x v="2"/>
    <x v="7"/>
    <n v="111.7"/>
    <x v="399"/>
    <x v="18"/>
    <d v="2025-01-20T00:00:00"/>
    <x v="2"/>
    <x v="4"/>
    <x v="2"/>
    <x v="0"/>
    <x v="3"/>
    <x v="3"/>
    <x v="3"/>
    <x v="2"/>
  </r>
  <r>
    <x v="422"/>
    <x v="18"/>
    <x v="3"/>
    <n v="44.3"/>
    <x v="400"/>
    <x v="18"/>
    <d v="2025-01-22T00:00:00"/>
    <x v="1"/>
    <x v="3"/>
    <x v="2"/>
    <x v="0"/>
    <x v="3"/>
    <x v="2"/>
    <x v="3"/>
    <x v="1"/>
  </r>
  <r>
    <x v="423"/>
    <x v="2"/>
    <x v="8"/>
    <n v="95.8"/>
    <x v="401"/>
    <x v="18"/>
    <d v="2025-01-25T00:00:00"/>
    <x v="3"/>
    <x v="0"/>
    <x v="0"/>
    <x v="0"/>
    <x v="3"/>
    <x v="4"/>
    <x v="3"/>
    <x v="0"/>
  </r>
  <r>
    <x v="424"/>
    <x v="10"/>
    <x v="3"/>
    <n v="22.6"/>
    <x v="402"/>
    <x v="18"/>
    <d v="2025-01-22T00:00:00"/>
    <x v="2"/>
    <x v="3"/>
    <x v="1"/>
    <x v="0"/>
    <x v="3"/>
    <x v="2"/>
    <x v="3"/>
    <x v="2"/>
  </r>
  <r>
    <x v="425"/>
    <x v="8"/>
    <x v="8"/>
    <n v="25.6"/>
    <x v="403"/>
    <x v="18"/>
    <d v="2025-01-21T00:00:00"/>
    <x v="2"/>
    <x v="4"/>
    <x v="0"/>
    <x v="0"/>
    <x v="3"/>
    <x v="1"/>
    <x v="3"/>
    <x v="2"/>
  </r>
  <r>
    <x v="426"/>
    <x v="6"/>
    <x v="27"/>
    <n v="54.3"/>
    <x v="404"/>
    <x v="18"/>
    <d v="2025-01-22T00:00:00"/>
    <x v="2"/>
    <x v="4"/>
    <x v="0"/>
    <x v="0"/>
    <x v="3"/>
    <x v="2"/>
    <x v="3"/>
    <x v="2"/>
  </r>
  <r>
    <x v="427"/>
    <x v="18"/>
    <x v="15"/>
    <n v="51.3"/>
    <x v="405"/>
    <x v="18"/>
    <d v="2025-01-21T00:00:00"/>
    <x v="1"/>
    <x v="0"/>
    <x v="2"/>
    <x v="0"/>
    <x v="3"/>
    <x v="1"/>
    <x v="3"/>
    <x v="1"/>
  </r>
  <r>
    <x v="428"/>
    <x v="0"/>
    <x v="8"/>
    <n v="25.6"/>
    <x v="403"/>
    <x v="18"/>
    <d v="2025-01-20T00:00:00"/>
    <x v="2"/>
    <x v="1"/>
    <x v="1"/>
    <x v="0"/>
    <x v="3"/>
    <x v="3"/>
    <x v="3"/>
    <x v="2"/>
  </r>
  <r>
    <x v="429"/>
    <x v="0"/>
    <x v="1"/>
    <n v="15.6"/>
    <x v="406"/>
    <x v="18"/>
    <d v="2025-01-20T00:00:00"/>
    <x v="2"/>
    <x v="2"/>
    <x v="2"/>
    <x v="0"/>
    <x v="3"/>
    <x v="3"/>
    <x v="3"/>
    <x v="2"/>
  </r>
  <r>
    <x v="430"/>
    <x v="8"/>
    <x v="2"/>
    <n v="30.3"/>
    <x v="407"/>
    <x v="18"/>
    <d v="2025-01-23T00:00:00"/>
    <x v="2"/>
    <x v="0"/>
    <x v="1"/>
    <x v="0"/>
    <x v="3"/>
    <x v="5"/>
    <x v="3"/>
    <x v="2"/>
  </r>
  <r>
    <x v="431"/>
    <x v="12"/>
    <x v="1"/>
    <n v="30.3"/>
    <x v="408"/>
    <x v="18"/>
    <d v="2025-01-24T00:00:00"/>
    <x v="2"/>
    <x v="0"/>
    <x v="2"/>
    <x v="0"/>
    <x v="37"/>
    <x v="0"/>
    <x v="3"/>
    <x v="2"/>
  </r>
  <r>
    <x v="432"/>
    <x v="10"/>
    <x v="2"/>
    <n v="53"/>
    <x v="409"/>
    <x v="18"/>
    <d v="2025-01-26T00:00:00"/>
    <x v="2"/>
    <x v="2"/>
    <x v="0"/>
    <x v="0"/>
    <x v="24"/>
    <x v="6"/>
    <x v="3"/>
    <x v="2"/>
  </r>
  <r>
    <x v="433"/>
    <x v="5"/>
    <x v="16"/>
    <n v="59.9"/>
    <x v="410"/>
    <x v="18"/>
    <d v="2025-01-22T00:00:00"/>
    <x v="1"/>
    <x v="2"/>
    <x v="4"/>
    <x v="0"/>
    <x v="25"/>
    <x v="2"/>
    <x v="3"/>
    <x v="1"/>
  </r>
  <r>
    <x v="434"/>
    <x v="9"/>
    <x v="1"/>
    <n v="45.7"/>
    <x v="411"/>
    <x v="18"/>
    <d v="2025-01-20T00:00:00"/>
    <x v="2"/>
    <x v="1"/>
    <x v="2"/>
    <x v="0"/>
    <x v="6"/>
    <x v="3"/>
    <x v="3"/>
    <x v="2"/>
  </r>
  <r>
    <x v="435"/>
    <x v="8"/>
    <x v="12"/>
    <n v="46.1"/>
    <x v="412"/>
    <x v="18"/>
    <d v="2025-01-20T00:00:00"/>
    <x v="1"/>
    <x v="0"/>
    <x v="0"/>
    <x v="0"/>
    <x v="6"/>
    <x v="3"/>
    <x v="3"/>
    <x v="1"/>
  </r>
  <r>
    <x v="436"/>
    <x v="8"/>
    <x v="2"/>
    <n v="17.5"/>
    <x v="413"/>
    <x v="18"/>
    <d v="2025-01-20T00:00:00"/>
    <x v="2"/>
    <x v="0"/>
    <x v="2"/>
    <x v="0"/>
    <x v="8"/>
    <x v="3"/>
    <x v="3"/>
    <x v="2"/>
  </r>
  <r>
    <x v="437"/>
    <x v="10"/>
    <x v="2"/>
    <n v="36.5"/>
    <x v="414"/>
    <x v="18"/>
    <d v="2025-01-30T00:00:00"/>
    <x v="1"/>
    <x v="2"/>
    <x v="0"/>
    <x v="0"/>
    <x v="8"/>
    <x v="11"/>
    <x v="3"/>
    <x v="1"/>
  </r>
  <r>
    <x v="438"/>
    <x v="8"/>
    <x v="1"/>
    <n v="47.5"/>
    <x v="415"/>
    <x v="19"/>
    <d v="2025-01-22T00:00:00"/>
    <x v="2"/>
    <x v="1"/>
    <x v="0"/>
    <x v="0"/>
    <x v="8"/>
    <x v="1"/>
    <x v="3"/>
    <x v="2"/>
  </r>
  <r>
    <x v="439"/>
    <x v="6"/>
    <x v="9"/>
    <n v="45.6"/>
    <x v="416"/>
    <x v="19"/>
    <d v="2025-01-22T00:00:00"/>
    <x v="2"/>
    <x v="0"/>
    <x v="2"/>
    <x v="0"/>
    <x v="8"/>
    <x v="1"/>
    <x v="3"/>
    <x v="2"/>
  </r>
  <r>
    <x v="440"/>
    <x v="9"/>
    <x v="1"/>
    <n v="50.5"/>
    <x v="95"/>
    <x v="19"/>
    <d v="2025-01-22T00:00:00"/>
    <x v="1"/>
    <x v="0"/>
    <x v="1"/>
    <x v="0"/>
    <x v="17"/>
    <x v="1"/>
    <x v="3"/>
    <x v="1"/>
  </r>
  <r>
    <x v="441"/>
    <x v="2"/>
    <x v="7"/>
    <n v="99.8"/>
    <x v="417"/>
    <x v="19"/>
    <d v="2025-01-23T00:00:00"/>
    <x v="2"/>
    <x v="2"/>
    <x v="1"/>
    <x v="0"/>
    <x v="17"/>
    <x v="2"/>
    <x v="3"/>
    <x v="2"/>
  </r>
  <r>
    <x v="442"/>
    <x v="8"/>
    <x v="20"/>
    <n v="19.2"/>
    <x v="346"/>
    <x v="19"/>
    <d v="2025-01-22T00:00:00"/>
    <x v="3"/>
    <x v="4"/>
    <x v="1"/>
    <x v="0"/>
    <x v="26"/>
    <x v="1"/>
    <x v="3"/>
    <x v="0"/>
  </r>
  <r>
    <x v="443"/>
    <x v="17"/>
    <x v="2"/>
    <n v="22.6"/>
    <x v="418"/>
    <x v="19"/>
    <d v="2025-01-21T00:00:00"/>
    <x v="1"/>
    <x v="1"/>
    <x v="0"/>
    <x v="0"/>
    <x v="11"/>
    <x v="3"/>
    <x v="3"/>
    <x v="1"/>
  </r>
  <r>
    <x v="444"/>
    <x v="1"/>
    <x v="20"/>
    <n v="126.9"/>
    <x v="419"/>
    <x v="19"/>
    <d v="2025-01-22T00:00:00"/>
    <x v="2"/>
    <x v="0"/>
    <x v="2"/>
    <x v="0"/>
    <x v="11"/>
    <x v="1"/>
    <x v="3"/>
    <x v="2"/>
  </r>
  <r>
    <x v="445"/>
    <x v="2"/>
    <x v="1"/>
    <n v="100.3"/>
    <x v="420"/>
    <x v="19"/>
    <d v="2025-01-21T00:00:00"/>
    <x v="2"/>
    <x v="0"/>
    <x v="1"/>
    <x v="0"/>
    <x v="11"/>
    <x v="3"/>
    <x v="3"/>
    <x v="2"/>
  </r>
  <r>
    <x v="446"/>
    <x v="4"/>
    <x v="16"/>
    <n v="24.6"/>
    <x v="421"/>
    <x v="19"/>
    <d v="2025-01-21T00:00:00"/>
    <x v="2"/>
    <x v="4"/>
    <x v="0"/>
    <x v="0"/>
    <x v="13"/>
    <x v="3"/>
    <x v="3"/>
    <x v="2"/>
  </r>
  <r>
    <x v="447"/>
    <x v="6"/>
    <x v="1"/>
    <n v="47.3"/>
    <x v="422"/>
    <x v="19"/>
    <d v="2025-01-21T00:00:00"/>
    <x v="1"/>
    <x v="1"/>
    <x v="2"/>
    <x v="0"/>
    <x v="13"/>
    <x v="3"/>
    <x v="3"/>
    <x v="1"/>
  </r>
  <r>
    <x v="448"/>
    <x v="6"/>
    <x v="3"/>
    <n v="40.799999999999997"/>
    <x v="423"/>
    <x v="19"/>
    <d v="2025-01-23T00:00:00"/>
    <x v="2"/>
    <x v="2"/>
    <x v="2"/>
    <x v="0"/>
    <x v="21"/>
    <x v="2"/>
    <x v="3"/>
    <x v="2"/>
  </r>
  <r>
    <x v="449"/>
    <x v="8"/>
    <x v="8"/>
    <n v="49.2"/>
    <x v="424"/>
    <x v="19"/>
    <d v="2025-01-22T00:00:00"/>
    <x v="2"/>
    <x v="0"/>
    <x v="0"/>
    <x v="0"/>
    <x v="1"/>
    <x v="1"/>
    <x v="3"/>
    <x v="2"/>
  </r>
  <r>
    <x v="450"/>
    <x v="8"/>
    <x v="0"/>
    <n v="28.5"/>
    <x v="425"/>
    <x v="19"/>
    <d v="2025-01-22T00:00:00"/>
    <x v="0"/>
    <x v="2"/>
    <x v="1"/>
    <x v="0"/>
    <x v="3"/>
    <x v="1"/>
    <x v="3"/>
    <x v="0"/>
  </r>
  <r>
    <x v="451"/>
    <x v="18"/>
    <x v="1"/>
    <n v="36.799999999999997"/>
    <x v="426"/>
    <x v="19"/>
    <d v="2025-01-26T00:00:00"/>
    <x v="2"/>
    <x v="0"/>
    <x v="2"/>
    <x v="0"/>
    <x v="3"/>
    <x v="4"/>
    <x v="3"/>
    <x v="2"/>
  </r>
  <r>
    <x v="452"/>
    <x v="7"/>
    <x v="2"/>
    <n v="33.5"/>
    <x v="427"/>
    <x v="19"/>
    <d v="2025-01-21T00:00:00"/>
    <x v="2"/>
    <x v="0"/>
    <x v="1"/>
    <x v="0"/>
    <x v="3"/>
    <x v="3"/>
    <x v="3"/>
    <x v="2"/>
  </r>
  <r>
    <x v="453"/>
    <x v="6"/>
    <x v="13"/>
    <n v="62.5"/>
    <x v="428"/>
    <x v="19"/>
    <d v="2025-01-22T00:00:00"/>
    <x v="2"/>
    <x v="0"/>
    <x v="0"/>
    <x v="0"/>
    <x v="3"/>
    <x v="1"/>
    <x v="3"/>
    <x v="2"/>
  </r>
  <r>
    <x v="454"/>
    <x v="8"/>
    <x v="29"/>
    <n v="47.9"/>
    <x v="429"/>
    <x v="19"/>
    <d v="2025-01-21T00:00:00"/>
    <x v="2"/>
    <x v="3"/>
    <x v="0"/>
    <x v="0"/>
    <x v="3"/>
    <x v="3"/>
    <x v="3"/>
    <x v="2"/>
  </r>
  <r>
    <x v="455"/>
    <x v="6"/>
    <x v="13"/>
    <n v="92.9"/>
    <x v="430"/>
    <x v="19"/>
    <d v="2025-01-31T00:00:00"/>
    <x v="2"/>
    <x v="0"/>
    <x v="4"/>
    <x v="0"/>
    <x v="3"/>
    <x v="11"/>
    <x v="3"/>
    <x v="2"/>
  </r>
  <r>
    <x v="456"/>
    <x v="12"/>
    <x v="2"/>
    <n v="44.1"/>
    <x v="431"/>
    <x v="19"/>
    <d v="2025-01-20T00:00:00"/>
    <x v="2"/>
    <x v="1"/>
    <x v="1"/>
    <x v="0"/>
    <x v="43"/>
    <x v="7"/>
    <x v="3"/>
    <x v="2"/>
  </r>
  <r>
    <x v="457"/>
    <x v="0"/>
    <x v="0"/>
    <n v="11.4"/>
    <x v="432"/>
    <x v="20"/>
    <d v="2025-01-23T00:00:00"/>
    <x v="2"/>
    <x v="2"/>
    <x v="0"/>
    <x v="0"/>
    <x v="5"/>
    <x v="1"/>
    <x v="3"/>
    <x v="2"/>
  </r>
  <r>
    <x v="458"/>
    <x v="6"/>
    <x v="0"/>
    <n v="83.7"/>
    <x v="433"/>
    <x v="20"/>
    <d v="2025-01-23T00:00:00"/>
    <x v="2"/>
    <x v="0"/>
    <x v="2"/>
    <x v="0"/>
    <x v="6"/>
    <x v="1"/>
    <x v="3"/>
    <x v="2"/>
  </r>
  <r>
    <x v="459"/>
    <x v="10"/>
    <x v="1"/>
    <n v="23.2"/>
    <x v="434"/>
    <x v="20"/>
    <d v="2025-01-22T00:00:00"/>
    <x v="1"/>
    <x v="2"/>
    <x v="0"/>
    <x v="0"/>
    <x v="8"/>
    <x v="3"/>
    <x v="3"/>
    <x v="1"/>
  </r>
  <r>
    <x v="460"/>
    <x v="2"/>
    <x v="0"/>
    <n v="162.1"/>
    <x v="435"/>
    <x v="20"/>
    <d v="2025-01-24T00:00:00"/>
    <x v="2"/>
    <x v="0"/>
    <x v="2"/>
    <x v="0"/>
    <x v="9"/>
    <x v="2"/>
    <x v="3"/>
    <x v="2"/>
  </r>
  <r>
    <x v="461"/>
    <x v="6"/>
    <x v="12"/>
    <n v="49.2"/>
    <x v="436"/>
    <x v="20"/>
    <d v="2025-01-25T00:00:00"/>
    <x v="1"/>
    <x v="1"/>
    <x v="0"/>
    <x v="0"/>
    <x v="9"/>
    <x v="5"/>
    <x v="3"/>
    <x v="1"/>
  </r>
  <r>
    <x v="462"/>
    <x v="1"/>
    <x v="1"/>
    <n v="61"/>
    <x v="164"/>
    <x v="20"/>
    <d v="2025-01-22T00:00:00"/>
    <x v="1"/>
    <x v="3"/>
    <x v="0"/>
    <x v="0"/>
    <x v="10"/>
    <x v="3"/>
    <x v="3"/>
    <x v="1"/>
  </r>
  <r>
    <x v="463"/>
    <x v="2"/>
    <x v="7"/>
    <n v="53.1"/>
    <x v="437"/>
    <x v="20"/>
    <d v="2025-01-23T00:00:00"/>
    <x v="1"/>
    <x v="0"/>
    <x v="0"/>
    <x v="0"/>
    <x v="11"/>
    <x v="1"/>
    <x v="3"/>
    <x v="1"/>
  </r>
  <r>
    <x v="464"/>
    <x v="4"/>
    <x v="1"/>
    <n v="22.4"/>
    <x v="438"/>
    <x v="20"/>
    <d v="2025-01-23T00:00:00"/>
    <x v="0"/>
    <x v="1"/>
    <x v="2"/>
    <x v="0"/>
    <x v="13"/>
    <x v="1"/>
    <x v="3"/>
    <x v="0"/>
  </r>
  <r>
    <x v="465"/>
    <x v="1"/>
    <x v="9"/>
    <n v="75.3"/>
    <x v="439"/>
    <x v="20"/>
    <d v="2025-01-22T00:00:00"/>
    <x v="1"/>
    <x v="0"/>
    <x v="0"/>
    <x v="0"/>
    <x v="21"/>
    <x v="3"/>
    <x v="3"/>
    <x v="1"/>
  </r>
  <r>
    <x v="466"/>
    <x v="6"/>
    <x v="0"/>
    <n v="48.5"/>
    <x v="319"/>
    <x v="20"/>
    <d v="2025-01-22T00:00:00"/>
    <x v="2"/>
    <x v="0"/>
    <x v="1"/>
    <x v="0"/>
    <x v="21"/>
    <x v="3"/>
    <x v="3"/>
    <x v="2"/>
  </r>
  <r>
    <x v="467"/>
    <x v="6"/>
    <x v="0"/>
    <n v="42.6"/>
    <x v="440"/>
    <x v="20"/>
    <d v="2025-01-25T00:00:00"/>
    <x v="2"/>
    <x v="3"/>
    <x v="0"/>
    <x v="0"/>
    <x v="1"/>
    <x v="5"/>
    <x v="3"/>
    <x v="2"/>
  </r>
  <r>
    <x v="468"/>
    <x v="5"/>
    <x v="9"/>
    <n v="49"/>
    <x v="441"/>
    <x v="20"/>
    <d v="2025-01-22T00:00:00"/>
    <x v="1"/>
    <x v="0"/>
    <x v="0"/>
    <x v="0"/>
    <x v="22"/>
    <x v="3"/>
    <x v="3"/>
    <x v="1"/>
  </r>
  <r>
    <x v="469"/>
    <x v="8"/>
    <x v="2"/>
    <n v="31.3"/>
    <x v="442"/>
    <x v="20"/>
    <d v="2025-01-22T00:00:00"/>
    <x v="1"/>
    <x v="2"/>
    <x v="1"/>
    <x v="0"/>
    <x v="3"/>
    <x v="3"/>
    <x v="3"/>
    <x v="1"/>
  </r>
  <r>
    <x v="470"/>
    <x v="2"/>
    <x v="1"/>
    <n v="85.4"/>
    <x v="443"/>
    <x v="20"/>
    <d v="2025-01-22T00:00:00"/>
    <x v="2"/>
    <x v="2"/>
    <x v="0"/>
    <x v="0"/>
    <x v="3"/>
    <x v="3"/>
    <x v="3"/>
    <x v="2"/>
  </r>
  <r>
    <x v="471"/>
    <x v="8"/>
    <x v="12"/>
    <n v="40"/>
    <x v="444"/>
    <x v="20"/>
    <d v="2025-01-22T00:00:00"/>
    <x v="3"/>
    <x v="0"/>
    <x v="2"/>
    <x v="0"/>
    <x v="3"/>
    <x v="3"/>
    <x v="3"/>
    <x v="0"/>
  </r>
  <r>
    <x v="472"/>
    <x v="5"/>
    <x v="1"/>
    <n v="38.5"/>
    <x v="445"/>
    <x v="20"/>
    <d v="2025-01-24T00:00:00"/>
    <x v="1"/>
    <x v="1"/>
    <x v="2"/>
    <x v="0"/>
    <x v="3"/>
    <x v="2"/>
    <x v="3"/>
    <x v="1"/>
  </r>
  <r>
    <x v="473"/>
    <x v="2"/>
    <x v="1"/>
    <n v="57.8"/>
    <x v="446"/>
    <x v="20"/>
    <d v="2025-01-22T00:00:00"/>
    <x v="0"/>
    <x v="0"/>
    <x v="0"/>
    <x v="0"/>
    <x v="3"/>
    <x v="3"/>
    <x v="3"/>
    <x v="0"/>
  </r>
  <r>
    <x v="474"/>
    <x v="8"/>
    <x v="0"/>
    <n v="19.2"/>
    <x v="447"/>
    <x v="20"/>
    <d v="2025-01-22T00:00:00"/>
    <x v="2"/>
    <x v="0"/>
    <x v="4"/>
    <x v="0"/>
    <x v="3"/>
    <x v="3"/>
    <x v="3"/>
    <x v="2"/>
  </r>
  <r>
    <x v="475"/>
    <x v="6"/>
    <x v="13"/>
    <n v="114.8"/>
    <x v="448"/>
    <x v="20"/>
    <d v="2025-01-24T00:00:00"/>
    <x v="1"/>
    <x v="1"/>
    <x v="1"/>
    <x v="0"/>
    <x v="3"/>
    <x v="2"/>
    <x v="3"/>
    <x v="1"/>
  </r>
  <r>
    <x v="476"/>
    <x v="10"/>
    <x v="3"/>
    <n v="48.4"/>
    <x v="449"/>
    <x v="20"/>
    <d v="2025-01-24T00:00:00"/>
    <x v="2"/>
    <x v="3"/>
    <x v="1"/>
    <x v="0"/>
    <x v="3"/>
    <x v="2"/>
    <x v="3"/>
    <x v="2"/>
  </r>
  <r>
    <x v="477"/>
    <x v="9"/>
    <x v="9"/>
    <n v="73.2"/>
    <x v="450"/>
    <x v="20"/>
    <d v="2025-01-22T00:00:00"/>
    <x v="2"/>
    <x v="1"/>
    <x v="4"/>
    <x v="0"/>
    <x v="3"/>
    <x v="3"/>
    <x v="3"/>
    <x v="2"/>
  </r>
  <r>
    <x v="478"/>
    <x v="15"/>
    <x v="1"/>
    <n v="48.6"/>
    <x v="451"/>
    <x v="20"/>
    <d v="2025-01-25T00:00:00"/>
    <x v="2"/>
    <x v="3"/>
    <x v="0"/>
    <x v="0"/>
    <x v="3"/>
    <x v="5"/>
    <x v="3"/>
    <x v="2"/>
  </r>
  <r>
    <x v="479"/>
    <x v="0"/>
    <x v="13"/>
    <n v="48.7"/>
    <x v="452"/>
    <x v="20"/>
    <d v="2025-01-22T00:00:00"/>
    <x v="1"/>
    <x v="0"/>
    <x v="0"/>
    <x v="0"/>
    <x v="3"/>
    <x v="3"/>
    <x v="3"/>
    <x v="1"/>
  </r>
  <r>
    <x v="480"/>
    <x v="4"/>
    <x v="1"/>
    <n v="32.200000000000003"/>
    <x v="453"/>
    <x v="20"/>
    <d v="2025-01-24T00:00:00"/>
    <x v="1"/>
    <x v="2"/>
    <x v="2"/>
    <x v="0"/>
    <x v="3"/>
    <x v="2"/>
    <x v="3"/>
    <x v="1"/>
  </r>
  <r>
    <x v="481"/>
    <x v="15"/>
    <x v="8"/>
    <n v="25.8"/>
    <x v="454"/>
    <x v="20"/>
    <d v="2025-01-22T00:00:00"/>
    <x v="1"/>
    <x v="0"/>
    <x v="0"/>
    <x v="0"/>
    <x v="37"/>
    <x v="3"/>
    <x v="3"/>
    <x v="1"/>
  </r>
  <r>
    <x v="482"/>
    <x v="6"/>
    <x v="1"/>
    <n v="94.8"/>
    <x v="455"/>
    <x v="21"/>
    <d v="2025-01-25T00:00:00"/>
    <x v="2"/>
    <x v="1"/>
    <x v="1"/>
    <x v="0"/>
    <x v="25"/>
    <x v="2"/>
    <x v="3"/>
    <x v="2"/>
  </r>
  <r>
    <x v="483"/>
    <x v="15"/>
    <x v="30"/>
    <n v="56.8"/>
    <x v="456"/>
    <x v="21"/>
    <d v="2025-01-25T00:00:00"/>
    <x v="1"/>
    <x v="0"/>
    <x v="0"/>
    <x v="0"/>
    <x v="25"/>
    <x v="2"/>
    <x v="3"/>
    <x v="1"/>
  </r>
  <r>
    <x v="484"/>
    <x v="8"/>
    <x v="27"/>
    <n v="18.3"/>
    <x v="457"/>
    <x v="21"/>
    <d v="2025-01-29T00:00:00"/>
    <x v="2"/>
    <x v="2"/>
    <x v="2"/>
    <x v="0"/>
    <x v="23"/>
    <x v="6"/>
    <x v="3"/>
    <x v="2"/>
  </r>
  <r>
    <x v="485"/>
    <x v="0"/>
    <x v="2"/>
    <n v="16.8"/>
    <x v="458"/>
    <x v="21"/>
    <d v="2025-01-27T00:00:00"/>
    <x v="2"/>
    <x v="2"/>
    <x v="2"/>
    <x v="0"/>
    <x v="8"/>
    <x v="0"/>
    <x v="3"/>
    <x v="2"/>
  </r>
  <r>
    <x v="486"/>
    <x v="5"/>
    <x v="5"/>
    <n v="35.799999999999997"/>
    <x v="459"/>
    <x v="21"/>
    <d v="2025-01-23T00:00:00"/>
    <x v="1"/>
    <x v="1"/>
    <x v="0"/>
    <x v="0"/>
    <x v="17"/>
    <x v="3"/>
    <x v="3"/>
    <x v="1"/>
  </r>
  <r>
    <x v="487"/>
    <x v="18"/>
    <x v="0"/>
    <n v="64.900000000000006"/>
    <x v="460"/>
    <x v="21"/>
    <d v="2025-01-23T00:00:00"/>
    <x v="1"/>
    <x v="0"/>
    <x v="1"/>
    <x v="0"/>
    <x v="17"/>
    <x v="3"/>
    <x v="3"/>
    <x v="1"/>
  </r>
  <r>
    <x v="488"/>
    <x v="18"/>
    <x v="0"/>
    <n v="28.5"/>
    <x v="425"/>
    <x v="21"/>
    <d v="2025-01-24T00:00:00"/>
    <x v="0"/>
    <x v="1"/>
    <x v="0"/>
    <x v="0"/>
    <x v="9"/>
    <x v="1"/>
    <x v="3"/>
    <x v="0"/>
  </r>
  <r>
    <x v="489"/>
    <x v="18"/>
    <x v="1"/>
    <n v="103.5"/>
    <x v="461"/>
    <x v="21"/>
    <d v="2025-01-24T00:00:00"/>
    <x v="2"/>
    <x v="1"/>
    <x v="0"/>
    <x v="0"/>
    <x v="10"/>
    <x v="1"/>
    <x v="3"/>
    <x v="2"/>
  </r>
  <r>
    <x v="490"/>
    <x v="4"/>
    <x v="1"/>
    <n v="41.2"/>
    <x v="462"/>
    <x v="21"/>
    <d v="2025-01-23T00:00:00"/>
    <x v="2"/>
    <x v="1"/>
    <x v="0"/>
    <x v="0"/>
    <x v="10"/>
    <x v="3"/>
    <x v="3"/>
    <x v="2"/>
  </r>
  <r>
    <x v="491"/>
    <x v="9"/>
    <x v="0"/>
    <n v="37.799999999999997"/>
    <x v="463"/>
    <x v="21"/>
    <d v="2025-01-24T00:00:00"/>
    <x v="2"/>
    <x v="3"/>
    <x v="3"/>
    <x v="0"/>
    <x v="11"/>
    <x v="1"/>
    <x v="3"/>
    <x v="2"/>
  </r>
  <r>
    <x v="492"/>
    <x v="8"/>
    <x v="1"/>
    <n v="42.6"/>
    <x v="464"/>
    <x v="21"/>
    <d v="2025-01-24T00:00:00"/>
    <x v="2"/>
    <x v="4"/>
    <x v="0"/>
    <x v="0"/>
    <x v="11"/>
    <x v="1"/>
    <x v="3"/>
    <x v="2"/>
  </r>
  <r>
    <x v="493"/>
    <x v="8"/>
    <x v="7"/>
    <n v="15.2"/>
    <x v="465"/>
    <x v="21"/>
    <d v="2025-01-24T00:00:00"/>
    <x v="2"/>
    <x v="2"/>
    <x v="0"/>
    <x v="0"/>
    <x v="11"/>
    <x v="1"/>
    <x v="3"/>
    <x v="2"/>
  </r>
  <r>
    <x v="494"/>
    <x v="7"/>
    <x v="12"/>
    <n v="83.4"/>
    <x v="335"/>
    <x v="21"/>
    <d v="2025-01-23T00:00:00"/>
    <x v="2"/>
    <x v="2"/>
    <x v="1"/>
    <x v="0"/>
    <x v="18"/>
    <x v="3"/>
    <x v="3"/>
    <x v="2"/>
  </r>
  <r>
    <x v="495"/>
    <x v="19"/>
    <x v="1"/>
    <n v="27.7"/>
    <x v="466"/>
    <x v="21"/>
    <d v="2025-01-23T00:00:00"/>
    <x v="2"/>
    <x v="0"/>
    <x v="1"/>
    <x v="0"/>
    <x v="13"/>
    <x v="3"/>
    <x v="3"/>
    <x v="2"/>
  </r>
  <r>
    <x v="496"/>
    <x v="10"/>
    <x v="4"/>
    <n v="20.8"/>
    <x v="467"/>
    <x v="21"/>
    <d v="2025-01-23T00:00:00"/>
    <x v="1"/>
    <x v="3"/>
    <x v="0"/>
    <x v="0"/>
    <x v="13"/>
    <x v="3"/>
    <x v="3"/>
    <x v="1"/>
  </r>
  <r>
    <x v="497"/>
    <x v="11"/>
    <x v="1"/>
    <n v="72.7"/>
    <x v="468"/>
    <x v="21"/>
    <d v="2025-01-26T00:00:00"/>
    <x v="2"/>
    <x v="4"/>
    <x v="2"/>
    <x v="0"/>
    <x v="44"/>
    <x v="5"/>
    <x v="3"/>
    <x v="2"/>
  </r>
  <r>
    <x v="498"/>
    <x v="10"/>
    <x v="12"/>
    <n v="38.6"/>
    <x v="55"/>
    <x v="21"/>
    <d v="2025-01-23T00:00:00"/>
    <x v="1"/>
    <x v="0"/>
    <x v="2"/>
    <x v="0"/>
    <x v="22"/>
    <x v="3"/>
    <x v="3"/>
    <x v="1"/>
  </r>
  <r>
    <x v="499"/>
    <x v="8"/>
    <x v="3"/>
    <n v="33.1"/>
    <x v="217"/>
    <x v="21"/>
    <d v="2025-01-23T00:00:00"/>
    <x v="3"/>
    <x v="4"/>
    <x v="3"/>
    <x v="0"/>
    <x v="3"/>
    <x v="3"/>
    <x v="3"/>
    <x v="0"/>
  </r>
  <r>
    <x v="500"/>
    <x v="10"/>
    <x v="1"/>
    <n v="30.5"/>
    <x v="170"/>
    <x v="21"/>
    <d v="2025-01-22T00:00:00"/>
    <x v="0"/>
    <x v="1"/>
    <x v="1"/>
    <x v="0"/>
    <x v="3"/>
    <x v="7"/>
    <x v="3"/>
    <x v="0"/>
  </r>
  <r>
    <x v="501"/>
    <x v="9"/>
    <x v="1"/>
    <n v="69.599999999999994"/>
    <x v="388"/>
    <x v="21"/>
    <d v="2025-01-23T00:00:00"/>
    <x v="1"/>
    <x v="0"/>
    <x v="1"/>
    <x v="0"/>
    <x v="3"/>
    <x v="3"/>
    <x v="3"/>
    <x v="1"/>
  </r>
  <r>
    <x v="502"/>
    <x v="11"/>
    <x v="0"/>
    <n v="42.4"/>
    <x v="469"/>
    <x v="21"/>
    <d v="2025-01-26T00:00:00"/>
    <x v="2"/>
    <x v="1"/>
    <x v="0"/>
    <x v="0"/>
    <x v="3"/>
    <x v="5"/>
    <x v="3"/>
    <x v="2"/>
  </r>
  <r>
    <x v="503"/>
    <x v="17"/>
    <x v="0"/>
    <n v="32.200000000000003"/>
    <x v="390"/>
    <x v="21"/>
    <d v="2025-01-25T00:00:00"/>
    <x v="2"/>
    <x v="2"/>
    <x v="1"/>
    <x v="0"/>
    <x v="3"/>
    <x v="2"/>
    <x v="3"/>
    <x v="2"/>
  </r>
  <r>
    <x v="504"/>
    <x v="6"/>
    <x v="1"/>
    <n v="41.5"/>
    <x v="470"/>
    <x v="21"/>
    <d v="2025-01-25T00:00:00"/>
    <x v="2"/>
    <x v="0"/>
    <x v="2"/>
    <x v="0"/>
    <x v="3"/>
    <x v="2"/>
    <x v="3"/>
    <x v="2"/>
  </r>
  <r>
    <x v="505"/>
    <x v="16"/>
    <x v="11"/>
    <n v="58.9"/>
    <x v="471"/>
    <x v="21"/>
    <d v="2025-01-26T00:00:00"/>
    <x v="2"/>
    <x v="3"/>
    <x v="0"/>
    <x v="0"/>
    <x v="3"/>
    <x v="5"/>
    <x v="3"/>
    <x v="2"/>
  </r>
  <r>
    <x v="506"/>
    <x v="2"/>
    <x v="0"/>
    <n v="57.1"/>
    <x v="472"/>
    <x v="21"/>
    <d v="2025-01-25T00:00:00"/>
    <x v="2"/>
    <x v="1"/>
    <x v="0"/>
    <x v="0"/>
    <x v="3"/>
    <x v="2"/>
    <x v="3"/>
    <x v="2"/>
  </r>
  <r>
    <x v="507"/>
    <x v="6"/>
    <x v="0"/>
    <n v="57.2"/>
    <x v="473"/>
    <x v="21"/>
    <d v="2025-01-24T00:00:00"/>
    <x v="1"/>
    <x v="1"/>
    <x v="0"/>
    <x v="0"/>
    <x v="3"/>
    <x v="1"/>
    <x v="3"/>
    <x v="1"/>
  </r>
  <r>
    <x v="508"/>
    <x v="8"/>
    <x v="1"/>
    <n v="35.1"/>
    <x v="474"/>
    <x v="21"/>
    <d v="2025-01-23T00:00:00"/>
    <x v="1"/>
    <x v="1"/>
    <x v="0"/>
    <x v="0"/>
    <x v="6"/>
    <x v="3"/>
    <x v="3"/>
    <x v="1"/>
  </r>
  <r>
    <x v="509"/>
    <x v="1"/>
    <x v="0"/>
    <n v="52.1"/>
    <x v="475"/>
    <x v="21"/>
    <d v="2025-01-24T00:00:00"/>
    <x v="2"/>
    <x v="4"/>
    <x v="1"/>
    <x v="0"/>
    <x v="8"/>
    <x v="1"/>
    <x v="3"/>
    <x v="2"/>
  </r>
  <r>
    <x v="510"/>
    <x v="13"/>
    <x v="2"/>
    <n v="59.8"/>
    <x v="476"/>
    <x v="21"/>
    <d v="2025-01-24T00:00:00"/>
    <x v="2"/>
    <x v="4"/>
    <x v="1"/>
    <x v="0"/>
    <x v="8"/>
    <x v="1"/>
    <x v="3"/>
    <x v="2"/>
  </r>
  <r>
    <x v="511"/>
    <x v="3"/>
    <x v="12"/>
    <n v="83.3"/>
    <x v="477"/>
    <x v="21"/>
    <d v="2025-01-22T00:00:00"/>
    <x v="0"/>
    <x v="2"/>
    <x v="0"/>
    <x v="0"/>
    <x v="8"/>
    <x v="7"/>
    <x v="3"/>
    <x v="0"/>
  </r>
  <r>
    <x v="512"/>
    <x v="15"/>
    <x v="4"/>
    <n v="41.3"/>
    <x v="478"/>
    <x v="21"/>
    <d v="2025-01-23T00:00:00"/>
    <x v="2"/>
    <x v="1"/>
    <x v="0"/>
    <x v="0"/>
    <x v="8"/>
    <x v="3"/>
    <x v="3"/>
    <x v="2"/>
  </r>
  <r>
    <x v="513"/>
    <x v="8"/>
    <x v="9"/>
    <n v="16"/>
    <x v="479"/>
    <x v="21"/>
    <d v="2025-01-24T00:00:00"/>
    <x v="1"/>
    <x v="4"/>
    <x v="1"/>
    <x v="0"/>
    <x v="9"/>
    <x v="1"/>
    <x v="3"/>
    <x v="1"/>
  </r>
  <r>
    <x v="514"/>
    <x v="10"/>
    <x v="1"/>
    <n v="20.8"/>
    <x v="480"/>
    <x v="22"/>
    <d v="2025-01-25T00:00:00"/>
    <x v="1"/>
    <x v="0"/>
    <x v="2"/>
    <x v="0"/>
    <x v="11"/>
    <x v="1"/>
    <x v="3"/>
    <x v="1"/>
  </r>
  <r>
    <x v="515"/>
    <x v="8"/>
    <x v="31"/>
    <n v="27.1"/>
    <x v="481"/>
    <x v="22"/>
    <d v="2025-01-24T00:00:00"/>
    <x v="0"/>
    <x v="3"/>
    <x v="2"/>
    <x v="0"/>
    <x v="11"/>
    <x v="3"/>
    <x v="3"/>
    <x v="0"/>
  </r>
  <r>
    <x v="516"/>
    <x v="10"/>
    <x v="1"/>
    <n v="38.9"/>
    <x v="482"/>
    <x v="22"/>
    <d v="2025-01-25T00:00:00"/>
    <x v="2"/>
    <x v="0"/>
    <x v="0"/>
    <x v="0"/>
    <x v="18"/>
    <x v="1"/>
    <x v="3"/>
    <x v="2"/>
  </r>
  <r>
    <x v="517"/>
    <x v="0"/>
    <x v="1"/>
    <n v="10.8"/>
    <x v="483"/>
    <x v="22"/>
    <d v="2025-01-26T00:00:00"/>
    <x v="2"/>
    <x v="1"/>
    <x v="2"/>
    <x v="0"/>
    <x v="45"/>
    <x v="2"/>
    <x v="3"/>
    <x v="2"/>
  </r>
  <r>
    <x v="518"/>
    <x v="4"/>
    <x v="15"/>
    <n v="48.4"/>
    <x v="484"/>
    <x v="22"/>
    <d v="2025-01-27T00:00:00"/>
    <x v="2"/>
    <x v="0"/>
    <x v="0"/>
    <x v="0"/>
    <x v="21"/>
    <x v="5"/>
    <x v="3"/>
    <x v="2"/>
  </r>
  <r>
    <x v="519"/>
    <x v="4"/>
    <x v="2"/>
    <n v="29.2"/>
    <x v="485"/>
    <x v="22"/>
    <d v="2025-01-26T00:00:00"/>
    <x v="2"/>
    <x v="1"/>
    <x v="1"/>
    <x v="0"/>
    <x v="2"/>
    <x v="2"/>
    <x v="3"/>
    <x v="2"/>
  </r>
  <r>
    <x v="520"/>
    <x v="4"/>
    <x v="1"/>
    <n v="25.1"/>
    <x v="486"/>
    <x v="22"/>
    <d v="2025-01-24T00:00:00"/>
    <x v="1"/>
    <x v="0"/>
    <x v="1"/>
    <x v="0"/>
    <x v="2"/>
    <x v="3"/>
    <x v="3"/>
    <x v="1"/>
  </r>
  <r>
    <x v="521"/>
    <x v="7"/>
    <x v="2"/>
    <n v="65.599999999999994"/>
    <x v="487"/>
    <x v="22"/>
    <d v="2025-01-23T00:00:00"/>
    <x v="2"/>
    <x v="2"/>
    <x v="1"/>
    <x v="0"/>
    <x v="3"/>
    <x v="7"/>
    <x v="3"/>
    <x v="2"/>
  </r>
  <r>
    <x v="522"/>
    <x v="2"/>
    <x v="1"/>
    <n v="57.3"/>
    <x v="488"/>
    <x v="22"/>
    <d v="2025-01-23T00:00:00"/>
    <x v="0"/>
    <x v="0"/>
    <x v="0"/>
    <x v="0"/>
    <x v="3"/>
    <x v="7"/>
    <x v="3"/>
    <x v="0"/>
  </r>
  <r>
    <x v="523"/>
    <x v="9"/>
    <x v="12"/>
    <n v="22.4"/>
    <x v="70"/>
    <x v="22"/>
    <d v="2025-01-24T00:00:00"/>
    <x v="2"/>
    <x v="2"/>
    <x v="2"/>
    <x v="0"/>
    <x v="3"/>
    <x v="3"/>
    <x v="3"/>
    <x v="2"/>
  </r>
  <r>
    <x v="524"/>
    <x v="12"/>
    <x v="11"/>
    <n v="45.7"/>
    <x v="489"/>
    <x v="22"/>
    <d v="2025-01-24T00:00:00"/>
    <x v="2"/>
    <x v="0"/>
    <x v="0"/>
    <x v="0"/>
    <x v="3"/>
    <x v="3"/>
    <x v="3"/>
    <x v="2"/>
  </r>
  <r>
    <x v="525"/>
    <x v="8"/>
    <x v="1"/>
    <n v="29.3"/>
    <x v="150"/>
    <x v="22"/>
    <d v="2025-01-24T00:00:00"/>
    <x v="1"/>
    <x v="1"/>
    <x v="0"/>
    <x v="0"/>
    <x v="3"/>
    <x v="3"/>
    <x v="3"/>
    <x v="1"/>
  </r>
  <r>
    <x v="526"/>
    <x v="18"/>
    <x v="32"/>
    <n v="74"/>
    <x v="490"/>
    <x v="22"/>
    <d v="2025-01-24T00:00:00"/>
    <x v="1"/>
    <x v="0"/>
    <x v="2"/>
    <x v="0"/>
    <x v="3"/>
    <x v="3"/>
    <x v="3"/>
    <x v="1"/>
  </r>
  <r>
    <x v="527"/>
    <x v="14"/>
    <x v="1"/>
    <n v="39.200000000000003"/>
    <x v="491"/>
    <x v="22"/>
    <d v="2025-01-25T00:00:00"/>
    <x v="2"/>
    <x v="1"/>
    <x v="0"/>
    <x v="0"/>
    <x v="3"/>
    <x v="1"/>
    <x v="3"/>
    <x v="2"/>
  </r>
  <r>
    <x v="528"/>
    <x v="4"/>
    <x v="14"/>
    <n v="62.7"/>
    <x v="492"/>
    <x v="22"/>
    <d v="2025-01-24T00:00:00"/>
    <x v="2"/>
    <x v="2"/>
    <x v="1"/>
    <x v="0"/>
    <x v="3"/>
    <x v="3"/>
    <x v="3"/>
    <x v="2"/>
  </r>
  <r>
    <x v="529"/>
    <x v="10"/>
    <x v="1"/>
    <n v="60.1"/>
    <x v="493"/>
    <x v="22"/>
    <d v="2025-01-24T00:00:00"/>
    <x v="2"/>
    <x v="3"/>
    <x v="0"/>
    <x v="0"/>
    <x v="3"/>
    <x v="3"/>
    <x v="3"/>
    <x v="2"/>
  </r>
  <r>
    <x v="530"/>
    <x v="0"/>
    <x v="12"/>
    <n v="11.2"/>
    <x v="438"/>
    <x v="22"/>
    <d v="2025-01-24T00:00:00"/>
    <x v="2"/>
    <x v="3"/>
    <x v="1"/>
    <x v="0"/>
    <x v="3"/>
    <x v="3"/>
    <x v="3"/>
    <x v="2"/>
  </r>
  <r>
    <x v="531"/>
    <x v="8"/>
    <x v="1"/>
    <n v="22.9"/>
    <x v="494"/>
    <x v="22"/>
    <d v="2025-01-24T00:00:00"/>
    <x v="2"/>
    <x v="0"/>
    <x v="0"/>
    <x v="0"/>
    <x v="6"/>
    <x v="3"/>
    <x v="3"/>
    <x v="2"/>
  </r>
  <r>
    <x v="532"/>
    <x v="1"/>
    <x v="1"/>
    <n v="37.6"/>
    <x v="495"/>
    <x v="22"/>
    <d v="2025-01-26T00:00:00"/>
    <x v="2"/>
    <x v="0"/>
    <x v="0"/>
    <x v="0"/>
    <x v="6"/>
    <x v="2"/>
    <x v="3"/>
    <x v="2"/>
  </r>
  <r>
    <x v="533"/>
    <x v="6"/>
    <x v="0"/>
    <n v="42.4"/>
    <x v="469"/>
    <x v="22"/>
    <d v="2025-01-24T00:00:00"/>
    <x v="2"/>
    <x v="3"/>
    <x v="2"/>
    <x v="0"/>
    <x v="6"/>
    <x v="3"/>
    <x v="3"/>
    <x v="2"/>
  </r>
  <r>
    <x v="534"/>
    <x v="8"/>
    <x v="1"/>
    <n v="19.600000000000001"/>
    <x v="496"/>
    <x v="22"/>
    <d v="2025-01-27T00:00:00"/>
    <x v="2"/>
    <x v="2"/>
    <x v="0"/>
    <x v="0"/>
    <x v="7"/>
    <x v="5"/>
    <x v="3"/>
    <x v="2"/>
  </r>
  <r>
    <x v="535"/>
    <x v="9"/>
    <x v="0"/>
    <n v="90.5"/>
    <x v="497"/>
    <x v="22"/>
    <d v="2025-01-26T00:00:00"/>
    <x v="2"/>
    <x v="2"/>
    <x v="0"/>
    <x v="0"/>
    <x v="7"/>
    <x v="2"/>
    <x v="3"/>
    <x v="2"/>
  </r>
  <r>
    <x v="536"/>
    <x v="16"/>
    <x v="5"/>
    <n v="33.9"/>
    <x v="498"/>
    <x v="22"/>
    <d v="2025-01-24T00:00:00"/>
    <x v="1"/>
    <x v="2"/>
    <x v="1"/>
    <x v="0"/>
    <x v="7"/>
    <x v="3"/>
    <x v="3"/>
    <x v="1"/>
  </r>
  <r>
    <x v="537"/>
    <x v="0"/>
    <x v="1"/>
    <n v="32.799999999999997"/>
    <x v="499"/>
    <x v="22"/>
    <d v="2025-01-25T00:00:00"/>
    <x v="2"/>
    <x v="4"/>
    <x v="4"/>
    <x v="0"/>
    <x v="8"/>
    <x v="1"/>
    <x v="3"/>
    <x v="2"/>
  </r>
  <r>
    <x v="538"/>
    <x v="15"/>
    <x v="0"/>
    <n v="49.9"/>
    <x v="500"/>
    <x v="22"/>
    <d v="2025-01-24T00:00:00"/>
    <x v="1"/>
    <x v="3"/>
    <x v="1"/>
    <x v="0"/>
    <x v="8"/>
    <x v="3"/>
    <x v="3"/>
    <x v="1"/>
  </r>
  <r>
    <x v="539"/>
    <x v="7"/>
    <x v="9"/>
    <n v="79.2"/>
    <x v="501"/>
    <x v="22"/>
    <d v="2025-01-24T00:00:00"/>
    <x v="2"/>
    <x v="4"/>
    <x v="0"/>
    <x v="0"/>
    <x v="8"/>
    <x v="3"/>
    <x v="3"/>
    <x v="2"/>
  </r>
  <r>
    <x v="540"/>
    <x v="8"/>
    <x v="27"/>
    <n v="19.5"/>
    <x v="502"/>
    <x v="22"/>
    <d v="2025-01-25T00:00:00"/>
    <x v="1"/>
    <x v="3"/>
    <x v="2"/>
    <x v="0"/>
    <x v="8"/>
    <x v="1"/>
    <x v="3"/>
    <x v="1"/>
  </r>
  <r>
    <x v="541"/>
    <x v="8"/>
    <x v="12"/>
    <n v="18"/>
    <x v="503"/>
    <x v="22"/>
    <d v="2025-01-24T00:00:00"/>
    <x v="1"/>
    <x v="1"/>
    <x v="0"/>
    <x v="0"/>
    <x v="10"/>
    <x v="3"/>
    <x v="3"/>
    <x v="1"/>
  </r>
  <r>
    <x v="542"/>
    <x v="9"/>
    <x v="2"/>
    <n v="45.9"/>
    <x v="223"/>
    <x v="22"/>
    <d v="2025-01-25T00:00:00"/>
    <x v="2"/>
    <x v="1"/>
    <x v="1"/>
    <x v="0"/>
    <x v="10"/>
    <x v="1"/>
    <x v="3"/>
    <x v="2"/>
  </r>
  <r>
    <x v="543"/>
    <x v="11"/>
    <x v="0"/>
    <n v="41.2"/>
    <x v="504"/>
    <x v="22"/>
    <d v="2025-01-25T00:00:00"/>
    <x v="2"/>
    <x v="1"/>
    <x v="2"/>
    <x v="0"/>
    <x v="11"/>
    <x v="1"/>
    <x v="3"/>
    <x v="2"/>
  </r>
  <r>
    <x v="544"/>
    <x v="2"/>
    <x v="7"/>
    <n v="167.2"/>
    <x v="505"/>
    <x v="22"/>
    <d v="2025-01-25T00:00:00"/>
    <x v="2"/>
    <x v="2"/>
    <x v="2"/>
    <x v="0"/>
    <x v="32"/>
    <x v="1"/>
    <x v="3"/>
    <x v="2"/>
  </r>
  <r>
    <x v="545"/>
    <x v="6"/>
    <x v="17"/>
    <n v="74.5"/>
    <x v="506"/>
    <x v="23"/>
    <d v="2025-01-27T00:00:00"/>
    <x v="2"/>
    <x v="1"/>
    <x v="2"/>
    <x v="0"/>
    <x v="38"/>
    <x v="2"/>
    <x v="3"/>
    <x v="2"/>
  </r>
  <r>
    <x v="546"/>
    <x v="7"/>
    <x v="12"/>
    <n v="39.299999999999997"/>
    <x v="507"/>
    <x v="23"/>
    <d v="2025-01-25T00:00:00"/>
    <x v="0"/>
    <x v="2"/>
    <x v="0"/>
    <x v="0"/>
    <x v="19"/>
    <x v="3"/>
    <x v="3"/>
    <x v="0"/>
  </r>
  <r>
    <x v="547"/>
    <x v="9"/>
    <x v="0"/>
    <n v="68.5"/>
    <x v="508"/>
    <x v="23"/>
    <d v="2025-01-27T00:00:00"/>
    <x v="1"/>
    <x v="1"/>
    <x v="2"/>
    <x v="0"/>
    <x v="12"/>
    <x v="2"/>
    <x v="3"/>
    <x v="1"/>
  </r>
  <r>
    <x v="548"/>
    <x v="0"/>
    <x v="2"/>
    <n v="22.5"/>
    <x v="509"/>
    <x v="23"/>
    <d v="2025-01-24T00:00:00"/>
    <x v="2"/>
    <x v="4"/>
    <x v="0"/>
    <x v="0"/>
    <x v="13"/>
    <x v="7"/>
    <x v="3"/>
    <x v="2"/>
  </r>
  <r>
    <x v="549"/>
    <x v="1"/>
    <x v="0"/>
    <n v="48"/>
    <x v="510"/>
    <x v="23"/>
    <d v="2025-01-25T00:00:00"/>
    <x v="3"/>
    <x v="4"/>
    <x v="1"/>
    <x v="0"/>
    <x v="46"/>
    <x v="3"/>
    <x v="3"/>
    <x v="0"/>
  </r>
  <r>
    <x v="550"/>
    <x v="6"/>
    <x v="0"/>
    <n v="94"/>
    <x v="255"/>
    <x v="23"/>
    <d v="2025-01-25T00:00:00"/>
    <x v="1"/>
    <x v="3"/>
    <x v="1"/>
    <x v="0"/>
    <x v="1"/>
    <x v="3"/>
    <x v="3"/>
    <x v="1"/>
  </r>
  <r>
    <x v="551"/>
    <x v="8"/>
    <x v="2"/>
    <n v="21.9"/>
    <x v="511"/>
    <x v="23"/>
    <d v="2025-01-25T00:00:00"/>
    <x v="2"/>
    <x v="0"/>
    <x v="0"/>
    <x v="0"/>
    <x v="44"/>
    <x v="3"/>
    <x v="3"/>
    <x v="2"/>
  </r>
  <r>
    <x v="552"/>
    <x v="6"/>
    <x v="3"/>
    <n v="64.900000000000006"/>
    <x v="512"/>
    <x v="23"/>
    <d v="2025-01-25T00:00:00"/>
    <x v="2"/>
    <x v="0"/>
    <x v="0"/>
    <x v="0"/>
    <x v="3"/>
    <x v="3"/>
    <x v="3"/>
    <x v="2"/>
  </r>
  <r>
    <x v="553"/>
    <x v="12"/>
    <x v="0"/>
    <n v="52.9"/>
    <x v="513"/>
    <x v="23"/>
    <d v="2025-01-24T00:00:00"/>
    <x v="2"/>
    <x v="1"/>
    <x v="1"/>
    <x v="0"/>
    <x v="3"/>
    <x v="7"/>
    <x v="3"/>
    <x v="2"/>
  </r>
  <r>
    <x v="554"/>
    <x v="8"/>
    <x v="2"/>
    <n v="25.5"/>
    <x v="514"/>
    <x v="23"/>
    <d v="2025-01-25T00:00:00"/>
    <x v="2"/>
    <x v="1"/>
    <x v="2"/>
    <x v="0"/>
    <x v="3"/>
    <x v="3"/>
    <x v="3"/>
    <x v="2"/>
  </r>
  <r>
    <x v="555"/>
    <x v="6"/>
    <x v="2"/>
    <n v="51.9"/>
    <x v="515"/>
    <x v="23"/>
    <d v="2025-01-25T00:00:00"/>
    <x v="2"/>
    <x v="3"/>
    <x v="0"/>
    <x v="0"/>
    <x v="3"/>
    <x v="3"/>
    <x v="3"/>
    <x v="2"/>
  </r>
  <r>
    <x v="556"/>
    <x v="5"/>
    <x v="0"/>
    <n v="46.3"/>
    <x v="516"/>
    <x v="23"/>
    <d v="2025-01-27T00:00:00"/>
    <x v="2"/>
    <x v="4"/>
    <x v="0"/>
    <x v="0"/>
    <x v="3"/>
    <x v="2"/>
    <x v="3"/>
    <x v="2"/>
  </r>
  <r>
    <x v="557"/>
    <x v="6"/>
    <x v="1"/>
    <n v="68.2"/>
    <x v="517"/>
    <x v="23"/>
    <d v="2025-01-26T00:00:00"/>
    <x v="2"/>
    <x v="3"/>
    <x v="0"/>
    <x v="0"/>
    <x v="3"/>
    <x v="1"/>
    <x v="3"/>
    <x v="2"/>
  </r>
  <r>
    <x v="558"/>
    <x v="1"/>
    <x v="0"/>
    <n v="40.299999999999997"/>
    <x v="518"/>
    <x v="23"/>
    <d v="2025-01-25T00:00:00"/>
    <x v="1"/>
    <x v="0"/>
    <x v="1"/>
    <x v="0"/>
    <x v="3"/>
    <x v="3"/>
    <x v="3"/>
    <x v="1"/>
  </r>
  <r>
    <x v="559"/>
    <x v="2"/>
    <x v="2"/>
    <n v="91.3"/>
    <x v="54"/>
    <x v="23"/>
    <d v="2025-01-29T00:00:00"/>
    <x v="1"/>
    <x v="0"/>
    <x v="2"/>
    <x v="0"/>
    <x v="6"/>
    <x v="0"/>
    <x v="3"/>
    <x v="1"/>
  </r>
  <r>
    <x v="560"/>
    <x v="0"/>
    <x v="2"/>
    <n v="11.9"/>
    <x v="519"/>
    <x v="23"/>
    <d v="2025-01-25T00:00:00"/>
    <x v="2"/>
    <x v="0"/>
    <x v="1"/>
    <x v="0"/>
    <x v="6"/>
    <x v="3"/>
    <x v="3"/>
    <x v="2"/>
  </r>
  <r>
    <x v="561"/>
    <x v="2"/>
    <x v="1"/>
    <n v="63.5"/>
    <x v="520"/>
    <x v="23"/>
    <d v="2025-01-26T00:00:00"/>
    <x v="1"/>
    <x v="1"/>
    <x v="0"/>
    <x v="0"/>
    <x v="6"/>
    <x v="1"/>
    <x v="3"/>
    <x v="1"/>
  </r>
  <r>
    <x v="562"/>
    <x v="4"/>
    <x v="1"/>
    <n v="27.1"/>
    <x v="521"/>
    <x v="23"/>
    <d v="2025-01-27T00:00:00"/>
    <x v="1"/>
    <x v="2"/>
    <x v="2"/>
    <x v="0"/>
    <x v="6"/>
    <x v="2"/>
    <x v="3"/>
    <x v="1"/>
  </r>
  <r>
    <x v="563"/>
    <x v="1"/>
    <x v="1"/>
    <n v="82.1"/>
    <x v="522"/>
    <x v="24"/>
    <d v="2025-01-28T00:00:00"/>
    <x v="1"/>
    <x v="1"/>
    <x v="1"/>
    <x v="0"/>
    <x v="7"/>
    <x v="2"/>
    <x v="3"/>
    <x v="1"/>
  </r>
  <r>
    <x v="564"/>
    <x v="3"/>
    <x v="9"/>
    <n v="42.9"/>
    <x v="523"/>
    <x v="24"/>
    <d v="2025-01-27T00:00:00"/>
    <x v="2"/>
    <x v="1"/>
    <x v="0"/>
    <x v="0"/>
    <x v="8"/>
    <x v="1"/>
    <x v="3"/>
    <x v="2"/>
  </r>
  <r>
    <x v="565"/>
    <x v="8"/>
    <x v="5"/>
    <n v="37.9"/>
    <x v="524"/>
    <x v="24"/>
    <d v="2025-02-01T00:00:00"/>
    <x v="1"/>
    <x v="0"/>
    <x v="0"/>
    <x v="0"/>
    <x v="8"/>
    <x v="6"/>
    <x v="3"/>
    <x v="1"/>
  </r>
  <r>
    <x v="566"/>
    <x v="0"/>
    <x v="0"/>
    <n v="22.4"/>
    <x v="525"/>
    <x v="24"/>
    <d v="2025-01-26T00:00:00"/>
    <x v="2"/>
    <x v="0"/>
    <x v="1"/>
    <x v="0"/>
    <x v="17"/>
    <x v="3"/>
    <x v="3"/>
    <x v="2"/>
  </r>
  <r>
    <x v="567"/>
    <x v="2"/>
    <x v="15"/>
    <n v="79.900000000000006"/>
    <x v="526"/>
    <x v="24"/>
    <d v="2025-02-07T00:00:00"/>
    <x v="2"/>
    <x v="3"/>
    <x v="1"/>
    <x v="0"/>
    <x v="11"/>
    <x v="10"/>
    <x v="3"/>
    <x v="2"/>
  </r>
  <r>
    <x v="568"/>
    <x v="1"/>
    <x v="0"/>
    <n v="70.599999999999994"/>
    <x v="527"/>
    <x v="24"/>
    <d v="2025-01-28T00:00:00"/>
    <x v="2"/>
    <x v="0"/>
    <x v="1"/>
    <x v="0"/>
    <x v="11"/>
    <x v="2"/>
    <x v="3"/>
    <x v="2"/>
  </r>
  <r>
    <x v="569"/>
    <x v="6"/>
    <x v="0"/>
    <n v="49.5"/>
    <x v="528"/>
    <x v="24"/>
    <d v="2025-01-27T00:00:00"/>
    <x v="1"/>
    <x v="0"/>
    <x v="0"/>
    <x v="0"/>
    <x v="13"/>
    <x v="1"/>
    <x v="3"/>
    <x v="1"/>
  </r>
  <r>
    <x v="570"/>
    <x v="2"/>
    <x v="1"/>
    <n v="96.6"/>
    <x v="529"/>
    <x v="24"/>
    <d v="2025-01-27T00:00:00"/>
    <x v="1"/>
    <x v="0"/>
    <x v="0"/>
    <x v="0"/>
    <x v="21"/>
    <x v="1"/>
    <x v="3"/>
    <x v="1"/>
  </r>
  <r>
    <x v="571"/>
    <x v="6"/>
    <x v="1"/>
    <n v="52.8"/>
    <x v="142"/>
    <x v="24"/>
    <d v="2025-01-26T00:00:00"/>
    <x v="2"/>
    <x v="1"/>
    <x v="1"/>
    <x v="0"/>
    <x v="21"/>
    <x v="3"/>
    <x v="3"/>
    <x v="2"/>
  </r>
  <r>
    <x v="572"/>
    <x v="2"/>
    <x v="0"/>
    <n v="101.7"/>
    <x v="530"/>
    <x v="24"/>
    <d v="2025-01-26T00:00:00"/>
    <x v="1"/>
    <x v="0"/>
    <x v="0"/>
    <x v="0"/>
    <x v="1"/>
    <x v="3"/>
    <x v="3"/>
    <x v="1"/>
  </r>
  <r>
    <x v="573"/>
    <x v="4"/>
    <x v="9"/>
    <n v="26.9"/>
    <x v="531"/>
    <x v="24"/>
    <d v="2025-01-30T00:00:00"/>
    <x v="2"/>
    <x v="1"/>
    <x v="1"/>
    <x v="0"/>
    <x v="22"/>
    <x v="0"/>
    <x v="3"/>
    <x v="2"/>
  </r>
  <r>
    <x v="574"/>
    <x v="2"/>
    <x v="12"/>
    <n v="211"/>
    <x v="532"/>
    <x v="24"/>
    <d v="2025-01-25T00:00:00"/>
    <x v="2"/>
    <x v="1"/>
    <x v="1"/>
    <x v="0"/>
    <x v="3"/>
    <x v="7"/>
    <x v="3"/>
    <x v="2"/>
  </r>
  <r>
    <x v="575"/>
    <x v="0"/>
    <x v="12"/>
    <n v="21.1"/>
    <x v="533"/>
    <x v="24"/>
    <d v="2025-01-28T00:00:00"/>
    <x v="1"/>
    <x v="4"/>
    <x v="0"/>
    <x v="0"/>
    <x v="3"/>
    <x v="2"/>
    <x v="3"/>
    <x v="1"/>
  </r>
  <r>
    <x v="576"/>
    <x v="10"/>
    <x v="0"/>
    <n v="26.6"/>
    <x v="534"/>
    <x v="24"/>
    <d v="2025-01-27T00:00:00"/>
    <x v="1"/>
    <x v="0"/>
    <x v="4"/>
    <x v="0"/>
    <x v="3"/>
    <x v="1"/>
    <x v="3"/>
    <x v="1"/>
  </r>
  <r>
    <x v="577"/>
    <x v="12"/>
    <x v="12"/>
    <n v="51.2"/>
    <x v="403"/>
    <x v="24"/>
    <d v="2025-01-26T00:00:00"/>
    <x v="2"/>
    <x v="3"/>
    <x v="0"/>
    <x v="0"/>
    <x v="47"/>
    <x v="3"/>
    <x v="3"/>
    <x v="2"/>
  </r>
  <r>
    <x v="578"/>
    <x v="0"/>
    <x v="9"/>
    <n v="10.6"/>
    <x v="535"/>
    <x v="24"/>
    <d v="2025-01-29T00:00:00"/>
    <x v="2"/>
    <x v="0"/>
    <x v="0"/>
    <x v="0"/>
    <x v="8"/>
    <x v="5"/>
    <x v="3"/>
    <x v="2"/>
  </r>
  <r>
    <x v="579"/>
    <x v="6"/>
    <x v="2"/>
    <n v="43.4"/>
    <x v="33"/>
    <x v="24"/>
    <d v="2025-01-28T00:00:00"/>
    <x v="2"/>
    <x v="4"/>
    <x v="0"/>
    <x v="0"/>
    <x v="8"/>
    <x v="2"/>
    <x v="3"/>
    <x v="2"/>
  </r>
  <r>
    <x v="580"/>
    <x v="12"/>
    <x v="0"/>
    <n v="80"/>
    <x v="479"/>
    <x v="24"/>
    <d v="2025-01-25T00:00:00"/>
    <x v="2"/>
    <x v="0"/>
    <x v="2"/>
    <x v="0"/>
    <x v="8"/>
    <x v="7"/>
    <x v="3"/>
    <x v="2"/>
  </r>
  <r>
    <x v="581"/>
    <x v="10"/>
    <x v="12"/>
    <n v="64.7"/>
    <x v="536"/>
    <x v="24"/>
    <d v="2025-01-27T00:00:00"/>
    <x v="2"/>
    <x v="1"/>
    <x v="4"/>
    <x v="0"/>
    <x v="8"/>
    <x v="1"/>
    <x v="3"/>
    <x v="2"/>
  </r>
  <r>
    <x v="582"/>
    <x v="8"/>
    <x v="5"/>
    <n v="26.3"/>
    <x v="537"/>
    <x v="25"/>
    <d v="2025-01-26T00:00:00"/>
    <x v="2"/>
    <x v="4"/>
    <x v="1"/>
    <x v="0"/>
    <x v="26"/>
    <x v="7"/>
    <x v="4"/>
    <x v="2"/>
  </r>
  <r>
    <x v="583"/>
    <x v="10"/>
    <x v="0"/>
    <n v="28.5"/>
    <x v="425"/>
    <x v="25"/>
    <d v="2025-01-26T00:00:00"/>
    <x v="1"/>
    <x v="0"/>
    <x v="1"/>
    <x v="0"/>
    <x v="9"/>
    <x v="7"/>
    <x v="4"/>
    <x v="1"/>
  </r>
  <r>
    <x v="584"/>
    <x v="17"/>
    <x v="0"/>
    <n v="47.8"/>
    <x v="538"/>
    <x v="25"/>
    <d v="2025-01-28T00:00:00"/>
    <x v="2"/>
    <x v="0"/>
    <x v="1"/>
    <x v="0"/>
    <x v="9"/>
    <x v="1"/>
    <x v="4"/>
    <x v="2"/>
  </r>
  <r>
    <x v="585"/>
    <x v="10"/>
    <x v="2"/>
    <n v="42.8"/>
    <x v="539"/>
    <x v="25"/>
    <d v="2025-01-29T00:00:00"/>
    <x v="2"/>
    <x v="4"/>
    <x v="1"/>
    <x v="0"/>
    <x v="11"/>
    <x v="2"/>
    <x v="4"/>
    <x v="2"/>
  </r>
  <r>
    <x v="586"/>
    <x v="6"/>
    <x v="9"/>
    <n v="46.8"/>
    <x v="540"/>
    <x v="25"/>
    <d v="2025-01-31T00:00:00"/>
    <x v="2"/>
    <x v="1"/>
    <x v="2"/>
    <x v="0"/>
    <x v="11"/>
    <x v="0"/>
    <x v="4"/>
    <x v="2"/>
  </r>
  <r>
    <x v="587"/>
    <x v="1"/>
    <x v="7"/>
    <n v="64.099999999999994"/>
    <x v="541"/>
    <x v="25"/>
    <d v="2025-01-27T00:00:00"/>
    <x v="1"/>
    <x v="1"/>
    <x v="0"/>
    <x v="0"/>
    <x v="11"/>
    <x v="3"/>
    <x v="4"/>
    <x v="1"/>
  </r>
  <r>
    <x v="588"/>
    <x v="2"/>
    <x v="0"/>
    <n v="89.1"/>
    <x v="542"/>
    <x v="25"/>
    <d v="2025-01-27T00:00:00"/>
    <x v="2"/>
    <x v="0"/>
    <x v="1"/>
    <x v="0"/>
    <x v="20"/>
    <x v="3"/>
    <x v="4"/>
    <x v="2"/>
  </r>
  <r>
    <x v="589"/>
    <x v="2"/>
    <x v="2"/>
    <n v="83.1"/>
    <x v="543"/>
    <x v="25"/>
    <d v="2025-01-27T00:00:00"/>
    <x v="2"/>
    <x v="2"/>
    <x v="1"/>
    <x v="0"/>
    <x v="13"/>
    <x v="3"/>
    <x v="4"/>
    <x v="2"/>
  </r>
  <r>
    <x v="590"/>
    <x v="8"/>
    <x v="2"/>
    <n v="40.9"/>
    <x v="544"/>
    <x v="25"/>
    <d v="2025-01-27T00:00:00"/>
    <x v="1"/>
    <x v="0"/>
    <x v="0"/>
    <x v="0"/>
    <x v="1"/>
    <x v="3"/>
    <x v="4"/>
    <x v="1"/>
  </r>
  <r>
    <x v="591"/>
    <x v="2"/>
    <x v="1"/>
    <n v="125.7"/>
    <x v="545"/>
    <x v="25"/>
    <d v="2025-01-27T00:00:00"/>
    <x v="2"/>
    <x v="3"/>
    <x v="0"/>
    <x v="0"/>
    <x v="2"/>
    <x v="3"/>
    <x v="4"/>
    <x v="2"/>
  </r>
  <r>
    <x v="592"/>
    <x v="3"/>
    <x v="1"/>
    <n v="30.9"/>
    <x v="546"/>
    <x v="25"/>
    <d v="2025-01-26T00:00:00"/>
    <x v="2"/>
    <x v="2"/>
    <x v="2"/>
    <x v="0"/>
    <x v="22"/>
    <x v="7"/>
    <x v="4"/>
    <x v="2"/>
  </r>
  <r>
    <x v="593"/>
    <x v="8"/>
    <x v="1"/>
    <n v="18.3"/>
    <x v="547"/>
    <x v="25"/>
    <d v="2025-01-27T00:00:00"/>
    <x v="2"/>
    <x v="1"/>
    <x v="0"/>
    <x v="0"/>
    <x v="3"/>
    <x v="3"/>
    <x v="4"/>
    <x v="2"/>
  </r>
  <r>
    <x v="594"/>
    <x v="4"/>
    <x v="1"/>
    <n v="56.5"/>
    <x v="548"/>
    <x v="25"/>
    <d v="2025-01-30T00:00:00"/>
    <x v="1"/>
    <x v="2"/>
    <x v="2"/>
    <x v="0"/>
    <x v="3"/>
    <x v="5"/>
    <x v="4"/>
    <x v="1"/>
  </r>
  <r>
    <x v="595"/>
    <x v="10"/>
    <x v="3"/>
    <n v="29.9"/>
    <x v="549"/>
    <x v="25"/>
    <d v="2025-01-28T00:00:00"/>
    <x v="1"/>
    <x v="4"/>
    <x v="2"/>
    <x v="0"/>
    <x v="3"/>
    <x v="1"/>
    <x v="4"/>
    <x v="1"/>
  </r>
  <r>
    <x v="596"/>
    <x v="5"/>
    <x v="1"/>
    <n v="50.4"/>
    <x v="90"/>
    <x v="25"/>
    <d v="2025-01-27T00:00:00"/>
    <x v="2"/>
    <x v="2"/>
    <x v="0"/>
    <x v="0"/>
    <x v="3"/>
    <x v="3"/>
    <x v="4"/>
    <x v="2"/>
  </r>
  <r>
    <x v="597"/>
    <x v="2"/>
    <x v="0"/>
    <n v="85.8"/>
    <x v="550"/>
    <x v="25"/>
    <d v="2025-01-26T00:00:00"/>
    <x v="2"/>
    <x v="2"/>
    <x v="2"/>
    <x v="0"/>
    <x v="3"/>
    <x v="7"/>
    <x v="4"/>
    <x v="2"/>
  </r>
  <r>
    <x v="598"/>
    <x v="4"/>
    <x v="27"/>
    <n v="66.599999999999994"/>
    <x v="551"/>
    <x v="25"/>
    <d v="2025-01-28T00:00:00"/>
    <x v="1"/>
    <x v="1"/>
    <x v="0"/>
    <x v="0"/>
    <x v="3"/>
    <x v="1"/>
    <x v="4"/>
    <x v="1"/>
  </r>
  <r>
    <x v="599"/>
    <x v="6"/>
    <x v="12"/>
    <n v="70.3"/>
    <x v="552"/>
    <x v="25"/>
    <d v="2025-01-27T00:00:00"/>
    <x v="2"/>
    <x v="0"/>
    <x v="1"/>
    <x v="0"/>
    <x v="3"/>
    <x v="3"/>
    <x v="4"/>
    <x v="2"/>
  </r>
  <r>
    <x v="600"/>
    <x v="8"/>
    <x v="12"/>
    <n v="31"/>
    <x v="553"/>
    <x v="25"/>
    <d v="2025-01-29T00:00:00"/>
    <x v="1"/>
    <x v="0"/>
    <x v="2"/>
    <x v="0"/>
    <x v="3"/>
    <x v="2"/>
    <x v="4"/>
    <x v="1"/>
  </r>
  <r>
    <x v="601"/>
    <x v="7"/>
    <x v="13"/>
    <n v="81.599999999999994"/>
    <x v="554"/>
    <x v="25"/>
    <d v="2025-01-27T00:00:00"/>
    <x v="2"/>
    <x v="1"/>
    <x v="1"/>
    <x v="0"/>
    <x v="37"/>
    <x v="3"/>
    <x v="4"/>
    <x v="2"/>
  </r>
  <r>
    <x v="602"/>
    <x v="1"/>
    <x v="30"/>
    <n v="58.3"/>
    <x v="555"/>
    <x v="25"/>
    <d v="2025-01-27T00:00:00"/>
    <x v="2"/>
    <x v="0"/>
    <x v="0"/>
    <x v="0"/>
    <x v="16"/>
    <x v="3"/>
    <x v="4"/>
    <x v="2"/>
  </r>
  <r>
    <x v="603"/>
    <x v="1"/>
    <x v="12"/>
    <n v="35.1"/>
    <x v="381"/>
    <x v="25"/>
    <d v="2025-01-28T00:00:00"/>
    <x v="1"/>
    <x v="0"/>
    <x v="2"/>
    <x v="0"/>
    <x v="8"/>
    <x v="1"/>
    <x v="4"/>
    <x v="1"/>
  </r>
  <r>
    <x v="604"/>
    <x v="2"/>
    <x v="0"/>
    <n v="80.2"/>
    <x v="556"/>
    <x v="25"/>
    <d v="2025-01-27T00:00:00"/>
    <x v="1"/>
    <x v="3"/>
    <x v="2"/>
    <x v="0"/>
    <x v="8"/>
    <x v="3"/>
    <x v="4"/>
    <x v="1"/>
  </r>
  <r>
    <x v="605"/>
    <x v="14"/>
    <x v="2"/>
    <n v="39.200000000000003"/>
    <x v="557"/>
    <x v="25"/>
    <d v="2025-01-28T00:00:00"/>
    <x v="2"/>
    <x v="1"/>
    <x v="0"/>
    <x v="0"/>
    <x v="9"/>
    <x v="1"/>
    <x v="4"/>
    <x v="2"/>
  </r>
  <r>
    <x v="606"/>
    <x v="0"/>
    <x v="1"/>
    <n v="15.4"/>
    <x v="558"/>
    <x v="25"/>
    <d v="2025-01-26T00:00:00"/>
    <x v="2"/>
    <x v="3"/>
    <x v="0"/>
    <x v="0"/>
    <x v="48"/>
    <x v="7"/>
    <x v="4"/>
    <x v="2"/>
  </r>
  <r>
    <x v="607"/>
    <x v="3"/>
    <x v="2"/>
    <n v="65.400000000000006"/>
    <x v="338"/>
    <x v="25"/>
    <d v="2025-01-29T00:00:00"/>
    <x v="1"/>
    <x v="3"/>
    <x v="0"/>
    <x v="0"/>
    <x v="18"/>
    <x v="2"/>
    <x v="4"/>
    <x v="1"/>
  </r>
  <r>
    <x v="608"/>
    <x v="1"/>
    <x v="8"/>
    <n v="63.2"/>
    <x v="559"/>
    <x v="25"/>
    <d v="2025-01-28T00:00:00"/>
    <x v="2"/>
    <x v="1"/>
    <x v="0"/>
    <x v="0"/>
    <x v="19"/>
    <x v="1"/>
    <x v="4"/>
    <x v="2"/>
  </r>
  <r>
    <x v="609"/>
    <x v="1"/>
    <x v="13"/>
    <n v="35.700000000000003"/>
    <x v="560"/>
    <x v="25"/>
    <d v="2025-01-30T00:00:00"/>
    <x v="2"/>
    <x v="4"/>
    <x v="1"/>
    <x v="0"/>
    <x v="19"/>
    <x v="5"/>
    <x v="4"/>
    <x v="2"/>
  </r>
  <r>
    <x v="610"/>
    <x v="0"/>
    <x v="28"/>
    <n v="26.2"/>
    <x v="561"/>
    <x v="25"/>
    <d v="2025-01-27T00:00:00"/>
    <x v="2"/>
    <x v="3"/>
    <x v="0"/>
    <x v="0"/>
    <x v="21"/>
    <x v="3"/>
    <x v="4"/>
    <x v="2"/>
  </r>
  <r>
    <x v="611"/>
    <x v="7"/>
    <x v="1"/>
    <n v="31"/>
    <x v="85"/>
    <x v="25"/>
    <d v="2025-01-27T00:00:00"/>
    <x v="2"/>
    <x v="0"/>
    <x v="2"/>
    <x v="0"/>
    <x v="1"/>
    <x v="3"/>
    <x v="4"/>
    <x v="2"/>
  </r>
  <r>
    <x v="612"/>
    <x v="8"/>
    <x v="12"/>
    <n v="37.700000000000003"/>
    <x v="562"/>
    <x v="25"/>
    <d v="2025-01-27T00:00:00"/>
    <x v="2"/>
    <x v="1"/>
    <x v="0"/>
    <x v="0"/>
    <x v="22"/>
    <x v="3"/>
    <x v="4"/>
    <x v="2"/>
  </r>
  <r>
    <x v="613"/>
    <x v="10"/>
    <x v="33"/>
    <n v="43.6"/>
    <x v="563"/>
    <x v="25"/>
    <d v="2025-01-28T00:00:00"/>
    <x v="2"/>
    <x v="4"/>
    <x v="1"/>
    <x v="0"/>
    <x v="3"/>
    <x v="1"/>
    <x v="4"/>
    <x v="2"/>
  </r>
  <r>
    <x v="614"/>
    <x v="9"/>
    <x v="12"/>
    <n v="26.5"/>
    <x v="101"/>
    <x v="25"/>
    <d v="2025-01-28T00:00:00"/>
    <x v="1"/>
    <x v="0"/>
    <x v="4"/>
    <x v="0"/>
    <x v="3"/>
    <x v="1"/>
    <x v="4"/>
    <x v="1"/>
  </r>
  <r>
    <x v="615"/>
    <x v="0"/>
    <x v="1"/>
    <n v="34.6"/>
    <x v="564"/>
    <x v="25"/>
    <d v="2025-01-27T00:00:00"/>
    <x v="1"/>
    <x v="4"/>
    <x v="1"/>
    <x v="0"/>
    <x v="3"/>
    <x v="3"/>
    <x v="4"/>
    <x v="1"/>
  </r>
  <r>
    <x v="616"/>
    <x v="8"/>
    <x v="1"/>
    <n v="58.2"/>
    <x v="565"/>
    <x v="25"/>
    <d v="2025-01-27T00:00:00"/>
    <x v="1"/>
    <x v="2"/>
    <x v="2"/>
    <x v="0"/>
    <x v="3"/>
    <x v="3"/>
    <x v="4"/>
    <x v="1"/>
  </r>
  <r>
    <x v="617"/>
    <x v="7"/>
    <x v="0"/>
    <n v="30.2"/>
    <x v="242"/>
    <x v="26"/>
    <d v="2025-01-28T00:00:00"/>
    <x v="2"/>
    <x v="2"/>
    <x v="1"/>
    <x v="0"/>
    <x v="3"/>
    <x v="3"/>
    <x v="4"/>
    <x v="2"/>
  </r>
  <r>
    <x v="618"/>
    <x v="1"/>
    <x v="7"/>
    <n v="53.2"/>
    <x v="566"/>
    <x v="26"/>
    <d v="2025-01-28T00:00:00"/>
    <x v="1"/>
    <x v="0"/>
    <x v="2"/>
    <x v="0"/>
    <x v="5"/>
    <x v="3"/>
    <x v="4"/>
    <x v="1"/>
  </r>
  <r>
    <x v="619"/>
    <x v="12"/>
    <x v="13"/>
    <n v="51.1"/>
    <x v="567"/>
    <x v="26"/>
    <d v="2025-01-27T00:00:00"/>
    <x v="1"/>
    <x v="1"/>
    <x v="2"/>
    <x v="0"/>
    <x v="5"/>
    <x v="7"/>
    <x v="4"/>
    <x v="1"/>
  </r>
  <r>
    <x v="620"/>
    <x v="1"/>
    <x v="0"/>
    <n v="105.4"/>
    <x v="568"/>
    <x v="26"/>
    <d v="2025-01-31T00:00:00"/>
    <x v="2"/>
    <x v="1"/>
    <x v="2"/>
    <x v="0"/>
    <x v="23"/>
    <x v="5"/>
    <x v="4"/>
    <x v="2"/>
  </r>
  <r>
    <x v="621"/>
    <x v="7"/>
    <x v="0"/>
    <n v="57.7"/>
    <x v="569"/>
    <x v="26"/>
    <d v="2025-01-27T00:00:00"/>
    <x v="1"/>
    <x v="0"/>
    <x v="4"/>
    <x v="0"/>
    <x v="8"/>
    <x v="7"/>
    <x v="4"/>
    <x v="1"/>
  </r>
  <r>
    <x v="622"/>
    <x v="15"/>
    <x v="1"/>
    <n v="72.400000000000006"/>
    <x v="353"/>
    <x v="26"/>
    <d v="2025-02-01T00:00:00"/>
    <x v="2"/>
    <x v="0"/>
    <x v="0"/>
    <x v="0"/>
    <x v="17"/>
    <x v="0"/>
    <x v="4"/>
    <x v="2"/>
  </r>
  <r>
    <x v="623"/>
    <x v="6"/>
    <x v="1"/>
    <n v="62.5"/>
    <x v="570"/>
    <x v="26"/>
    <d v="2025-01-28T00:00:00"/>
    <x v="0"/>
    <x v="0"/>
    <x v="2"/>
    <x v="0"/>
    <x v="11"/>
    <x v="3"/>
    <x v="4"/>
    <x v="0"/>
  </r>
  <r>
    <x v="624"/>
    <x v="0"/>
    <x v="32"/>
    <n v="11.6"/>
    <x v="281"/>
    <x v="26"/>
    <d v="2025-01-29T00:00:00"/>
    <x v="2"/>
    <x v="3"/>
    <x v="2"/>
    <x v="0"/>
    <x v="18"/>
    <x v="1"/>
    <x v="4"/>
    <x v="2"/>
  </r>
  <r>
    <x v="625"/>
    <x v="10"/>
    <x v="7"/>
    <n v="39.6"/>
    <x v="501"/>
    <x v="26"/>
    <d v="2025-01-29T00:00:00"/>
    <x v="2"/>
    <x v="2"/>
    <x v="2"/>
    <x v="0"/>
    <x v="18"/>
    <x v="1"/>
    <x v="4"/>
    <x v="2"/>
  </r>
  <r>
    <x v="626"/>
    <x v="8"/>
    <x v="1"/>
    <n v="40.1"/>
    <x v="556"/>
    <x v="26"/>
    <d v="2025-01-28T00:00:00"/>
    <x v="2"/>
    <x v="2"/>
    <x v="0"/>
    <x v="0"/>
    <x v="18"/>
    <x v="3"/>
    <x v="4"/>
    <x v="2"/>
  </r>
  <r>
    <x v="627"/>
    <x v="8"/>
    <x v="2"/>
    <n v="18.600000000000001"/>
    <x v="571"/>
    <x v="26"/>
    <d v="2025-01-28T00:00:00"/>
    <x v="2"/>
    <x v="2"/>
    <x v="0"/>
    <x v="0"/>
    <x v="21"/>
    <x v="3"/>
    <x v="4"/>
    <x v="2"/>
  </r>
  <r>
    <x v="628"/>
    <x v="4"/>
    <x v="0"/>
    <n v="58.8"/>
    <x v="572"/>
    <x v="26"/>
    <d v="2025-01-29T00:00:00"/>
    <x v="2"/>
    <x v="0"/>
    <x v="1"/>
    <x v="0"/>
    <x v="21"/>
    <x v="1"/>
    <x v="4"/>
    <x v="2"/>
  </r>
  <r>
    <x v="629"/>
    <x v="8"/>
    <x v="1"/>
    <n v="22.1"/>
    <x v="573"/>
    <x v="26"/>
    <d v="2025-01-30T00:00:00"/>
    <x v="1"/>
    <x v="1"/>
    <x v="2"/>
    <x v="0"/>
    <x v="21"/>
    <x v="2"/>
    <x v="4"/>
    <x v="1"/>
  </r>
  <r>
    <x v="630"/>
    <x v="2"/>
    <x v="0"/>
    <n v="114.9"/>
    <x v="574"/>
    <x v="27"/>
    <d v="2025-01-29T00:00:00"/>
    <x v="2"/>
    <x v="1"/>
    <x v="1"/>
    <x v="0"/>
    <x v="22"/>
    <x v="3"/>
    <x v="4"/>
    <x v="2"/>
  </r>
  <r>
    <x v="631"/>
    <x v="9"/>
    <x v="9"/>
    <n v="75.8"/>
    <x v="575"/>
    <x v="27"/>
    <d v="2025-01-29T00:00:00"/>
    <x v="1"/>
    <x v="0"/>
    <x v="2"/>
    <x v="0"/>
    <x v="3"/>
    <x v="3"/>
    <x v="4"/>
    <x v="1"/>
  </r>
  <r>
    <x v="632"/>
    <x v="14"/>
    <x v="9"/>
    <n v="20.6"/>
    <x v="576"/>
    <x v="27"/>
    <d v="2025-01-29T00:00:00"/>
    <x v="1"/>
    <x v="2"/>
    <x v="2"/>
    <x v="0"/>
    <x v="3"/>
    <x v="3"/>
    <x v="4"/>
    <x v="1"/>
  </r>
  <r>
    <x v="633"/>
    <x v="17"/>
    <x v="2"/>
    <n v="67.900000000000006"/>
    <x v="577"/>
    <x v="27"/>
    <d v="2025-01-29T00:00:00"/>
    <x v="2"/>
    <x v="1"/>
    <x v="1"/>
    <x v="0"/>
    <x v="3"/>
    <x v="3"/>
    <x v="4"/>
    <x v="2"/>
  </r>
  <r>
    <x v="634"/>
    <x v="0"/>
    <x v="9"/>
    <n v="27"/>
    <x v="340"/>
    <x v="27"/>
    <d v="2025-02-04T00:00:00"/>
    <x v="2"/>
    <x v="0"/>
    <x v="2"/>
    <x v="0"/>
    <x v="3"/>
    <x v="6"/>
    <x v="4"/>
    <x v="2"/>
  </r>
  <r>
    <x v="635"/>
    <x v="13"/>
    <x v="0"/>
    <n v="50.6"/>
    <x v="578"/>
    <x v="27"/>
    <d v="2025-01-28T00:00:00"/>
    <x v="1"/>
    <x v="0"/>
    <x v="1"/>
    <x v="0"/>
    <x v="3"/>
    <x v="7"/>
    <x v="4"/>
    <x v="1"/>
  </r>
  <r>
    <x v="636"/>
    <x v="4"/>
    <x v="9"/>
    <n v="22.1"/>
    <x v="579"/>
    <x v="27"/>
    <d v="2025-02-02T00:00:00"/>
    <x v="1"/>
    <x v="0"/>
    <x v="0"/>
    <x v="0"/>
    <x v="3"/>
    <x v="0"/>
    <x v="4"/>
    <x v="1"/>
  </r>
  <r>
    <x v="637"/>
    <x v="8"/>
    <x v="2"/>
    <n v="42.9"/>
    <x v="580"/>
    <x v="27"/>
    <d v="2025-01-30T00:00:00"/>
    <x v="2"/>
    <x v="0"/>
    <x v="0"/>
    <x v="0"/>
    <x v="3"/>
    <x v="1"/>
    <x v="4"/>
    <x v="2"/>
  </r>
  <r>
    <x v="638"/>
    <x v="1"/>
    <x v="5"/>
    <n v="62.4"/>
    <x v="581"/>
    <x v="27"/>
    <d v="2025-01-30T00:00:00"/>
    <x v="2"/>
    <x v="2"/>
    <x v="0"/>
    <x v="0"/>
    <x v="3"/>
    <x v="1"/>
    <x v="4"/>
    <x v="2"/>
  </r>
  <r>
    <x v="639"/>
    <x v="13"/>
    <x v="11"/>
    <n v="36.4"/>
    <x v="582"/>
    <x v="27"/>
    <d v="2025-01-30T00:00:00"/>
    <x v="2"/>
    <x v="0"/>
    <x v="2"/>
    <x v="0"/>
    <x v="3"/>
    <x v="1"/>
    <x v="4"/>
    <x v="2"/>
  </r>
  <r>
    <x v="640"/>
    <x v="0"/>
    <x v="1"/>
    <n v="22.5"/>
    <x v="583"/>
    <x v="27"/>
    <d v="2025-01-31T00:00:00"/>
    <x v="1"/>
    <x v="0"/>
    <x v="0"/>
    <x v="0"/>
    <x v="3"/>
    <x v="2"/>
    <x v="4"/>
    <x v="1"/>
  </r>
  <r>
    <x v="641"/>
    <x v="6"/>
    <x v="12"/>
    <n v="70.8"/>
    <x v="584"/>
    <x v="27"/>
    <d v="2025-01-30T00:00:00"/>
    <x v="2"/>
    <x v="4"/>
    <x v="0"/>
    <x v="0"/>
    <x v="3"/>
    <x v="1"/>
    <x v="4"/>
    <x v="2"/>
  </r>
  <r>
    <x v="642"/>
    <x v="6"/>
    <x v="9"/>
    <n v="56.6"/>
    <x v="585"/>
    <x v="27"/>
    <d v="2025-01-30T00:00:00"/>
    <x v="1"/>
    <x v="0"/>
    <x v="1"/>
    <x v="0"/>
    <x v="4"/>
    <x v="1"/>
    <x v="4"/>
    <x v="1"/>
  </r>
  <r>
    <x v="643"/>
    <x v="6"/>
    <x v="1"/>
    <n v="47.9"/>
    <x v="586"/>
    <x v="27"/>
    <d v="2025-01-29T00:00:00"/>
    <x v="2"/>
    <x v="0"/>
    <x v="0"/>
    <x v="0"/>
    <x v="6"/>
    <x v="3"/>
    <x v="4"/>
    <x v="2"/>
  </r>
  <r>
    <x v="644"/>
    <x v="6"/>
    <x v="8"/>
    <n v="78.400000000000006"/>
    <x v="587"/>
    <x v="27"/>
    <d v="2025-01-30T00:00:00"/>
    <x v="2"/>
    <x v="1"/>
    <x v="0"/>
    <x v="0"/>
    <x v="6"/>
    <x v="1"/>
    <x v="4"/>
    <x v="2"/>
  </r>
  <r>
    <x v="645"/>
    <x v="2"/>
    <x v="21"/>
    <n v="122.1"/>
    <x v="588"/>
    <x v="27"/>
    <d v="2025-02-02T00:00:00"/>
    <x v="2"/>
    <x v="0"/>
    <x v="2"/>
    <x v="0"/>
    <x v="6"/>
    <x v="0"/>
    <x v="4"/>
    <x v="2"/>
  </r>
  <r>
    <x v="646"/>
    <x v="2"/>
    <x v="1"/>
    <n v="83.7"/>
    <x v="589"/>
    <x v="28"/>
    <d v="2025-01-29T00:00:00"/>
    <x v="0"/>
    <x v="1"/>
    <x v="2"/>
    <x v="0"/>
    <x v="7"/>
    <x v="7"/>
    <x v="4"/>
    <x v="0"/>
  </r>
  <r>
    <x v="647"/>
    <x v="3"/>
    <x v="12"/>
    <n v="97.9"/>
    <x v="590"/>
    <x v="28"/>
    <d v="2025-02-02T00:00:00"/>
    <x v="2"/>
    <x v="3"/>
    <x v="2"/>
    <x v="0"/>
    <x v="7"/>
    <x v="5"/>
    <x v="4"/>
    <x v="2"/>
  </r>
  <r>
    <x v="648"/>
    <x v="14"/>
    <x v="0"/>
    <n v="15"/>
    <x v="591"/>
    <x v="28"/>
    <d v="2025-02-03T00:00:00"/>
    <x v="2"/>
    <x v="3"/>
    <x v="0"/>
    <x v="0"/>
    <x v="8"/>
    <x v="0"/>
    <x v="4"/>
    <x v="2"/>
  </r>
  <r>
    <x v="649"/>
    <x v="12"/>
    <x v="2"/>
    <n v="94.6"/>
    <x v="592"/>
    <x v="28"/>
    <d v="2025-01-30T00:00:00"/>
    <x v="1"/>
    <x v="2"/>
    <x v="1"/>
    <x v="0"/>
    <x v="8"/>
    <x v="3"/>
    <x v="4"/>
    <x v="1"/>
  </r>
  <r>
    <x v="650"/>
    <x v="0"/>
    <x v="13"/>
    <n v="19.7"/>
    <x v="593"/>
    <x v="28"/>
    <d v="2025-02-09T00:00:00"/>
    <x v="2"/>
    <x v="0"/>
    <x v="2"/>
    <x v="0"/>
    <x v="8"/>
    <x v="11"/>
    <x v="4"/>
    <x v="2"/>
  </r>
  <r>
    <x v="651"/>
    <x v="7"/>
    <x v="0"/>
    <n v="46.7"/>
    <x v="594"/>
    <x v="28"/>
    <d v="2025-02-01T00:00:00"/>
    <x v="2"/>
    <x v="2"/>
    <x v="0"/>
    <x v="0"/>
    <x v="17"/>
    <x v="2"/>
    <x v="4"/>
    <x v="2"/>
  </r>
  <r>
    <x v="652"/>
    <x v="1"/>
    <x v="12"/>
    <n v="43"/>
    <x v="595"/>
    <x v="28"/>
    <d v="2025-01-30T00:00:00"/>
    <x v="1"/>
    <x v="2"/>
    <x v="2"/>
    <x v="0"/>
    <x v="17"/>
    <x v="3"/>
    <x v="4"/>
    <x v="1"/>
  </r>
  <r>
    <x v="653"/>
    <x v="6"/>
    <x v="2"/>
    <n v="68.2"/>
    <x v="214"/>
    <x v="28"/>
    <d v="2025-02-04T00:00:00"/>
    <x v="2"/>
    <x v="0"/>
    <x v="0"/>
    <x v="0"/>
    <x v="9"/>
    <x v="4"/>
    <x v="4"/>
    <x v="2"/>
  </r>
  <r>
    <x v="654"/>
    <x v="10"/>
    <x v="7"/>
    <n v="24.3"/>
    <x v="596"/>
    <x v="28"/>
    <d v="2025-01-30T00:00:00"/>
    <x v="1"/>
    <x v="0"/>
    <x v="2"/>
    <x v="0"/>
    <x v="10"/>
    <x v="3"/>
    <x v="4"/>
    <x v="1"/>
  </r>
  <r>
    <x v="655"/>
    <x v="7"/>
    <x v="1"/>
    <n v="86.8"/>
    <x v="597"/>
    <x v="28"/>
    <d v="2025-02-02T00:00:00"/>
    <x v="2"/>
    <x v="4"/>
    <x v="2"/>
    <x v="0"/>
    <x v="11"/>
    <x v="5"/>
    <x v="4"/>
    <x v="2"/>
  </r>
  <r>
    <x v="656"/>
    <x v="0"/>
    <x v="1"/>
    <n v="15.8"/>
    <x v="35"/>
    <x v="28"/>
    <d v="2025-01-31T00:00:00"/>
    <x v="1"/>
    <x v="1"/>
    <x v="0"/>
    <x v="0"/>
    <x v="11"/>
    <x v="1"/>
    <x v="4"/>
    <x v="1"/>
  </r>
  <r>
    <x v="657"/>
    <x v="2"/>
    <x v="12"/>
    <n v="61.6"/>
    <x v="598"/>
    <x v="28"/>
    <d v="2025-01-30T00:00:00"/>
    <x v="1"/>
    <x v="2"/>
    <x v="0"/>
    <x v="0"/>
    <x v="11"/>
    <x v="3"/>
    <x v="4"/>
    <x v="1"/>
  </r>
  <r>
    <x v="658"/>
    <x v="6"/>
    <x v="2"/>
    <n v="48.7"/>
    <x v="599"/>
    <x v="28"/>
    <d v="2025-02-04T00:00:00"/>
    <x v="2"/>
    <x v="1"/>
    <x v="2"/>
    <x v="0"/>
    <x v="45"/>
    <x v="4"/>
    <x v="4"/>
    <x v="2"/>
  </r>
  <r>
    <x v="659"/>
    <x v="8"/>
    <x v="12"/>
    <n v="24.3"/>
    <x v="451"/>
    <x v="28"/>
    <d v="2025-01-31T00:00:00"/>
    <x v="2"/>
    <x v="1"/>
    <x v="2"/>
    <x v="0"/>
    <x v="21"/>
    <x v="1"/>
    <x v="4"/>
    <x v="2"/>
  </r>
  <r>
    <x v="660"/>
    <x v="2"/>
    <x v="1"/>
    <n v="130.69999999999999"/>
    <x v="600"/>
    <x v="28"/>
    <d v="2025-01-30T00:00:00"/>
    <x v="2"/>
    <x v="2"/>
    <x v="0"/>
    <x v="0"/>
    <x v="44"/>
    <x v="3"/>
    <x v="4"/>
    <x v="2"/>
  </r>
  <r>
    <x v="661"/>
    <x v="10"/>
    <x v="0"/>
    <n v="26"/>
    <x v="601"/>
    <x v="28"/>
    <d v="2025-01-31T00:00:00"/>
    <x v="1"/>
    <x v="0"/>
    <x v="0"/>
    <x v="0"/>
    <x v="3"/>
    <x v="1"/>
    <x v="4"/>
    <x v="1"/>
  </r>
  <r>
    <x v="662"/>
    <x v="2"/>
    <x v="9"/>
    <n v="94.4"/>
    <x v="602"/>
    <x v="28"/>
    <d v="2025-01-30T00:00:00"/>
    <x v="2"/>
    <x v="0"/>
    <x v="0"/>
    <x v="0"/>
    <x v="3"/>
    <x v="3"/>
    <x v="4"/>
    <x v="2"/>
  </r>
  <r>
    <x v="663"/>
    <x v="0"/>
    <x v="13"/>
    <n v="23.7"/>
    <x v="60"/>
    <x v="28"/>
    <d v="2025-01-31T00:00:00"/>
    <x v="1"/>
    <x v="2"/>
    <x v="2"/>
    <x v="0"/>
    <x v="3"/>
    <x v="1"/>
    <x v="4"/>
    <x v="1"/>
  </r>
  <r>
    <x v="664"/>
    <x v="9"/>
    <x v="4"/>
    <n v="37.4"/>
    <x v="603"/>
    <x v="28"/>
    <d v="2025-01-31T00:00:00"/>
    <x v="1"/>
    <x v="2"/>
    <x v="0"/>
    <x v="0"/>
    <x v="3"/>
    <x v="1"/>
    <x v="4"/>
    <x v="1"/>
  </r>
  <r>
    <x v="665"/>
    <x v="1"/>
    <x v="34"/>
    <n v="55.2"/>
    <x v="604"/>
    <x v="28"/>
    <d v="2025-01-29T00:00:00"/>
    <x v="2"/>
    <x v="3"/>
    <x v="1"/>
    <x v="0"/>
    <x v="3"/>
    <x v="7"/>
    <x v="4"/>
    <x v="2"/>
  </r>
  <r>
    <x v="666"/>
    <x v="2"/>
    <x v="11"/>
    <n v="57.1"/>
    <x v="605"/>
    <x v="28"/>
    <d v="2025-01-31T00:00:00"/>
    <x v="1"/>
    <x v="0"/>
    <x v="2"/>
    <x v="0"/>
    <x v="3"/>
    <x v="1"/>
    <x v="4"/>
    <x v="1"/>
  </r>
  <r>
    <x v="667"/>
    <x v="12"/>
    <x v="0"/>
    <n v="55.3"/>
    <x v="6"/>
    <x v="28"/>
    <d v="2025-01-30T00:00:00"/>
    <x v="2"/>
    <x v="2"/>
    <x v="2"/>
    <x v="0"/>
    <x v="3"/>
    <x v="3"/>
    <x v="4"/>
    <x v="2"/>
  </r>
  <r>
    <x v="668"/>
    <x v="15"/>
    <x v="3"/>
    <n v="23.9"/>
    <x v="606"/>
    <x v="28"/>
    <d v="2025-01-30T00:00:00"/>
    <x v="2"/>
    <x v="4"/>
    <x v="1"/>
    <x v="0"/>
    <x v="3"/>
    <x v="3"/>
    <x v="4"/>
    <x v="2"/>
  </r>
  <r>
    <x v="669"/>
    <x v="0"/>
    <x v="0"/>
    <n v="34.1"/>
    <x v="607"/>
    <x v="28"/>
    <d v="2025-02-05T00:00:00"/>
    <x v="2"/>
    <x v="2"/>
    <x v="0"/>
    <x v="0"/>
    <x v="3"/>
    <x v="6"/>
    <x v="4"/>
    <x v="2"/>
  </r>
  <r>
    <x v="670"/>
    <x v="12"/>
    <x v="12"/>
    <n v="38.5"/>
    <x v="608"/>
    <x v="28"/>
    <d v="2025-02-09T00:00:00"/>
    <x v="2"/>
    <x v="0"/>
    <x v="0"/>
    <x v="0"/>
    <x v="3"/>
    <x v="11"/>
    <x v="4"/>
    <x v="2"/>
  </r>
  <r>
    <x v="671"/>
    <x v="7"/>
    <x v="1"/>
    <n v="105"/>
    <x v="609"/>
    <x v="28"/>
    <d v="2025-02-04T00:00:00"/>
    <x v="2"/>
    <x v="0"/>
    <x v="2"/>
    <x v="0"/>
    <x v="3"/>
    <x v="4"/>
    <x v="4"/>
    <x v="2"/>
  </r>
  <r>
    <x v="672"/>
    <x v="8"/>
    <x v="9"/>
    <n v="45.2"/>
    <x v="326"/>
    <x v="28"/>
    <d v="2025-01-31T00:00:00"/>
    <x v="2"/>
    <x v="0"/>
    <x v="2"/>
    <x v="0"/>
    <x v="3"/>
    <x v="1"/>
    <x v="4"/>
    <x v="2"/>
  </r>
  <r>
    <x v="673"/>
    <x v="17"/>
    <x v="2"/>
    <n v="24.8"/>
    <x v="610"/>
    <x v="28"/>
    <d v="2025-01-29T00:00:00"/>
    <x v="0"/>
    <x v="0"/>
    <x v="1"/>
    <x v="0"/>
    <x v="3"/>
    <x v="7"/>
    <x v="4"/>
    <x v="0"/>
  </r>
  <r>
    <x v="674"/>
    <x v="11"/>
    <x v="12"/>
    <n v="43.8"/>
    <x v="122"/>
    <x v="28"/>
    <d v="2025-02-05T00:00:00"/>
    <x v="2"/>
    <x v="1"/>
    <x v="2"/>
    <x v="0"/>
    <x v="6"/>
    <x v="6"/>
    <x v="4"/>
    <x v="2"/>
  </r>
  <r>
    <x v="675"/>
    <x v="1"/>
    <x v="0"/>
    <n v="75"/>
    <x v="611"/>
    <x v="28"/>
    <d v="2025-01-31T00:00:00"/>
    <x v="2"/>
    <x v="4"/>
    <x v="1"/>
    <x v="0"/>
    <x v="6"/>
    <x v="1"/>
    <x v="4"/>
    <x v="2"/>
  </r>
  <r>
    <x v="676"/>
    <x v="2"/>
    <x v="0"/>
    <n v="169.9"/>
    <x v="612"/>
    <x v="28"/>
    <d v="2025-01-30T00:00:00"/>
    <x v="1"/>
    <x v="2"/>
    <x v="0"/>
    <x v="0"/>
    <x v="6"/>
    <x v="3"/>
    <x v="4"/>
    <x v="1"/>
  </r>
  <r>
    <x v="677"/>
    <x v="9"/>
    <x v="1"/>
    <n v="72.2"/>
    <x v="613"/>
    <x v="28"/>
    <d v="2025-01-31T00:00:00"/>
    <x v="2"/>
    <x v="4"/>
    <x v="1"/>
    <x v="0"/>
    <x v="6"/>
    <x v="1"/>
    <x v="4"/>
    <x v="2"/>
  </r>
  <r>
    <x v="678"/>
    <x v="0"/>
    <x v="0"/>
    <n v="20"/>
    <x v="614"/>
    <x v="29"/>
    <d v="2025-02-02T00:00:00"/>
    <x v="2"/>
    <x v="2"/>
    <x v="1"/>
    <x v="0"/>
    <x v="7"/>
    <x v="2"/>
    <x v="4"/>
    <x v="2"/>
  </r>
  <r>
    <x v="679"/>
    <x v="9"/>
    <x v="1"/>
    <n v="40.799999999999997"/>
    <x v="330"/>
    <x v="29"/>
    <d v="2025-02-01T00:00:00"/>
    <x v="2"/>
    <x v="3"/>
    <x v="2"/>
    <x v="0"/>
    <x v="8"/>
    <x v="1"/>
    <x v="4"/>
    <x v="2"/>
  </r>
  <r>
    <x v="680"/>
    <x v="10"/>
    <x v="12"/>
    <n v="58"/>
    <x v="615"/>
    <x v="29"/>
    <d v="2025-02-03T00:00:00"/>
    <x v="2"/>
    <x v="0"/>
    <x v="0"/>
    <x v="0"/>
    <x v="8"/>
    <x v="5"/>
    <x v="4"/>
    <x v="2"/>
  </r>
  <r>
    <x v="681"/>
    <x v="12"/>
    <x v="1"/>
    <n v="43.1"/>
    <x v="616"/>
    <x v="29"/>
    <d v="2025-01-31T00:00:00"/>
    <x v="2"/>
    <x v="1"/>
    <x v="2"/>
    <x v="0"/>
    <x v="8"/>
    <x v="3"/>
    <x v="4"/>
    <x v="2"/>
  </r>
  <r>
    <x v="682"/>
    <x v="6"/>
    <x v="11"/>
    <n v="74.7"/>
    <x v="617"/>
    <x v="29"/>
    <d v="2025-02-01T00:00:00"/>
    <x v="1"/>
    <x v="0"/>
    <x v="2"/>
    <x v="0"/>
    <x v="8"/>
    <x v="1"/>
    <x v="4"/>
    <x v="1"/>
  </r>
  <r>
    <x v="683"/>
    <x v="6"/>
    <x v="0"/>
    <n v="128.19999999999999"/>
    <x v="618"/>
    <x v="29"/>
    <d v="2025-01-30T00:00:00"/>
    <x v="1"/>
    <x v="1"/>
    <x v="0"/>
    <x v="0"/>
    <x v="8"/>
    <x v="7"/>
    <x v="4"/>
    <x v="1"/>
  </r>
  <r>
    <x v="684"/>
    <x v="14"/>
    <x v="12"/>
    <n v="26.7"/>
    <x v="619"/>
    <x v="29"/>
    <d v="2025-01-31T00:00:00"/>
    <x v="1"/>
    <x v="1"/>
    <x v="0"/>
    <x v="0"/>
    <x v="8"/>
    <x v="3"/>
    <x v="4"/>
    <x v="1"/>
  </r>
  <r>
    <x v="685"/>
    <x v="17"/>
    <x v="13"/>
    <n v="31.5"/>
    <x v="620"/>
    <x v="29"/>
    <d v="2025-01-31T00:00:00"/>
    <x v="2"/>
    <x v="2"/>
    <x v="0"/>
    <x v="0"/>
    <x v="17"/>
    <x v="3"/>
    <x v="4"/>
    <x v="2"/>
  </r>
  <r>
    <x v="686"/>
    <x v="3"/>
    <x v="3"/>
    <n v="64.7"/>
    <x v="621"/>
    <x v="29"/>
    <d v="2025-01-31T00:00:00"/>
    <x v="2"/>
    <x v="0"/>
    <x v="2"/>
    <x v="0"/>
    <x v="9"/>
    <x v="3"/>
    <x v="4"/>
    <x v="2"/>
  </r>
  <r>
    <x v="687"/>
    <x v="5"/>
    <x v="1"/>
    <n v="55.6"/>
    <x v="622"/>
    <x v="29"/>
    <d v="2025-02-02T00:00:00"/>
    <x v="2"/>
    <x v="3"/>
    <x v="0"/>
    <x v="0"/>
    <x v="11"/>
    <x v="2"/>
    <x v="4"/>
    <x v="2"/>
  </r>
  <r>
    <x v="688"/>
    <x v="3"/>
    <x v="1"/>
    <n v="36.200000000000003"/>
    <x v="623"/>
    <x v="29"/>
    <d v="2025-01-31T00:00:00"/>
    <x v="2"/>
    <x v="3"/>
    <x v="0"/>
    <x v="0"/>
    <x v="11"/>
    <x v="3"/>
    <x v="4"/>
    <x v="2"/>
  </r>
  <r>
    <x v="689"/>
    <x v="0"/>
    <x v="0"/>
    <n v="26.6"/>
    <x v="534"/>
    <x v="29"/>
    <d v="2025-01-31T00:00:00"/>
    <x v="0"/>
    <x v="1"/>
    <x v="1"/>
    <x v="0"/>
    <x v="19"/>
    <x v="3"/>
    <x v="4"/>
    <x v="0"/>
  </r>
  <r>
    <x v="690"/>
    <x v="10"/>
    <x v="12"/>
    <n v="31.5"/>
    <x v="624"/>
    <x v="29"/>
    <d v="2025-02-01T00:00:00"/>
    <x v="1"/>
    <x v="0"/>
    <x v="0"/>
    <x v="0"/>
    <x v="31"/>
    <x v="1"/>
    <x v="4"/>
    <x v="1"/>
  </r>
  <r>
    <x v="691"/>
    <x v="10"/>
    <x v="0"/>
    <n v="27"/>
    <x v="49"/>
    <x v="29"/>
    <d v="2025-02-01T00:00:00"/>
    <x v="2"/>
    <x v="1"/>
    <x v="2"/>
    <x v="0"/>
    <x v="13"/>
    <x v="1"/>
    <x v="4"/>
    <x v="2"/>
  </r>
  <r>
    <x v="692"/>
    <x v="4"/>
    <x v="0"/>
    <n v="32"/>
    <x v="109"/>
    <x v="29"/>
    <d v="2025-02-02T00:00:00"/>
    <x v="1"/>
    <x v="3"/>
    <x v="0"/>
    <x v="0"/>
    <x v="21"/>
    <x v="2"/>
    <x v="4"/>
    <x v="1"/>
  </r>
  <r>
    <x v="693"/>
    <x v="1"/>
    <x v="2"/>
    <n v="48.1"/>
    <x v="625"/>
    <x v="29"/>
    <d v="2025-02-01T00:00:00"/>
    <x v="1"/>
    <x v="2"/>
    <x v="1"/>
    <x v="0"/>
    <x v="1"/>
    <x v="1"/>
    <x v="4"/>
    <x v="1"/>
  </r>
  <r>
    <x v="694"/>
    <x v="9"/>
    <x v="1"/>
    <n v="43.4"/>
    <x v="626"/>
    <x v="29"/>
    <d v="2025-01-31T00:00:00"/>
    <x v="1"/>
    <x v="1"/>
    <x v="1"/>
    <x v="0"/>
    <x v="22"/>
    <x v="3"/>
    <x v="4"/>
    <x v="1"/>
  </r>
  <r>
    <x v="695"/>
    <x v="6"/>
    <x v="1"/>
    <n v="42.6"/>
    <x v="464"/>
    <x v="29"/>
    <d v="2025-02-02T00:00:00"/>
    <x v="2"/>
    <x v="3"/>
    <x v="0"/>
    <x v="0"/>
    <x v="22"/>
    <x v="2"/>
    <x v="4"/>
    <x v="2"/>
  </r>
  <r>
    <x v="696"/>
    <x v="8"/>
    <x v="1"/>
    <n v="15.9"/>
    <x v="627"/>
    <x v="29"/>
    <d v="2025-01-31T00:00:00"/>
    <x v="2"/>
    <x v="0"/>
    <x v="0"/>
    <x v="0"/>
    <x v="34"/>
    <x v="3"/>
    <x v="4"/>
    <x v="2"/>
  </r>
  <r>
    <x v="697"/>
    <x v="9"/>
    <x v="1"/>
    <n v="63.2"/>
    <x v="628"/>
    <x v="29"/>
    <d v="2025-01-31T00:00:00"/>
    <x v="1"/>
    <x v="1"/>
    <x v="0"/>
    <x v="0"/>
    <x v="3"/>
    <x v="3"/>
    <x v="4"/>
    <x v="1"/>
  </r>
  <r>
    <x v="698"/>
    <x v="7"/>
    <x v="12"/>
    <n v="64.8"/>
    <x v="629"/>
    <x v="29"/>
    <d v="2025-02-01T00:00:00"/>
    <x v="0"/>
    <x v="4"/>
    <x v="1"/>
    <x v="0"/>
    <x v="3"/>
    <x v="1"/>
    <x v="4"/>
    <x v="0"/>
  </r>
  <r>
    <x v="699"/>
    <x v="7"/>
    <x v="2"/>
    <n v="79.8"/>
    <x v="342"/>
    <x v="29"/>
    <d v="2025-01-31T00:00:00"/>
    <x v="1"/>
    <x v="0"/>
    <x v="0"/>
    <x v="0"/>
    <x v="3"/>
    <x v="3"/>
    <x v="4"/>
    <x v="1"/>
  </r>
  <r>
    <x v="700"/>
    <x v="9"/>
    <x v="0"/>
    <n v="54.4"/>
    <x v="630"/>
    <x v="29"/>
    <d v="2025-02-01T00:00:00"/>
    <x v="2"/>
    <x v="4"/>
    <x v="2"/>
    <x v="0"/>
    <x v="3"/>
    <x v="1"/>
    <x v="4"/>
    <x v="2"/>
  </r>
  <r>
    <x v="701"/>
    <x v="6"/>
    <x v="0"/>
    <n v="87.3"/>
    <x v="631"/>
    <x v="29"/>
    <d v="2025-01-31T00:00:00"/>
    <x v="1"/>
    <x v="1"/>
    <x v="0"/>
    <x v="0"/>
    <x v="3"/>
    <x v="3"/>
    <x v="4"/>
    <x v="1"/>
  </r>
  <r>
    <x v="702"/>
    <x v="8"/>
    <x v="12"/>
    <n v="32.4"/>
    <x v="632"/>
    <x v="29"/>
    <d v="2025-01-30T00:00:00"/>
    <x v="1"/>
    <x v="1"/>
    <x v="0"/>
    <x v="0"/>
    <x v="3"/>
    <x v="7"/>
    <x v="4"/>
    <x v="1"/>
  </r>
  <r>
    <x v="703"/>
    <x v="2"/>
    <x v="0"/>
    <n v="177.4"/>
    <x v="633"/>
    <x v="29"/>
    <d v="2025-02-03T00:00:00"/>
    <x v="1"/>
    <x v="0"/>
    <x v="2"/>
    <x v="0"/>
    <x v="3"/>
    <x v="5"/>
    <x v="4"/>
    <x v="1"/>
  </r>
  <r>
    <x v="704"/>
    <x v="7"/>
    <x v="1"/>
    <n v="70.099999999999994"/>
    <x v="634"/>
    <x v="29"/>
    <d v="2025-01-31T00:00:00"/>
    <x v="1"/>
    <x v="3"/>
    <x v="1"/>
    <x v="0"/>
    <x v="3"/>
    <x v="3"/>
    <x v="4"/>
    <x v="1"/>
  </r>
  <r>
    <x v="705"/>
    <x v="9"/>
    <x v="13"/>
    <n v="51.1"/>
    <x v="567"/>
    <x v="29"/>
    <d v="2025-01-31T00:00:00"/>
    <x v="2"/>
    <x v="0"/>
    <x v="0"/>
    <x v="0"/>
    <x v="3"/>
    <x v="3"/>
    <x v="4"/>
    <x v="2"/>
  </r>
  <r>
    <x v="706"/>
    <x v="2"/>
    <x v="9"/>
    <n v="79.900000000000006"/>
    <x v="635"/>
    <x v="29"/>
    <d v="2025-02-01T00:00:00"/>
    <x v="1"/>
    <x v="3"/>
    <x v="2"/>
    <x v="0"/>
    <x v="24"/>
    <x v="1"/>
    <x v="4"/>
    <x v="1"/>
  </r>
  <r>
    <x v="707"/>
    <x v="6"/>
    <x v="0"/>
    <n v="57.6"/>
    <x v="636"/>
    <x v="30"/>
    <d v="2025-02-05T00:00:00"/>
    <x v="1"/>
    <x v="0"/>
    <x v="2"/>
    <x v="0"/>
    <x v="49"/>
    <x v="0"/>
    <x v="4"/>
    <x v="1"/>
  </r>
  <r>
    <x v="708"/>
    <x v="8"/>
    <x v="7"/>
    <n v="59.7"/>
    <x v="637"/>
    <x v="30"/>
    <d v="2025-02-04T00:00:00"/>
    <x v="1"/>
    <x v="2"/>
    <x v="0"/>
    <x v="0"/>
    <x v="25"/>
    <x v="5"/>
    <x v="4"/>
    <x v="1"/>
  </r>
  <r>
    <x v="709"/>
    <x v="8"/>
    <x v="9"/>
    <n v="30"/>
    <x v="638"/>
    <x v="30"/>
    <d v="2025-02-02T00:00:00"/>
    <x v="1"/>
    <x v="1"/>
    <x v="0"/>
    <x v="0"/>
    <x v="6"/>
    <x v="1"/>
    <x v="4"/>
    <x v="1"/>
  </r>
  <r>
    <x v="710"/>
    <x v="10"/>
    <x v="1"/>
    <n v="69.2"/>
    <x v="639"/>
    <x v="30"/>
    <d v="2025-02-02T00:00:00"/>
    <x v="0"/>
    <x v="2"/>
    <x v="1"/>
    <x v="0"/>
    <x v="6"/>
    <x v="1"/>
    <x v="4"/>
    <x v="0"/>
  </r>
  <r>
    <x v="711"/>
    <x v="0"/>
    <x v="8"/>
    <n v="10.9"/>
    <x v="640"/>
    <x v="30"/>
    <d v="2025-02-01T00:00:00"/>
    <x v="2"/>
    <x v="0"/>
    <x v="2"/>
    <x v="0"/>
    <x v="6"/>
    <x v="3"/>
    <x v="4"/>
    <x v="2"/>
  </r>
  <r>
    <x v="712"/>
    <x v="16"/>
    <x v="1"/>
    <n v="48.6"/>
    <x v="451"/>
    <x v="30"/>
    <d v="2025-02-04T00:00:00"/>
    <x v="1"/>
    <x v="1"/>
    <x v="2"/>
    <x v="0"/>
    <x v="6"/>
    <x v="5"/>
    <x v="4"/>
    <x v="1"/>
  </r>
  <r>
    <x v="713"/>
    <x v="2"/>
    <x v="1"/>
    <n v="61.1"/>
    <x v="641"/>
    <x v="30"/>
    <d v="2025-02-03T00:00:00"/>
    <x v="2"/>
    <x v="1"/>
    <x v="2"/>
    <x v="0"/>
    <x v="7"/>
    <x v="2"/>
    <x v="4"/>
    <x v="2"/>
  </r>
  <r>
    <x v="714"/>
    <x v="8"/>
    <x v="1"/>
    <n v="23.2"/>
    <x v="434"/>
    <x v="30"/>
    <d v="2025-02-01T00:00:00"/>
    <x v="1"/>
    <x v="3"/>
    <x v="2"/>
    <x v="0"/>
    <x v="8"/>
    <x v="3"/>
    <x v="4"/>
    <x v="1"/>
  </r>
  <r>
    <x v="715"/>
    <x v="12"/>
    <x v="12"/>
    <n v="55.8"/>
    <x v="642"/>
    <x v="30"/>
    <d v="2025-02-01T00:00:00"/>
    <x v="1"/>
    <x v="0"/>
    <x v="0"/>
    <x v="0"/>
    <x v="8"/>
    <x v="3"/>
    <x v="4"/>
    <x v="1"/>
  </r>
  <r>
    <x v="716"/>
    <x v="9"/>
    <x v="12"/>
    <n v="24.8"/>
    <x v="643"/>
    <x v="30"/>
    <d v="2025-02-01T00:00:00"/>
    <x v="2"/>
    <x v="0"/>
    <x v="2"/>
    <x v="0"/>
    <x v="8"/>
    <x v="3"/>
    <x v="4"/>
    <x v="2"/>
  </r>
  <r>
    <x v="717"/>
    <x v="10"/>
    <x v="1"/>
    <n v="27.9"/>
    <x v="391"/>
    <x v="30"/>
    <d v="2025-01-31T00:00:00"/>
    <x v="1"/>
    <x v="2"/>
    <x v="2"/>
    <x v="0"/>
    <x v="8"/>
    <x v="7"/>
    <x v="4"/>
    <x v="1"/>
  </r>
  <r>
    <x v="718"/>
    <x v="10"/>
    <x v="13"/>
    <n v="51.1"/>
    <x v="567"/>
    <x v="30"/>
    <d v="2025-01-31T00:00:00"/>
    <x v="2"/>
    <x v="3"/>
    <x v="0"/>
    <x v="0"/>
    <x v="8"/>
    <x v="7"/>
    <x v="4"/>
    <x v="2"/>
  </r>
  <r>
    <x v="719"/>
    <x v="17"/>
    <x v="5"/>
    <n v="32.700000000000003"/>
    <x v="644"/>
    <x v="30"/>
    <d v="2025-02-01T00:00:00"/>
    <x v="1"/>
    <x v="4"/>
    <x v="2"/>
    <x v="0"/>
    <x v="17"/>
    <x v="3"/>
    <x v="4"/>
    <x v="1"/>
  </r>
  <r>
    <x v="720"/>
    <x v="8"/>
    <x v="12"/>
    <n v="22.5"/>
    <x v="645"/>
    <x v="30"/>
    <d v="2025-01-31T00:00:00"/>
    <x v="1"/>
    <x v="0"/>
    <x v="2"/>
    <x v="0"/>
    <x v="26"/>
    <x v="7"/>
    <x v="4"/>
    <x v="1"/>
  </r>
  <r>
    <x v="721"/>
    <x v="0"/>
    <x v="3"/>
    <n v="14.6"/>
    <x v="646"/>
    <x v="30"/>
    <d v="2025-02-01T00:00:00"/>
    <x v="2"/>
    <x v="2"/>
    <x v="0"/>
    <x v="0"/>
    <x v="41"/>
    <x v="3"/>
    <x v="4"/>
    <x v="2"/>
  </r>
  <r>
    <x v="722"/>
    <x v="5"/>
    <x v="2"/>
    <n v="32.5"/>
    <x v="647"/>
    <x v="30"/>
    <d v="2025-02-03T00:00:00"/>
    <x v="1"/>
    <x v="0"/>
    <x v="0"/>
    <x v="0"/>
    <x v="10"/>
    <x v="2"/>
    <x v="4"/>
    <x v="1"/>
  </r>
  <r>
    <x v="723"/>
    <x v="18"/>
    <x v="0"/>
    <n v="78.099999999999994"/>
    <x v="648"/>
    <x v="30"/>
    <d v="2025-02-03T00:00:00"/>
    <x v="1"/>
    <x v="0"/>
    <x v="2"/>
    <x v="0"/>
    <x v="11"/>
    <x v="2"/>
    <x v="4"/>
    <x v="1"/>
  </r>
  <r>
    <x v="724"/>
    <x v="12"/>
    <x v="13"/>
    <n v="110.2"/>
    <x v="649"/>
    <x v="30"/>
    <d v="2025-01-31T00:00:00"/>
    <x v="1"/>
    <x v="1"/>
    <x v="4"/>
    <x v="0"/>
    <x v="13"/>
    <x v="7"/>
    <x v="4"/>
    <x v="1"/>
  </r>
  <r>
    <x v="725"/>
    <x v="6"/>
    <x v="2"/>
    <n v="86.3"/>
    <x v="650"/>
    <x v="30"/>
    <d v="2025-02-02T00:00:00"/>
    <x v="2"/>
    <x v="3"/>
    <x v="0"/>
    <x v="0"/>
    <x v="21"/>
    <x v="1"/>
    <x v="4"/>
    <x v="2"/>
  </r>
  <r>
    <x v="726"/>
    <x v="1"/>
    <x v="13"/>
    <n v="73.599999999999994"/>
    <x v="651"/>
    <x v="30"/>
    <d v="2025-02-02T00:00:00"/>
    <x v="3"/>
    <x v="3"/>
    <x v="4"/>
    <x v="0"/>
    <x v="44"/>
    <x v="1"/>
    <x v="4"/>
    <x v="0"/>
  </r>
  <r>
    <x v="727"/>
    <x v="6"/>
    <x v="15"/>
    <n v="67.7"/>
    <x v="652"/>
    <x v="30"/>
    <d v="2025-02-02T00:00:00"/>
    <x v="2"/>
    <x v="0"/>
    <x v="2"/>
    <x v="0"/>
    <x v="3"/>
    <x v="1"/>
    <x v="4"/>
    <x v="2"/>
  </r>
  <r>
    <x v="728"/>
    <x v="7"/>
    <x v="13"/>
    <n v="142.19999999999999"/>
    <x v="653"/>
    <x v="30"/>
    <d v="2025-02-01T00:00:00"/>
    <x v="2"/>
    <x v="2"/>
    <x v="4"/>
    <x v="0"/>
    <x v="3"/>
    <x v="3"/>
    <x v="4"/>
    <x v="2"/>
  </r>
  <r>
    <x v="729"/>
    <x v="1"/>
    <x v="11"/>
    <n v="45.8"/>
    <x v="654"/>
    <x v="30"/>
    <d v="2025-02-02T00:00:00"/>
    <x v="2"/>
    <x v="1"/>
    <x v="2"/>
    <x v="0"/>
    <x v="3"/>
    <x v="1"/>
    <x v="4"/>
    <x v="2"/>
  </r>
  <r>
    <x v="730"/>
    <x v="10"/>
    <x v="1"/>
    <n v="24.2"/>
    <x v="655"/>
    <x v="31"/>
    <d v="2025-02-04T00:00:00"/>
    <x v="2"/>
    <x v="3"/>
    <x v="2"/>
    <x v="0"/>
    <x v="3"/>
    <x v="2"/>
    <x v="4"/>
    <x v="2"/>
  </r>
  <r>
    <x v="731"/>
    <x v="2"/>
    <x v="2"/>
    <n v="144.9"/>
    <x v="656"/>
    <x v="31"/>
    <d v="2025-02-02T00:00:00"/>
    <x v="3"/>
    <x v="2"/>
    <x v="2"/>
    <x v="0"/>
    <x v="3"/>
    <x v="3"/>
    <x v="4"/>
    <x v="0"/>
  </r>
  <r>
    <x v="732"/>
    <x v="11"/>
    <x v="9"/>
    <n v="32.799999999999997"/>
    <x v="657"/>
    <x v="31"/>
    <d v="2025-02-04T00:00:00"/>
    <x v="2"/>
    <x v="2"/>
    <x v="0"/>
    <x v="0"/>
    <x v="23"/>
    <x v="2"/>
    <x v="4"/>
    <x v="2"/>
  </r>
  <r>
    <x v="733"/>
    <x v="7"/>
    <x v="7"/>
    <n v="35.700000000000003"/>
    <x v="658"/>
    <x v="31"/>
    <d v="2025-02-01T00:00:00"/>
    <x v="2"/>
    <x v="0"/>
    <x v="1"/>
    <x v="0"/>
    <x v="6"/>
    <x v="7"/>
    <x v="4"/>
    <x v="2"/>
  </r>
  <r>
    <x v="734"/>
    <x v="9"/>
    <x v="1"/>
    <n v="54.6"/>
    <x v="659"/>
    <x v="31"/>
    <d v="2025-02-02T00:00:00"/>
    <x v="2"/>
    <x v="2"/>
    <x v="0"/>
    <x v="0"/>
    <x v="6"/>
    <x v="3"/>
    <x v="4"/>
    <x v="2"/>
  </r>
  <r>
    <x v="735"/>
    <x v="8"/>
    <x v="1"/>
    <n v="35.700000000000003"/>
    <x v="660"/>
    <x v="31"/>
    <d v="2025-02-04T00:00:00"/>
    <x v="0"/>
    <x v="0"/>
    <x v="1"/>
    <x v="0"/>
    <x v="6"/>
    <x v="2"/>
    <x v="4"/>
    <x v="0"/>
  </r>
  <r>
    <x v="736"/>
    <x v="10"/>
    <x v="1"/>
    <n v="52.4"/>
    <x v="661"/>
    <x v="31"/>
    <d v="2025-02-01T00:00:00"/>
    <x v="2"/>
    <x v="0"/>
    <x v="3"/>
    <x v="0"/>
    <x v="6"/>
    <x v="7"/>
    <x v="4"/>
    <x v="2"/>
  </r>
  <r>
    <x v="737"/>
    <x v="8"/>
    <x v="21"/>
    <n v="16.2"/>
    <x v="662"/>
    <x v="31"/>
    <d v="2025-02-02T00:00:00"/>
    <x v="0"/>
    <x v="0"/>
    <x v="1"/>
    <x v="0"/>
    <x v="8"/>
    <x v="3"/>
    <x v="4"/>
    <x v="0"/>
  </r>
  <r>
    <x v="738"/>
    <x v="6"/>
    <x v="35"/>
    <n v="42.8"/>
    <x v="663"/>
    <x v="31"/>
    <d v="2025-02-02T00:00:00"/>
    <x v="2"/>
    <x v="0"/>
    <x v="0"/>
    <x v="0"/>
    <x v="8"/>
    <x v="3"/>
    <x v="4"/>
    <x v="2"/>
  </r>
  <r>
    <x v="739"/>
    <x v="6"/>
    <x v="11"/>
    <n v="144.4"/>
    <x v="664"/>
    <x v="31"/>
    <d v="2025-02-04T00:00:00"/>
    <x v="2"/>
    <x v="4"/>
    <x v="0"/>
    <x v="0"/>
    <x v="8"/>
    <x v="2"/>
    <x v="4"/>
    <x v="2"/>
  </r>
  <r>
    <x v="740"/>
    <x v="3"/>
    <x v="34"/>
    <n v="30.6"/>
    <x v="665"/>
    <x v="31"/>
    <d v="2025-02-05T00:00:00"/>
    <x v="2"/>
    <x v="2"/>
    <x v="2"/>
    <x v="0"/>
    <x v="11"/>
    <x v="5"/>
    <x v="4"/>
    <x v="2"/>
  </r>
  <r>
    <x v="741"/>
    <x v="2"/>
    <x v="1"/>
    <n v="117.5"/>
    <x v="666"/>
    <x v="31"/>
    <d v="2025-02-02T00:00:00"/>
    <x v="1"/>
    <x v="0"/>
    <x v="0"/>
    <x v="0"/>
    <x v="19"/>
    <x v="3"/>
    <x v="4"/>
    <x v="1"/>
  </r>
  <r>
    <x v="742"/>
    <x v="6"/>
    <x v="1"/>
    <n v="105.7"/>
    <x v="667"/>
    <x v="31"/>
    <d v="2025-02-02T00:00:00"/>
    <x v="2"/>
    <x v="2"/>
    <x v="2"/>
    <x v="0"/>
    <x v="21"/>
    <x v="3"/>
    <x v="4"/>
    <x v="2"/>
  </r>
  <r>
    <x v="743"/>
    <x v="3"/>
    <x v="2"/>
    <n v="133.69999999999999"/>
    <x v="668"/>
    <x v="31"/>
    <d v="2025-02-02T00:00:00"/>
    <x v="0"/>
    <x v="4"/>
    <x v="2"/>
    <x v="0"/>
    <x v="21"/>
    <x v="3"/>
    <x v="4"/>
    <x v="0"/>
  </r>
  <r>
    <x v="744"/>
    <x v="4"/>
    <x v="9"/>
    <n v="46.8"/>
    <x v="540"/>
    <x v="32"/>
    <d v="2025-02-10T00:00:00"/>
    <x v="2"/>
    <x v="0"/>
    <x v="1"/>
    <x v="0"/>
    <x v="21"/>
    <x v="9"/>
    <x v="5"/>
    <x v="2"/>
  </r>
  <r>
    <x v="745"/>
    <x v="10"/>
    <x v="2"/>
    <n v="58.4"/>
    <x v="122"/>
    <x v="32"/>
    <d v="2025-02-04T00:00:00"/>
    <x v="2"/>
    <x v="0"/>
    <x v="0"/>
    <x v="0"/>
    <x v="1"/>
    <x v="1"/>
    <x v="5"/>
    <x v="2"/>
  </r>
  <r>
    <x v="746"/>
    <x v="6"/>
    <x v="11"/>
    <n v="65.099999999999994"/>
    <x v="669"/>
    <x v="32"/>
    <d v="2025-02-06T00:00:00"/>
    <x v="1"/>
    <x v="1"/>
    <x v="2"/>
    <x v="0"/>
    <x v="22"/>
    <x v="5"/>
    <x v="5"/>
    <x v="1"/>
  </r>
  <r>
    <x v="747"/>
    <x v="8"/>
    <x v="0"/>
    <n v="18.600000000000001"/>
    <x v="670"/>
    <x v="32"/>
    <d v="2025-02-05T00:00:00"/>
    <x v="2"/>
    <x v="0"/>
    <x v="4"/>
    <x v="0"/>
    <x v="22"/>
    <x v="2"/>
    <x v="5"/>
    <x v="2"/>
  </r>
  <r>
    <x v="748"/>
    <x v="1"/>
    <x v="5"/>
    <n v="92.3"/>
    <x v="671"/>
    <x v="32"/>
    <d v="2025-02-04T00:00:00"/>
    <x v="1"/>
    <x v="1"/>
    <x v="0"/>
    <x v="0"/>
    <x v="3"/>
    <x v="1"/>
    <x v="5"/>
    <x v="1"/>
  </r>
  <r>
    <x v="749"/>
    <x v="6"/>
    <x v="2"/>
    <n v="81.7"/>
    <x v="672"/>
    <x v="32"/>
    <d v="2025-02-03T00:00:00"/>
    <x v="0"/>
    <x v="4"/>
    <x v="4"/>
    <x v="0"/>
    <x v="3"/>
    <x v="3"/>
    <x v="5"/>
    <x v="0"/>
  </r>
  <r>
    <x v="750"/>
    <x v="8"/>
    <x v="1"/>
    <n v="40.9"/>
    <x v="673"/>
    <x v="32"/>
    <d v="2025-02-04T00:00:00"/>
    <x v="1"/>
    <x v="0"/>
    <x v="1"/>
    <x v="0"/>
    <x v="3"/>
    <x v="1"/>
    <x v="5"/>
    <x v="1"/>
  </r>
  <r>
    <x v="751"/>
    <x v="6"/>
    <x v="12"/>
    <n v="43.2"/>
    <x v="162"/>
    <x v="32"/>
    <d v="2025-02-08T00:00:00"/>
    <x v="2"/>
    <x v="0"/>
    <x v="1"/>
    <x v="0"/>
    <x v="3"/>
    <x v="4"/>
    <x v="5"/>
    <x v="2"/>
  </r>
  <r>
    <x v="752"/>
    <x v="8"/>
    <x v="5"/>
    <n v="25.8"/>
    <x v="674"/>
    <x v="32"/>
    <d v="2025-02-05T00:00:00"/>
    <x v="1"/>
    <x v="2"/>
    <x v="1"/>
    <x v="0"/>
    <x v="3"/>
    <x v="2"/>
    <x v="5"/>
    <x v="1"/>
  </r>
  <r>
    <x v="753"/>
    <x v="15"/>
    <x v="12"/>
    <n v="36.4"/>
    <x v="675"/>
    <x v="32"/>
    <d v="2025-02-03T00:00:00"/>
    <x v="1"/>
    <x v="0"/>
    <x v="0"/>
    <x v="0"/>
    <x v="3"/>
    <x v="3"/>
    <x v="5"/>
    <x v="1"/>
  </r>
  <r>
    <x v="754"/>
    <x v="10"/>
    <x v="0"/>
    <n v="59.1"/>
    <x v="676"/>
    <x v="32"/>
    <d v="2025-02-03T00:00:00"/>
    <x v="2"/>
    <x v="2"/>
    <x v="0"/>
    <x v="0"/>
    <x v="7"/>
    <x v="3"/>
    <x v="5"/>
    <x v="2"/>
  </r>
  <r>
    <x v="755"/>
    <x v="2"/>
    <x v="14"/>
    <n v="74.5"/>
    <x v="677"/>
    <x v="32"/>
    <d v="2025-02-04T00:00:00"/>
    <x v="1"/>
    <x v="4"/>
    <x v="0"/>
    <x v="0"/>
    <x v="18"/>
    <x v="1"/>
    <x v="5"/>
    <x v="1"/>
  </r>
  <r>
    <x v="756"/>
    <x v="5"/>
    <x v="0"/>
    <n v="72.8"/>
    <x v="236"/>
    <x v="32"/>
    <d v="2025-02-03T00:00:00"/>
    <x v="2"/>
    <x v="0"/>
    <x v="1"/>
    <x v="0"/>
    <x v="19"/>
    <x v="3"/>
    <x v="5"/>
    <x v="2"/>
  </r>
  <r>
    <x v="757"/>
    <x v="6"/>
    <x v="12"/>
    <n v="137.30000000000001"/>
    <x v="678"/>
    <x v="32"/>
    <d v="2025-02-05T00:00:00"/>
    <x v="2"/>
    <x v="0"/>
    <x v="0"/>
    <x v="0"/>
    <x v="13"/>
    <x v="2"/>
    <x v="5"/>
    <x v="2"/>
  </r>
  <r>
    <x v="758"/>
    <x v="1"/>
    <x v="2"/>
    <n v="48.7"/>
    <x v="599"/>
    <x v="32"/>
    <d v="2025-02-07T00:00:00"/>
    <x v="2"/>
    <x v="0"/>
    <x v="1"/>
    <x v="0"/>
    <x v="21"/>
    <x v="0"/>
    <x v="5"/>
    <x v="2"/>
  </r>
  <r>
    <x v="759"/>
    <x v="6"/>
    <x v="12"/>
    <n v="53.7"/>
    <x v="679"/>
    <x v="32"/>
    <d v="2025-02-06T00:00:00"/>
    <x v="1"/>
    <x v="1"/>
    <x v="4"/>
    <x v="0"/>
    <x v="2"/>
    <x v="5"/>
    <x v="5"/>
    <x v="1"/>
  </r>
  <r>
    <x v="760"/>
    <x v="2"/>
    <x v="3"/>
    <n v="100.9"/>
    <x v="680"/>
    <x v="32"/>
    <d v="2025-02-04T00:00:00"/>
    <x v="2"/>
    <x v="0"/>
    <x v="1"/>
    <x v="0"/>
    <x v="2"/>
    <x v="1"/>
    <x v="5"/>
    <x v="2"/>
  </r>
  <r>
    <x v="761"/>
    <x v="10"/>
    <x v="1"/>
    <n v="41.8"/>
    <x v="681"/>
    <x v="32"/>
    <d v="2025-02-06T00:00:00"/>
    <x v="1"/>
    <x v="3"/>
    <x v="2"/>
    <x v="0"/>
    <x v="22"/>
    <x v="5"/>
    <x v="5"/>
    <x v="1"/>
  </r>
  <r>
    <x v="762"/>
    <x v="4"/>
    <x v="8"/>
    <n v="28.5"/>
    <x v="416"/>
    <x v="32"/>
    <d v="2025-02-04T00:00:00"/>
    <x v="1"/>
    <x v="2"/>
    <x v="1"/>
    <x v="0"/>
    <x v="3"/>
    <x v="1"/>
    <x v="5"/>
    <x v="1"/>
  </r>
  <r>
    <x v="763"/>
    <x v="7"/>
    <x v="12"/>
    <n v="88.9"/>
    <x v="682"/>
    <x v="32"/>
    <d v="2025-02-05T00:00:00"/>
    <x v="2"/>
    <x v="0"/>
    <x v="2"/>
    <x v="0"/>
    <x v="3"/>
    <x v="2"/>
    <x v="5"/>
    <x v="2"/>
  </r>
  <r>
    <x v="764"/>
    <x v="6"/>
    <x v="0"/>
    <n v="62.5"/>
    <x v="683"/>
    <x v="32"/>
    <d v="2025-02-11T00:00:00"/>
    <x v="2"/>
    <x v="0"/>
    <x v="2"/>
    <x v="0"/>
    <x v="3"/>
    <x v="8"/>
    <x v="5"/>
    <x v="2"/>
  </r>
  <r>
    <x v="765"/>
    <x v="1"/>
    <x v="2"/>
    <n v="46.9"/>
    <x v="684"/>
    <x v="32"/>
    <d v="2025-02-03T00:00:00"/>
    <x v="1"/>
    <x v="0"/>
    <x v="2"/>
    <x v="0"/>
    <x v="3"/>
    <x v="3"/>
    <x v="5"/>
    <x v="1"/>
  </r>
  <r>
    <x v="766"/>
    <x v="8"/>
    <x v="2"/>
    <n v="45"/>
    <x v="340"/>
    <x v="32"/>
    <d v="2025-02-16T00:00:00"/>
    <x v="1"/>
    <x v="1"/>
    <x v="0"/>
    <x v="0"/>
    <x v="3"/>
    <x v="12"/>
    <x v="5"/>
    <x v="1"/>
  </r>
  <r>
    <x v="767"/>
    <x v="6"/>
    <x v="2"/>
    <n v="45.2"/>
    <x v="685"/>
    <x v="32"/>
    <d v="2025-02-04T00:00:00"/>
    <x v="1"/>
    <x v="4"/>
    <x v="2"/>
    <x v="0"/>
    <x v="3"/>
    <x v="1"/>
    <x v="5"/>
    <x v="1"/>
  </r>
  <r>
    <x v="768"/>
    <x v="4"/>
    <x v="1"/>
    <n v="60.1"/>
    <x v="493"/>
    <x v="32"/>
    <d v="2025-02-03T00:00:00"/>
    <x v="2"/>
    <x v="0"/>
    <x v="2"/>
    <x v="0"/>
    <x v="3"/>
    <x v="3"/>
    <x v="5"/>
    <x v="2"/>
  </r>
  <r>
    <x v="769"/>
    <x v="12"/>
    <x v="12"/>
    <n v="118.7"/>
    <x v="686"/>
    <x v="32"/>
    <d v="2025-02-04T00:00:00"/>
    <x v="2"/>
    <x v="0"/>
    <x v="0"/>
    <x v="0"/>
    <x v="3"/>
    <x v="1"/>
    <x v="5"/>
    <x v="2"/>
  </r>
  <r>
    <x v="770"/>
    <x v="9"/>
    <x v="0"/>
    <n v="57.8"/>
    <x v="687"/>
    <x v="32"/>
    <d v="2025-02-11T00:00:00"/>
    <x v="2"/>
    <x v="1"/>
    <x v="0"/>
    <x v="0"/>
    <x v="3"/>
    <x v="8"/>
    <x v="5"/>
    <x v="2"/>
  </r>
  <r>
    <x v="771"/>
    <x v="4"/>
    <x v="0"/>
    <n v="19.5"/>
    <x v="688"/>
    <x v="32"/>
    <d v="2025-02-03T00:00:00"/>
    <x v="1"/>
    <x v="1"/>
    <x v="1"/>
    <x v="0"/>
    <x v="3"/>
    <x v="3"/>
    <x v="5"/>
    <x v="1"/>
  </r>
  <r>
    <x v="772"/>
    <x v="12"/>
    <x v="0"/>
    <n v="42.6"/>
    <x v="440"/>
    <x v="32"/>
    <d v="2025-02-03T00:00:00"/>
    <x v="1"/>
    <x v="0"/>
    <x v="1"/>
    <x v="0"/>
    <x v="3"/>
    <x v="3"/>
    <x v="5"/>
    <x v="1"/>
  </r>
  <r>
    <x v="773"/>
    <x v="6"/>
    <x v="1"/>
    <n v="74.8"/>
    <x v="689"/>
    <x v="32"/>
    <d v="2025-02-03T00:00:00"/>
    <x v="2"/>
    <x v="3"/>
    <x v="2"/>
    <x v="0"/>
    <x v="37"/>
    <x v="3"/>
    <x v="5"/>
    <x v="2"/>
  </r>
  <r>
    <x v="774"/>
    <x v="8"/>
    <x v="2"/>
    <n v="32.5"/>
    <x v="647"/>
    <x v="32"/>
    <d v="2025-02-03T00:00:00"/>
    <x v="1"/>
    <x v="2"/>
    <x v="4"/>
    <x v="0"/>
    <x v="16"/>
    <x v="3"/>
    <x v="5"/>
    <x v="1"/>
  </r>
  <r>
    <x v="775"/>
    <x v="2"/>
    <x v="2"/>
    <n v="60.5"/>
    <x v="690"/>
    <x v="32"/>
    <d v="2025-02-02T00:00:00"/>
    <x v="2"/>
    <x v="1"/>
    <x v="2"/>
    <x v="0"/>
    <x v="25"/>
    <x v="7"/>
    <x v="5"/>
    <x v="2"/>
  </r>
  <r>
    <x v="776"/>
    <x v="1"/>
    <x v="3"/>
    <n v="57.2"/>
    <x v="691"/>
    <x v="32"/>
    <d v="2025-02-04T00:00:00"/>
    <x v="0"/>
    <x v="2"/>
    <x v="0"/>
    <x v="0"/>
    <x v="25"/>
    <x v="1"/>
    <x v="5"/>
    <x v="0"/>
  </r>
  <r>
    <x v="777"/>
    <x v="16"/>
    <x v="1"/>
    <n v="112"/>
    <x v="692"/>
    <x v="32"/>
    <d v="2025-02-03T00:00:00"/>
    <x v="2"/>
    <x v="1"/>
    <x v="1"/>
    <x v="0"/>
    <x v="5"/>
    <x v="3"/>
    <x v="5"/>
    <x v="2"/>
  </r>
  <r>
    <x v="778"/>
    <x v="7"/>
    <x v="7"/>
    <n v="49"/>
    <x v="157"/>
    <x v="32"/>
    <d v="2025-02-03T00:00:00"/>
    <x v="3"/>
    <x v="2"/>
    <x v="1"/>
    <x v="0"/>
    <x v="6"/>
    <x v="3"/>
    <x v="5"/>
    <x v="0"/>
  </r>
  <r>
    <x v="779"/>
    <x v="0"/>
    <x v="1"/>
    <n v="33.700000000000003"/>
    <x v="693"/>
    <x v="32"/>
    <d v="2025-02-06T00:00:00"/>
    <x v="2"/>
    <x v="3"/>
    <x v="0"/>
    <x v="0"/>
    <x v="6"/>
    <x v="5"/>
    <x v="5"/>
    <x v="2"/>
  </r>
  <r>
    <x v="780"/>
    <x v="4"/>
    <x v="2"/>
    <n v="35.6"/>
    <x v="694"/>
    <x v="32"/>
    <d v="2025-02-05T00:00:00"/>
    <x v="2"/>
    <x v="0"/>
    <x v="2"/>
    <x v="0"/>
    <x v="6"/>
    <x v="2"/>
    <x v="5"/>
    <x v="2"/>
  </r>
  <r>
    <x v="781"/>
    <x v="4"/>
    <x v="36"/>
    <n v="30.4"/>
    <x v="695"/>
    <x v="33"/>
    <d v="2025-02-03T00:00:00"/>
    <x v="2"/>
    <x v="0"/>
    <x v="1"/>
    <x v="0"/>
    <x v="7"/>
    <x v="7"/>
    <x v="5"/>
    <x v="2"/>
  </r>
  <r>
    <x v="782"/>
    <x v="10"/>
    <x v="4"/>
    <n v="50.2"/>
    <x v="696"/>
    <x v="33"/>
    <d v="2025-02-04T00:00:00"/>
    <x v="1"/>
    <x v="4"/>
    <x v="0"/>
    <x v="0"/>
    <x v="8"/>
    <x v="3"/>
    <x v="5"/>
    <x v="1"/>
  </r>
  <r>
    <x v="783"/>
    <x v="1"/>
    <x v="1"/>
    <n v="43.7"/>
    <x v="697"/>
    <x v="33"/>
    <d v="2025-02-05T00:00:00"/>
    <x v="2"/>
    <x v="0"/>
    <x v="0"/>
    <x v="0"/>
    <x v="8"/>
    <x v="1"/>
    <x v="5"/>
    <x v="2"/>
  </r>
  <r>
    <x v="784"/>
    <x v="10"/>
    <x v="0"/>
    <n v="33.299999999999997"/>
    <x v="698"/>
    <x v="33"/>
    <d v="2025-02-04T00:00:00"/>
    <x v="2"/>
    <x v="2"/>
    <x v="1"/>
    <x v="0"/>
    <x v="8"/>
    <x v="3"/>
    <x v="5"/>
    <x v="2"/>
  </r>
  <r>
    <x v="785"/>
    <x v="8"/>
    <x v="12"/>
    <n v="15.1"/>
    <x v="266"/>
    <x v="33"/>
    <d v="2025-02-05T00:00:00"/>
    <x v="2"/>
    <x v="4"/>
    <x v="2"/>
    <x v="0"/>
    <x v="8"/>
    <x v="1"/>
    <x v="5"/>
    <x v="2"/>
  </r>
  <r>
    <x v="786"/>
    <x v="6"/>
    <x v="9"/>
    <n v="118.2"/>
    <x v="699"/>
    <x v="33"/>
    <d v="2025-02-04T00:00:00"/>
    <x v="2"/>
    <x v="3"/>
    <x v="4"/>
    <x v="0"/>
    <x v="8"/>
    <x v="3"/>
    <x v="5"/>
    <x v="2"/>
  </r>
  <r>
    <x v="787"/>
    <x v="10"/>
    <x v="2"/>
    <n v="28.9"/>
    <x v="700"/>
    <x v="33"/>
    <d v="2025-02-05T00:00:00"/>
    <x v="2"/>
    <x v="2"/>
    <x v="1"/>
    <x v="0"/>
    <x v="8"/>
    <x v="1"/>
    <x v="5"/>
    <x v="2"/>
  </r>
  <r>
    <x v="788"/>
    <x v="4"/>
    <x v="2"/>
    <n v="55.6"/>
    <x v="701"/>
    <x v="33"/>
    <d v="2025-02-04T00:00:00"/>
    <x v="1"/>
    <x v="0"/>
    <x v="1"/>
    <x v="0"/>
    <x v="8"/>
    <x v="3"/>
    <x v="5"/>
    <x v="1"/>
  </r>
  <r>
    <x v="789"/>
    <x v="9"/>
    <x v="12"/>
    <n v="25.6"/>
    <x v="298"/>
    <x v="33"/>
    <d v="2025-02-05T00:00:00"/>
    <x v="2"/>
    <x v="0"/>
    <x v="1"/>
    <x v="0"/>
    <x v="8"/>
    <x v="1"/>
    <x v="5"/>
    <x v="2"/>
  </r>
  <r>
    <x v="790"/>
    <x v="7"/>
    <x v="2"/>
    <n v="31.3"/>
    <x v="442"/>
    <x v="33"/>
    <d v="2025-02-04T00:00:00"/>
    <x v="1"/>
    <x v="0"/>
    <x v="0"/>
    <x v="0"/>
    <x v="17"/>
    <x v="3"/>
    <x v="5"/>
    <x v="1"/>
  </r>
  <r>
    <x v="791"/>
    <x v="0"/>
    <x v="2"/>
    <n v="22.1"/>
    <x v="702"/>
    <x v="33"/>
    <d v="2025-02-07T00:00:00"/>
    <x v="1"/>
    <x v="0"/>
    <x v="0"/>
    <x v="0"/>
    <x v="17"/>
    <x v="5"/>
    <x v="5"/>
    <x v="1"/>
  </r>
  <r>
    <x v="792"/>
    <x v="2"/>
    <x v="21"/>
    <n v="99.4"/>
    <x v="703"/>
    <x v="33"/>
    <d v="2025-02-04T00:00:00"/>
    <x v="1"/>
    <x v="1"/>
    <x v="0"/>
    <x v="0"/>
    <x v="11"/>
    <x v="3"/>
    <x v="5"/>
    <x v="1"/>
  </r>
  <r>
    <x v="793"/>
    <x v="7"/>
    <x v="13"/>
    <n v="66.599999999999994"/>
    <x v="704"/>
    <x v="33"/>
    <d v="2025-02-04T00:00:00"/>
    <x v="2"/>
    <x v="0"/>
    <x v="0"/>
    <x v="0"/>
    <x v="11"/>
    <x v="3"/>
    <x v="5"/>
    <x v="2"/>
  </r>
  <r>
    <x v="794"/>
    <x v="8"/>
    <x v="1"/>
    <n v="22.6"/>
    <x v="705"/>
    <x v="33"/>
    <d v="2025-02-06T00:00:00"/>
    <x v="1"/>
    <x v="0"/>
    <x v="0"/>
    <x v="0"/>
    <x v="11"/>
    <x v="2"/>
    <x v="5"/>
    <x v="1"/>
  </r>
  <r>
    <x v="795"/>
    <x v="2"/>
    <x v="16"/>
    <n v="66.8"/>
    <x v="706"/>
    <x v="33"/>
    <d v="2025-02-04T00:00:00"/>
    <x v="2"/>
    <x v="0"/>
    <x v="4"/>
    <x v="0"/>
    <x v="13"/>
    <x v="3"/>
    <x v="5"/>
    <x v="2"/>
  </r>
  <r>
    <x v="796"/>
    <x v="0"/>
    <x v="12"/>
    <n v="20.8"/>
    <x v="707"/>
    <x v="33"/>
    <d v="2025-02-10T00:00:00"/>
    <x v="1"/>
    <x v="1"/>
    <x v="4"/>
    <x v="0"/>
    <x v="1"/>
    <x v="6"/>
    <x v="5"/>
    <x v="1"/>
  </r>
  <r>
    <x v="797"/>
    <x v="2"/>
    <x v="3"/>
    <n v="102.5"/>
    <x v="708"/>
    <x v="33"/>
    <d v="2025-02-04T00:00:00"/>
    <x v="2"/>
    <x v="4"/>
    <x v="2"/>
    <x v="0"/>
    <x v="3"/>
    <x v="3"/>
    <x v="5"/>
    <x v="2"/>
  </r>
  <r>
    <x v="798"/>
    <x v="0"/>
    <x v="16"/>
    <n v="24.8"/>
    <x v="709"/>
    <x v="33"/>
    <d v="2025-02-07T00:00:00"/>
    <x v="2"/>
    <x v="0"/>
    <x v="0"/>
    <x v="0"/>
    <x v="3"/>
    <x v="5"/>
    <x v="5"/>
    <x v="2"/>
  </r>
  <r>
    <x v="799"/>
    <x v="4"/>
    <x v="37"/>
    <n v="31.4"/>
    <x v="710"/>
    <x v="33"/>
    <d v="2025-02-04T00:00:00"/>
    <x v="2"/>
    <x v="3"/>
    <x v="0"/>
    <x v="0"/>
    <x v="3"/>
    <x v="3"/>
    <x v="5"/>
    <x v="2"/>
  </r>
  <r>
    <x v="800"/>
    <x v="9"/>
    <x v="9"/>
    <n v="59.3"/>
    <x v="711"/>
    <x v="33"/>
    <d v="2025-02-06T00:00:00"/>
    <x v="1"/>
    <x v="1"/>
    <x v="2"/>
    <x v="0"/>
    <x v="43"/>
    <x v="2"/>
    <x v="5"/>
    <x v="1"/>
  </r>
  <r>
    <x v="801"/>
    <x v="11"/>
    <x v="13"/>
    <n v="39"/>
    <x v="540"/>
    <x v="33"/>
    <d v="2025-02-06T00:00:00"/>
    <x v="1"/>
    <x v="1"/>
    <x v="0"/>
    <x v="0"/>
    <x v="6"/>
    <x v="2"/>
    <x v="5"/>
    <x v="1"/>
  </r>
  <r>
    <x v="802"/>
    <x v="5"/>
    <x v="13"/>
    <n v="98.6"/>
    <x v="712"/>
    <x v="33"/>
    <d v="2025-02-05T00:00:00"/>
    <x v="2"/>
    <x v="1"/>
    <x v="0"/>
    <x v="0"/>
    <x v="6"/>
    <x v="1"/>
    <x v="5"/>
    <x v="2"/>
  </r>
  <r>
    <x v="803"/>
    <x v="8"/>
    <x v="0"/>
    <n v="20"/>
    <x v="614"/>
    <x v="34"/>
    <d v="2025-02-05T00:00:00"/>
    <x v="1"/>
    <x v="3"/>
    <x v="2"/>
    <x v="0"/>
    <x v="8"/>
    <x v="3"/>
    <x v="5"/>
    <x v="1"/>
  </r>
  <r>
    <x v="804"/>
    <x v="1"/>
    <x v="1"/>
    <n v="42.9"/>
    <x v="550"/>
    <x v="34"/>
    <d v="2025-02-06T00:00:00"/>
    <x v="2"/>
    <x v="0"/>
    <x v="2"/>
    <x v="0"/>
    <x v="8"/>
    <x v="1"/>
    <x v="5"/>
    <x v="2"/>
  </r>
  <r>
    <x v="805"/>
    <x v="7"/>
    <x v="3"/>
    <n v="55.6"/>
    <x v="713"/>
    <x v="34"/>
    <d v="2025-02-06T00:00:00"/>
    <x v="2"/>
    <x v="2"/>
    <x v="1"/>
    <x v="0"/>
    <x v="8"/>
    <x v="1"/>
    <x v="5"/>
    <x v="2"/>
  </r>
  <r>
    <x v="806"/>
    <x v="8"/>
    <x v="12"/>
    <n v="19.2"/>
    <x v="714"/>
    <x v="34"/>
    <d v="2025-02-09T00:00:00"/>
    <x v="2"/>
    <x v="0"/>
    <x v="0"/>
    <x v="0"/>
    <x v="41"/>
    <x v="0"/>
    <x v="5"/>
    <x v="2"/>
  </r>
  <r>
    <x v="807"/>
    <x v="5"/>
    <x v="1"/>
    <n v="28.8"/>
    <x v="636"/>
    <x v="34"/>
    <d v="2025-02-06T00:00:00"/>
    <x v="1"/>
    <x v="1"/>
    <x v="0"/>
    <x v="0"/>
    <x v="18"/>
    <x v="1"/>
    <x v="5"/>
    <x v="1"/>
  </r>
  <r>
    <x v="808"/>
    <x v="4"/>
    <x v="0"/>
    <n v="29.7"/>
    <x v="47"/>
    <x v="34"/>
    <d v="2025-02-06T00:00:00"/>
    <x v="2"/>
    <x v="2"/>
    <x v="4"/>
    <x v="0"/>
    <x v="20"/>
    <x v="1"/>
    <x v="5"/>
    <x v="2"/>
  </r>
  <r>
    <x v="809"/>
    <x v="6"/>
    <x v="13"/>
    <n v="63.3"/>
    <x v="715"/>
    <x v="34"/>
    <d v="2025-02-05T00:00:00"/>
    <x v="0"/>
    <x v="0"/>
    <x v="2"/>
    <x v="0"/>
    <x v="21"/>
    <x v="3"/>
    <x v="5"/>
    <x v="0"/>
  </r>
  <r>
    <x v="810"/>
    <x v="4"/>
    <x v="0"/>
    <n v="46"/>
    <x v="716"/>
    <x v="34"/>
    <d v="2025-02-05T00:00:00"/>
    <x v="2"/>
    <x v="0"/>
    <x v="2"/>
    <x v="0"/>
    <x v="21"/>
    <x v="3"/>
    <x v="5"/>
    <x v="2"/>
  </r>
  <r>
    <x v="811"/>
    <x v="11"/>
    <x v="2"/>
    <n v="38"/>
    <x v="717"/>
    <x v="34"/>
    <d v="2025-02-06T00:00:00"/>
    <x v="2"/>
    <x v="1"/>
    <x v="2"/>
    <x v="0"/>
    <x v="21"/>
    <x v="1"/>
    <x v="5"/>
    <x v="2"/>
  </r>
  <r>
    <x v="812"/>
    <x v="10"/>
    <x v="15"/>
    <n v="34.6"/>
    <x v="327"/>
    <x v="34"/>
    <d v="2025-02-06T00:00:00"/>
    <x v="2"/>
    <x v="0"/>
    <x v="1"/>
    <x v="0"/>
    <x v="21"/>
    <x v="1"/>
    <x v="5"/>
    <x v="2"/>
  </r>
  <r>
    <x v="813"/>
    <x v="3"/>
    <x v="7"/>
    <n v="79.7"/>
    <x v="718"/>
    <x v="34"/>
    <d v="2025-02-05T00:00:00"/>
    <x v="2"/>
    <x v="4"/>
    <x v="1"/>
    <x v="0"/>
    <x v="21"/>
    <x v="3"/>
    <x v="5"/>
    <x v="2"/>
  </r>
  <r>
    <x v="814"/>
    <x v="8"/>
    <x v="8"/>
    <n v="30.5"/>
    <x v="719"/>
    <x v="34"/>
    <d v="2025-02-08T00:00:00"/>
    <x v="1"/>
    <x v="3"/>
    <x v="0"/>
    <x v="0"/>
    <x v="1"/>
    <x v="5"/>
    <x v="5"/>
    <x v="1"/>
  </r>
  <r>
    <x v="815"/>
    <x v="0"/>
    <x v="1"/>
    <n v="20.8"/>
    <x v="480"/>
    <x v="34"/>
    <d v="2025-02-05T00:00:00"/>
    <x v="2"/>
    <x v="0"/>
    <x v="0"/>
    <x v="0"/>
    <x v="2"/>
    <x v="3"/>
    <x v="5"/>
    <x v="2"/>
  </r>
  <r>
    <x v="816"/>
    <x v="11"/>
    <x v="3"/>
    <n v="48.5"/>
    <x v="720"/>
    <x v="34"/>
    <d v="2025-02-08T00:00:00"/>
    <x v="2"/>
    <x v="2"/>
    <x v="2"/>
    <x v="0"/>
    <x v="2"/>
    <x v="5"/>
    <x v="5"/>
    <x v="2"/>
  </r>
  <r>
    <x v="817"/>
    <x v="2"/>
    <x v="12"/>
    <n v="61.8"/>
    <x v="721"/>
    <x v="34"/>
    <d v="2025-02-08T00:00:00"/>
    <x v="2"/>
    <x v="4"/>
    <x v="0"/>
    <x v="0"/>
    <x v="22"/>
    <x v="5"/>
    <x v="5"/>
    <x v="2"/>
  </r>
  <r>
    <x v="818"/>
    <x v="10"/>
    <x v="0"/>
    <n v="46.1"/>
    <x v="722"/>
    <x v="34"/>
    <d v="2025-02-05T00:00:00"/>
    <x v="3"/>
    <x v="2"/>
    <x v="0"/>
    <x v="0"/>
    <x v="3"/>
    <x v="3"/>
    <x v="5"/>
    <x v="0"/>
  </r>
  <r>
    <x v="819"/>
    <x v="4"/>
    <x v="13"/>
    <n v="44"/>
    <x v="723"/>
    <x v="34"/>
    <d v="2025-02-05T00:00:00"/>
    <x v="2"/>
    <x v="0"/>
    <x v="0"/>
    <x v="0"/>
    <x v="3"/>
    <x v="3"/>
    <x v="5"/>
    <x v="2"/>
  </r>
  <r>
    <x v="820"/>
    <x v="18"/>
    <x v="1"/>
    <n v="95.7"/>
    <x v="724"/>
    <x v="34"/>
    <d v="2025-02-10T00:00:00"/>
    <x v="2"/>
    <x v="3"/>
    <x v="2"/>
    <x v="0"/>
    <x v="3"/>
    <x v="4"/>
    <x v="5"/>
    <x v="2"/>
  </r>
  <r>
    <x v="821"/>
    <x v="7"/>
    <x v="9"/>
    <n v="46.4"/>
    <x v="615"/>
    <x v="34"/>
    <d v="2025-02-07T00:00:00"/>
    <x v="2"/>
    <x v="0"/>
    <x v="0"/>
    <x v="0"/>
    <x v="3"/>
    <x v="2"/>
    <x v="5"/>
    <x v="2"/>
  </r>
  <r>
    <x v="822"/>
    <x v="6"/>
    <x v="1"/>
    <n v="47.2"/>
    <x v="725"/>
    <x v="34"/>
    <d v="2025-02-06T00:00:00"/>
    <x v="2"/>
    <x v="0"/>
    <x v="2"/>
    <x v="0"/>
    <x v="3"/>
    <x v="1"/>
    <x v="5"/>
    <x v="2"/>
  </r>
  <r>
    <x v="823"/>
    <x v="7"/>
    <x v="1"/>
    <n v="58.6"/>
    <x v="726"/>
    <x v="34"/>
    <d v="2025-02-05T00:00:00"/>
    <x v="2"/>
    <x v="2"/>
    <x v="1"/>
    <x v="0"/>
    <x v="3"/>
    <x v="3"/>
    <x v="5"/>
    <x v="2"/>
  </r>
  <r>
    <x v="824"/>
    <x v="4"/>
    <x v="2"/>
    <n v="57"/>
    <x v="727"/>
    <x v="34"/>
    <d v="2025-02-05T00:00:00"/>
    <x v="1"/>
    <x v="0"/>
    <x v="2"/>
    <x v="0"/>
    <x v="3"/>
    <x v="3"/>
    <x v="5"/>
    <x v="1"/>
  </r>
  <r>
    <x v="825"/>
    <x v="8"/>
    <x v="12"/>
    <n v="28.9"/>
    <x v="446"/>
    <x v="34"/>
    <d v="2025-02-08T00:00:00"/>
    <x v="1"/>
    <x v="2"/>
    <x v="0"/>
    <x v="0"/>
    <x v="3"/>
    <x v="5"/>
    <x v="5"/>
    <x v="1"/>
  </r>
  <r>
    <x v="826"/>
    <x v="12"/>
    <x v="9"/>
    <n v="60.7"/>
    <x v="728"/>
    <x v="34"/>
    <d v="2025-02-08T00:00:00"/>
    <x v="0"/>
    <x v="1"/>
    <x v="1"/>
    <x v="0"/>
    <x v="3"/>
    <x v="5"/>
    <x v="5"/>
    <x v="0"/>
  </r>
  <r>
    <x v="827"/>
    <x v="6"/>
    <x v="9"/>
    <n v="60.8"/>
    <x v="729"/>
    <x v="34"/>
    <d v="2025-02-08T00:00:00"/>
    <x v="1"/>
    <x v="0"/>
    <x v="1"/>
    <x v="0"/>
    <x v="3"/>
    <x v="5"/>
    <x v="5"/>
    <x v="1"/>
  </r>
  <r>
    <x v="828"/>
    <x v="6"/>
    <x v="9"/>
    <n v="64.599999999999994"/>
    <x v="730"/>
    <x v="34"/>
    <d v="2025-02-05T00:00:00"/>
    <x v="2"/>
    <x v="3"/>
    <x v="0"/>
    <x v="0"/>
    <x v="3"/>
    <x v="3"/>
    <x v="5"/>
    <x v="2"/>
  </r>
  <r>
    <x v="829"/>
    <x v="8"/>
    <x v="0"/>
    <n v="21.9"/>
    <x v="731"/>
    <x v="34"/>
    <d v="2025-02-07T00:00:00"/>
    <x v="1"/>
    <x v="1"/>
    <x v="2"/>
    <x v="0"/>
    <x v="4"/>
    <x v="2"/>
    <x v="5"/>
    <x v="1"/>
  </r>
  <r>
    <x v="830"/>
    <x v="4"/>
    <x v="4"/>
    <n v="33.4"/>
    <x v="732"/>
    <x v="34"/>
    <d v="2025-02-06T00:00:00"/>
    <x v="2"/>
    <x v="0"/>
    <x v="0"/>
    <x v="0"/>
    <x v="23"/>
    <x v="1"/>
    <x v="5"/>
    <x v="2"/>
  </r>
  <r>
    <x v="831"/>
    <x v="2"/>
    <x v="0"/>
    <n v="51.7"/>
    <x v="733"/>
    <x v="34"/>
    <d v="2025-02-05T00:00:00"/>
    <x v="0"/>
    <x v="0"/>
    <x v="0"/>
    <x v="0"/>
    <x v="6"/>
    <x v="3"/>
    <x v="5"/>
    <x v="0"/>
  </r>
  <r>
    <x v="832"/>
    <x v="1"/>
    <x v="12"/>
    <n v="84.9"/>
    <x v="734"/>
    <x v="34"/>
    <d v="2025-02-05T00:00:00"/>
    <x v="2"/>
    <x v="1"/>
    <x v="1"/>
    <x v="0"/>
    <x v="6"/>
    <x v="3"/>
    <x v="5"/>
    <x v="2"/>
  </r>
  <r>
    <x v="833"/>
    <x v="1"/>
    <x v="5"/>
    <n v="62.3"/>
    <x v="735"/>
    <x v="34"/>
    <d v="2025-02-05T00:00:00"/>
    <x v="2"/>
    <x v="2"/>
    <x v="2"/>
    <x v="0"/>
    <x v="7"/>
    <x v="3"/>
    <x v="5"/>
    <x v="2"/>
  </r>
  <r>
    <x v="834"/>
    <x v="4"/>
    <x v="0"/>
    <n v="50.7"/>
    <x v="163"/>
    <x v="34"/>
    <d v="2025-02-06T00:00:00"/>
    <x v="1"/>
    <x v="2"/>
    <x v="2"/>
    <x v="0"/>
    <x v="8"/>
    <x v="1"/>
    <x v="5"/>
    <x v="1"/>
  </r>
  <r>
    <x v="835"/>
    <x v="18"/>
    <x v="0"/>
    <n v="39.5"/>
    <x v="736"/>
    <x v="34"/>
    <d v="2025-02-05T00:00:00"/>
    <x v="1"/>
    <x v="4"/>
    <x v="1"/>
    <x v="0"/>
    <x v="8"/>
    <x v="3"/>
    <x v="5"/>
    <x v="1"/>
  </r>
  <r>
    <x v="836"/>
    <x v="12"/>
    <x v="2"/>
    <n v="30.9"/>
    <x v="737"/>
    <x v="34"/>
    <d v="2025-02-05T00:00:00"/>
    <x v="0"/>
    <x v="4"/>
    <x v="2"/>
    <x v="0"/>
    <x v="8"/>
    <x v="3"/>
    <x v="5"/>
    <x v="0"/>
  </r>
  <r>
    <x v="837"/>
    <x v="1"/>
    <x v="3"/>
    <n v="36.4"/>
    <x v="133"/>
    <x v="34"/>
    <d v="2025-02-07T00:00:00"/>
    <x v="2"/>
    <x v="0"/>
    <x v="2"/>
    <x v="0"/>
    <x v="8"/>
    <x v="2"/>
    <x v="5"/>
    <x v="2"/>
  </r>
  <r>
    <x v="838"/>
    <x v="6"/>
    <x v="8"/>
    <n v="105.6"/>
    <x v="738"/>
    <x v="34"/>
    <d v="2025-02-14T00:00:00"/>
    <x v="2"/>
    <x v="0"/>
    <x v="0"/>
    <x v="0"/>
    <x v="8"/>
    <x v="14"/>
    <x v="5"/>
    <x v="2"/>
  </r>
  <r>
    <x v="839"/>
    <x v="8"/>
    <x v="1"/>
    <n v="22.1"/>
    <x v="573"/>
    <x v="34"/>
    <d v="2025-02-05T00:00:00"/>
    <x v="2"/>
    <x v="0"/>
    <x v="2"/>
    <x v="0"/>
    <x v="17"/>
    <x v="3"/>
    <x v="5"/>
    <x v="2"/>
  </r>
  <r>
    <x v="840"/>
    <x v="0"/>
    <x v="2"/>
    <n v="22.6"/>
    <x v="418"/>
    <x v="34"/>
    <d v="2025-02-05T00:00:00"/>
    <x v="2"/>
    <x v="2"/>
    <x v="0"/>
    <x v="0"/>
    <x v="17"/>
    <x v="3"/>
    <x v="5"/>
    <x v="2"/>
  </r>
  <r>
    <x v="841"/>
    <x v="10"/>
    <x v="13"/>
    <n v="26.3"/>
    <x v="739"/>
    <x v="34"/>
    <d v="2025-02-04T00:00:00"/>
    <x v="2"/>
    <x v="2"/>
    <x v="0"/>
    <x v="0"/>
    <x v="9"/>
    <x v="7"/>
    <x v="5"/>
    <x v="2"/>
  </r>
  <r>
    <x v="842"/>
    <x v="1"/>
    <x v="12"/>
    <n v="37.799999999999997"/>
    <x v="277"/>
    <x v="34"/>
    <d v="2025-02-05T00:00:00"/>
    <x v="2"/>
    <x v="0"/>
    <x v="2"/>
    <x v="0"/>
    <x v="11"/>
    <x v="3"/>
    <x v="5"/>
    <x v="2"/>
  </r>
  <r>
    <x v="843"/>
    <x v="6"/>
    <x v="14"/>
    <n v="96"/>
    <x v="740"/>
    <x v="34"/>
    <d v="2025-02-07T00:00:00"/>
    <x v="2"/>
    <x v="4"/>
    <x v="1"/>
    <x v="0"/>
    <x v="18"/>
    <x v="2"/>
    <x v="5"/>
    <x v="2"/>
  </r>
  <r>
    <x v="844"/>
    <x v="1"/>
    <x v="0"/>
    <n v="83.6"/>
    <x v="681"/>
    <x v="34"/>
    <d v="2025-02-07T00:00:00"/>
    <x v="2"/>
    <x v="2"/>
    <x v="1"/>
    <x v="0"/>
    <x v="19"/>
    <x v="2"/>
    <x v="5"/>
    <x v="2"/>
  </r>
  <r>
    <x v="845"/>
    <x v="2"/>
    <x v="13"/>
    <n v="72.599999999999994"/>
    <x v="349"/>
    <x v="34"/>
    <d v="2025-02-05T00:00:00"/>
    <x v="2"/>
    <x v="0"/>
    <x v="0"/>
    <x v="0"/>
    <x v="21"/>
    <x v="3"/>
    <x v="5"/>
    <x v="2"/>
  </r>
  <r>
    <x v="846"/>
    <x v="5"/>
    <x v="28"/>
    <n v="69.099999999999994"/>
    <x v="741"/>
    <x v="35"/>
    <d v="2025-02-11T00:00:00"/>
    <x v="1"/>
    <x v="0"/>
    <x v="2"/>
    <x v="0"/>
    <x v="21"/>
    <x v="4"/>
    <x v="5"/>
    <x v="1"/>
  </r>
  <r>
    <x v="847"/>
    <x v="4"/>
    <x v="1"/>
    <n v="22.6"/>
    <x v="705"/>
    <x v="35"/>
    <d v="2025-02-07T00:00:00"/>
    <x v="2"/>
    <x v="1"/>
    <x v="2"/>
    <x v="0"/>
    <x v="21"/>
    <x v="1"/>
    <x v="5"/>
    <x v="2"/>
  </r>
  <r>
    <x v="848"/>
    <x v="6"/>
    <x v="1"/>
    <n v="45.3"/>
    <x v="742"/>
    <x v="35"/>
    <d v="2025-02-09T00:00:00"/>
    <x v="1"/>
    <x v="4"/>
    <x v="2"/>
    <x v="0"/>
    <x v="21"/>
    <x v="5"/>
    <x v="5"/>
    <x v="1"/>
  </r>
  <r>
    <x v="849"/>
    <x v="2"/>
    <x v="1"/>
    <n v="115.1"/>
    <x v="743"/>
    <x v="35"/>
    <d v="2025-02-06T00:00:00"/>
    <x v="2"/>
    <x v="1"/>
    <x v="0"/>
    <x v="0"/>
    <x v="1"/>
    <x v="3"/>
    <x v="5"/>
    <x v="2"/>
  </r>
  <r>
    <x v="850"/>
    <x v="18"/>
    <x v="12"/>
    <n v="79"/>
    <x v="744"/>
    <x v="35"/>
    <d v="2025-02-07T00:00:00"/>
    <x v="1"/>
    <x v="2"/>
    <x v="4"/>
    <x v="0"/>
    <x v="1"/>
    <x v="1"/>
    <x v="5"/>
    <x v="1"/>
  </r>
  <r>
    <x v="851"/>
    <x v="6"/>
    <x v="9"/>
    <n v="52.8"/>
    <x v="723"/>
    <x v="35"/>
    <d v="2025-02-06T00:00:00"/>
    <x v="2"/>
    <x v="0"/>
    <x v="0"/>
    <x v="0"/>
    <x v="42"/>
    <x v="3"/>
    <x v="5"/>
    <x v="2"/>
  </r>
  <r>
    <x v="852"/>
    <x v="8"/>
    <x v="1"/>
    <n v="34.1"/>
    <x v="745"/>
    <x v="35"/>
    <d v="2025-02-06T00:00:00"/>
    <x v="1"/>
    <x v="3"/>
    <x v="2"/>
    <x v="0"/>
    <x v="44"/>
    <x v="3"/>
    <x v="5"/>
    <x v="1"/>
  </r>
  <r>
    <x v="853"/>
    <x v="6"/>
    <x v="9"/>
    <n v="107.9"/>
    <x v="746"/>
    <x v="35"/>
    <d v="2025-02-05T00:00:00"/>
    <x v="2"/>
    <x v="0"/>
    <x v="2"/>
    <x v="0"/>
    <x v="50"/>
    <x v="7"/>
    <x v="5"/>
    <x v="2"/>
  </r>
  <r>
    <x v="854"/>
    <x v="8"/>
    <x v="15"/>
    <n v="48.5"/>
    <x v="747"/>
    <x v="35"/>
    <d v="2025-02-05T00:00:00"/>
    <x v="1"/>
    <x v="2"/>
    <x v="2"/>
    <x v="0"/>
    <x v="3"/>
    <x v="7"/>
    <x v="5"/>
    <x v="1"/>
  </r>
  <r>
    <x v="855"/>
    <x v="5"/>
    <x v="2"/>
    <n v="34.700000000000003"/>
    <x v="748"/>
    <x v="35"/>
    <d v="2025-02-06T00:00:00"/>
    <x v="0"/>
    <x v="4"/>
    <x v="1"/>
    <x v="0"/>
    <x v="3"/>
    <x v="3"/>
    <x v="5"/>
    <x v="0"/>
  </r>
  <r>
    <x v="856"/>
    <x v="8"/>
    <x v="0"/>
    <n v="16.8"/>
    <x v="749"/>
    <x v="35"/>
    <d v="2025-02-07T00:00:00"/>
    <x v="2"/>
    <x v="3"/>
    <x v="0"/>
    <x v="0"/>
    <x v="3"/>
    <x v="1"/>
    <x v="5"/>
    <x v="2"/>
  </r>
  <r>
    <x v="857"/>
    <x v="8"/>
    <x v="13"/>
    <n v="18.3"/>
    <x v="17"/>
    <x v="35"/>
    <d v="2025-02-08T00:00:00"/>
    <x v="2"/>
    <x v="0"/>
    <x v="0"/>
    <x v="0"/>
    <x v="3"/>
    <x v="2"/>
    <x v="5"/>
    <x v="2"/>
  </r>
  <r>
    <x v="858"/>
    <x v="18"/>
    <x v="2"/>
    <n v="55.9"/>
    <x v="750"/>
    <x v="35"/>
    <d v="2025-02-11T00:00:00"/>
    <x v="1"/>
    <x v="3"/>
    <x v="1"/>
    <x v="0"/>
    <x v="3"/>
    <x v="4"/>
    <x v="5"/>
    <x v="1"/>
  </r>
  <r>
    <x v="859"/>
    <x v="8"/>
    <x v="2"/>
    <n v="39.200000000000003"/>
    <x v="557"/>
    <x v="35"/>
    <d v="2025-02-07T00:00:00"/>
    <x v="2"/>
    <x v="0"/>
    <x v="1"/>
    <x v="0"/>
    <x v="3"/>
    <x v="1"/>
    <x v="5"/>
    <x v="2"/>
  </r>
  <r>
    <x v="860"/>
    <x v="15"/>
    <x v="12"/>
    <n v="66.5"/>
    <x v="751"/>
    <x v="35"/>
    <d v="2025-02-07T00:00:00"/>
    <x v="0"/>
    <x v="3"/>
    <x v="1"/>
    <x v="0"/>
    <x v="3"/>
    <x v="1"/>
    <x v="5"/>
    <x v="0"/>
  </r>
  <r>
    <x v="861"/>
    <x v="6"/>
    <x v="13"/>
    <n v="52.1"/>
    <x v="752"/>
    <x v="35"/>
    <d v="2025-02-07T00:00:00"/>
    <x v="1"/>
    <x v="1"/>
    <x v="1"/>
    <x v="0"/>
    <x v="16"/>
    <x v="1"/>
    <x v="5"/>
    <x v="1"/>
  </r>
  <r>
    <x v="862"/>
    <x v="8"/>
    <x v="1"/>
    <n v="19"/>
    <x v="753"/>
    <x v="35"/>
    <d v="2025-02-06T00:00:00"/>
    <x v="1"/>
    <x v="4"/>
    <x v="2"/>
    <x v="0"/>
    <x v="6"/>
    <x v="3"/>
    <x v="5"/>
    <x v="1"/>
  </r>
  <r>
    <x v="863"/>
    <x v="7"/>
    <x v="2"/>
    <n v="84.8"/>
    <x v="754"/>
    <x v="35"/>
    <d v="2025-02-07T00:00:00"/>
    <x v="2"/>
    <x v="2"/>
    <x v="0"/>
    <x v="0"/>
    <x v="8"/>
    <x v="1"/>
    <x v="5"/>
    <x v="2"/>
  </r>
  <r>
    <x v="864"/>
    <x v="2"/>
    <x v="12"/>
    <n v="63.9"/>
    <x v="755"/>
    <x v="35"/>
    <d v="2025-02-08T00:00:00"/>
    <x v="2"/>
    <x v="0"/>
    <x v="0"/>
    <x v="0"/>
    <x v="8"/>
    <x v="2"/>
    <x v="5"/>
    <x v="2"/>
  </r>
  <r>
    <x v="865"/>
    <x v="2"/>
    <x v="2"/>
    <n v="65.5"/>
    <x v="756"/>
    <x v="35"/>
    <d v="2025-02-05T00:00:00"/>
    <x v="2"/>
    <x v="1"/>
    <x v="1"/>
    <x v="0"/>
    <x v="8"/>
    <x v="7"/>
    <x v="5"/>
    <x v="2"/>
  </r>
  <r>
    <x v="866"/>
    <x v="12"/>
    <x v="1"/>
    <n v="116.2"/>
    <x v="757"/>
    <x v="35"/>
    <d v="2025-02-11T00:00:00"/>
    <x v="1"/>
    <x v="3"/>
    <x v="0"/>
    <x v="0"/>
    <x v="17"/>
    <x v="4"/>
    <x v="5"/>
    <x v="1"/>
  </r>
  <r>
    <x v="867"/>
    <x v="10"/>
    <x v="12"/>
    <n v="22.9"/>
    <x v="758"/>
    <x v="35"/>
    <d v="2025-02-07T00:00:00"/>
    <x v="2"/>
    <x v="2"/>
    <x v="1"/>
    <x v="0"/>
    <x v="38"/>
    <x v="1"/>
    <x v="5"/>
    <x v="2"/>
  </r>
  <r>
    <x v="868"/>
    <x v="10"/>
    <x v="2"/>
    <n v="53.7"/>
    <x v="759"/>
    <x v="35"/>
    <d v="2025-02-06T00:00:00"/>
    <x v="1"/>
    <x v="0"/>
    <x v="4"/>
    <x v="0"/>
    <x v="18"/>
    <x v="3"/>
    <x v="5"/>
    <x v="1"/>
  </r>
  <r>
    <x v="869"/>
    <x v="6"/>
    <x v="9"/>
    <n v="43.2"/>
    <x v="760"/>
    <x v="35"/>
    <d v="2025-02-07T00:00:00"/>
    <x v="2"/>
    <x v="0"/>
    <x v="0"/>
    <x v="0"/>
    <x v="19"/>
    <x v="1"/>
    <x v="5"/>
    <x v="2"/>
  </r>
  <r>
    <x v="870"/>
    <x v="1"/>
    <x v="2"/>
    <n v="84.5"/>
    <x v="103"/>
    <x v="35"/>
    <d v="2025-02-07T00:00:00"/>
    <x v="1"/>
    <x v="2"/>
    <x v="2"/>
    <x v="0"/>
    <x v="51"/>
    <x v="1"/>
    <x v="5"/>
    <x v="1"/>
  </r>
  <r>
    <x v="871"/>
    <x v="3"/>
    <x v="1"/>
    <n v="42.2"/>
    <x v="533"/>
    <x v="35"/>
    <d v="2025-02-06T00:00:00"/>
    <x v="2"/>
    <x v="1"/>
    <x v="2"/>
    <x v="0"/>
    <x v="1"/>
    <x v="3"/>
    <x v="5"/>
    <x v="2"/>
  </r>
  <r>
    <x v="872"/>
    <x v="2"/>
    <x v="13"/>
    <n v="94.7"/>
    <x v="761"/>
    <x v="35"/>
    <d v="2025-02-08T00:00:00"/>
    <x v="2"/>
    <x v="1"/>
    <x v="2"/>
    <x v="0"/>
    <x v="2"/>
    <x v="2"/>
    <x v="5"/>
    <x v="2"/>
  </r>
  <r>
    <x v="873"/>
    <x v="8"/>
    <x v="16"/>
    <n v="16.7"/>
    <x v="182"/>
    <x v="35"/>
    <d v="2025-02-17T00:00:00"/>
    <x v="2"/>
    <x v="0"/>
    <x v="2"/>
    <x v="0"/>
    <x v="2"/>
    <x v="13"/>
    <x v="5"/>
    <x v="2"/>
  </r>
  <r>
    <x v="874"/>
    <x v="2"/>
    <x v="1"/>
    <n v="83.6"/>
    <x v="762"/>
    <x v="35"/>
    <d v="2025-02-11T00:00:00"/>
    <x v="2"/>
    <x v="1"/>
    <x v="0"/>
    <x v="0"/>
    <x v="3"/>
    <x v="4"/>
    <x v="5"/>
    <x v="2"/>
  </r>
  <r>
    <x v="875"/>
    <x v="7"/>
    <x v="13"/>
    <n v="33.6"/>
    <x v="763"/>
    <x v="36"/>
    <d v="2025-02-07T00:00:00"/>
    <x v="2"/>
    <x v="3"/>
    <x v="0"/>
    <x v="0"/>
    <x v="3"/>
    <x v="3"/>
    <x v="5"/>
    <x v="2"/>
  </r>
  <r>
    <x v="876"/>
    <x v="7"/>
    <x v="1"/>
    <n v="64.7"/>
    <x v="385"/>
    <x v="36"/>
    <d v="2025-02-08T00:00:00"/>
    <x v="1"/>
    <x v="1"/>
    <x v="2"/>
    <x v="0"/>
    <x v="3"/>
    <x v="1"/>
    <x v="5"/>
    <x v="1"/>
  </r>
  <r>
    <x v="877"/>
    <x v="0"/>
    <x v="2"/>
    <n v="15.7"/>
    <x v="179"/>
    <x v="36"/>
    <d v="2025-02-12T00:00:00"/>
    <x v="2"/>
    <x v="0"/>
    <x v="0"/>
    <x v="0"/>
    <x v="3"/>
    <x v="4"/>
    <x v="5"/>
    <x v="2"/>
  </r>
  <r>
    <x v="878"/>
    <x v="15"/>
    <x v="13"/>
    <n v="49.4"/>
    <x v="764"/>
    <x v="36"/>
    <d v="2025-02-06T00:00:00"/>
    <x v="1"/>
    <x v="1"/>
    <x v="0"/>
    <x v="0"/>
    <x v="3"/>
    <x v="7"/>
    <x v="5"/>
    <x v="1"/>
  </r>
  <r>
    <x v="879"/>
    <x v="10"/>
    <x v="13"/>
    <n v="37"/>
    <x v="765"/>
    <x v="36"/>
    <d v="2025-02-09T00:00:00"/>
    <x v="2"/>
    <x v="1"/>
    <x v="2"/>
    <x v="0"/>
    <x v="3"/>
    <x v="2"/>
    <x v="5"/>
    <x v="2"/>
  </r>
  <r>
    <x v="880"/>
    <x v="2"/>
    <x v="1"/>
    <n v="83.7"/>
    <x v="589"/>
    <x v="36"/>
    <d v="2025-02-08T00:00:00"/>
    <x v="2"/>
    <x v="3"/>
    <x v="2"/>
    <x v="0"/>
    <x v="3"/>
    <x v="1"/>
    <x v="5"/>
    <x v="2"/>
  </r>
  <r>
    <x v="881"/>
    <x v="1"/>
    <x v="9"/>
    <n v="35.1"/>
    <x v="766"/>
    <x v="36"/>
    <d v="2025-02-07T00:00:00"/>
    <x v="2"/>
    <x v="0"/>
    <x v="0"/>
    <x v="0"/>
    <x v="3"/>
    <x v="3"/>
    <x v="5"/>
    <x v="2"/>
  </r>
  <r>
    <x v="882"/>
    <x v="16"/>
    <x v="8"/>
    <n v="74"/>
    <x v="767"/>
    <x v="36"/>
    <d v="2025-02-07T00:00:00"/>
    <x v="2"/>
    <x v="4"/>
    <x v="0"/>
    <x v="0"/>
    <x v="37"/>
    <x v="3"/>
    <x v="5"/>
    <x v="2"/>
  </r>
  <r>
    <x v="883"/>
    <x v="6"/>
    <x v="25"/>
    <n v="55.5"/>
    <x v="768"/>
    <x v="36"/>
    <d v="2025-02-09T00:00:00"/>
    <x v="1"/>
    <x v="3"/>
    <x v="0"/>
    <x v="0"/>
    <x v="49"/>
    <x v="2"/>
    <x v="5"/>
    <x v="1"/>
  </r>
  <r>
    <x v="884"/>
    <x v="11"/>
    <x v="1"/>
    <n v="38.9"/>
    <x v="482"/>
    <x v="36"/>
    <d v="2025-02-08T00:00:00"/>
    <x v="2"/>
    <x v="1"/>
    <x v="2"/>
    <x v="0"/>
    <x v="25"/>
    <x v="1"/>
    <x v="5"/>
    <x v="2"/>
  </r>
  <r>
    <x v="885"/>
    <x v="16"/>
    <x v="1"/>
    <n v="64.599999999999994"/>
    <x v="769"/>
    <x v="36"/>
    <d v="2025-02-13T00:00:00"/>
    <x v="1"/>
    <x v="2"/>
    <x v="1"/>
    <x v="0"/>
    <x v="25"/>
    <x v="6"/>
    <x v="5"/>
    <x v="1"/>
  </r>
  <r>
    <x v="886"/>
    <x v="2"/>
    <x v="2"/>
    <n v="95.3"/>
    <x v="770"/>
    <x v="36"/>
    <d v="2025-02-07T00:00:00"/>
    <x v="1"/>
    <x v="0"/>
    <x v="0"/>
    <x v="0"/>
    <x v="5"/>
    <x v="3"/>
    <x v="5"/>
    <x v="1"/>
  </r>
  <r>
    <x v="887"/>
    <x v="13"/>
    <x v="2"/>
    <n v="25.8"/>
    <x v="771"/>
    <x v="36"/>
    <d v="2025-02-07T00:00:00"/>
    <x v="2"/>
    <x v="1"/>
    <x v="1"/>
    <x v="0"/>
    <x v="6"/>
    <x v="3"/>
    <x v="5"/>
    <x v="2"/>
  </r>
  <r>
    <x v="888"/>
    <x v="0"/>
    <x v="1"/>
    <n v="11.6"/>
    <x v="772"/>
    <x v="36"/>
    <d v="2025-02-10T00:00:00"/>
    <x v="2"/>
    <x v="1"/>
    <x v="1"/>
    <x v="0"/>
    <x v="6"/>
    <x v="5"/>
    <x v="5"/>
    <x v="2"/>
  </r>
  <r>
    <x v="889"/>
    <x v="7"/>
    <x v="0"/>
    <n v="52.3"/>
    <x v="773"/>
    <x v="36"/>
    <d v="2025-02-07T00:00:00"/>
    <x v="2"/>
    <x v="1"/>
    <x v="0"/>
    <x v="0"/>
    <x v="8"/>
    <x v="3"/>
    <x v="5"/>
    <x v="2"/>
  </r>
  <r>
    <x v="890"/>
    <x v="2"/>
    <x v="7"/>
    <n v="112.2"/>
    <x v="774"/>
    <x v="36"/>
    <d v="2025-02-07T00:00:00"/>
    <x v="2"/>
    <x v="1"/>
    <x v="1"/>
    <x v="0"/>
    <x v="8"/>
    <x v="3"/>
    <x v="5"/>
    <x v="2"/>
  </r>
  <r>
    <x v="891"/>
    <x v="4"/>
    <x v="9"/>
    <n v="34.6"/>
    <x v="775"/>
    <x v="36"/>
    <d v="2025-02-08T00:00:00"/>
    <x v="1"/>
    <x v="2"/>
    <x v="0"/>
    <x v="0"/>
    <x v="8"/>
    <x v="1"/>
    <x v="5"/>
    <x v="1"/>
  </r>
  <r>
    <x v="892"/>
    <x v="14"/>
    <x v="12"/>
    <n v="20.100000000000001"/>
    <x v="48"/>
    <x v="36"/>
    <d v="2025-02-12T00:00:00"/>
    <x v="1"/>
    <x v="1"/>
    <x v="2"/>
    <x v="0"/>
    <x v="8"/>
    <x v="4"/>
    <x v="5"/>
    <x v="1"/>
  </r>
  <r>
    <x v="893"/>
    <x v="2"/>
    <x v="12"/>
    <n v="56.4"/>
    <x v="776"/>
    <x v="36"/>
    <d v="2025-02-08T00:00:00"/>
    <x v="2"/>
    <x v="2"/>
    <x v="0"/>
    <x v="0"/>
    <x v="10"/>
    <x v="1"/>
    <x v="5"/>
    <x v="2"/>
  </r>
  <r>
    <x v="894"/>
    <x v="13"/>
    <x v="11"/>
    <n v="55.3"/>
    <x v="777"/>
    <x v="36"/>
    <d v="2025-02-08T00:00:00"/>
    <x v="2"/>
    <x v="1"/>
    <x v="4"/>
    <x v="0"/>
    <x v="11"/>
    <x v="1"/>
    <x v="5"/>
    <x v="2"/>
  </r>
  <r>
    <x v="895"/>
    <x v="2"/>
    <x v="31"/>
    <n v="75.5"/>
    <x v="778"/>
    <x v="36"/>
    <d v="2025-02-07T00:00:00"/>
    <x v="2"/>
    <x v="0"/>
    <x v="0"/>
    <x v="0"/>
    <x v="11"/>
    <x v="3"/>
    <x v="5"/>
    <x v="2"/>
  </r>
  <r>
    <x v="896"/>
    <x v="8"/>
    <x v="0"/>
    <n v="23.6"/>
    <x v="779"/>
    <x v="36"/>
    <d v="2025-02-11T00:00:00"/>
    <x v="2"/>
    <x v="0"/>
    <x v="0"/>
    <x v="0"/>
    <x v="19"/>
    <x v="0"/>
    <x v="5"/>
    <x v="2"/>
  </r>
  <r>
    <x v="897"/>
    <x v="9"/>
    <x v="1"/>
    <n v="70.7"/>
    <x v="780"/>
    <x v="36"/>
    <d v="2025-02-08T00:00:00"/>
    <x v="2"/>
    <x v="2"/>
    <x v="0"/>
    <x v="0"/>
    <x v="19"/>
    <x v="1"/>
    <x v="5"/>
    <x v="2"/>
  </r>
  <r>
    <x v="898"/>
    <x v="12"/>
    <x v="1"/>
    <n v="43.2"/>
    <x v="781"/>
    <x v="36"/>
    <d v="2025-02-07T00:00:00"/>
    <x v="2"/>
    <x v="2"/>
    <x v="0"/>
    <x v="0"/>
    <x v="31"/>
    <x v="3"/>
    <x v="5"/>
    <x v="2"/>
  </r>
  <r>
    <x v="899"/>
    <x v="9"/>
    <x v="11"/>
    <n v="70"/>
    <x v="782"/>
    <x v="36"/>
    <d v="2025-02-07T00:00:00"/>
    <x v="0"/>
    <x v="1"/>
    <x v="0"/>
    <x v="0"/>
    <x v="52"/>
    <x v="3"/>
    <x v="5"/>
    <x v="0"/>
  </r>
  <r>
    <x v="900"/>
    <x v="0"/>
    <x v="1"/>
    <n v="20.5"/>
    <x v="783"/>
    <x v="36"/>
    <d v="2025-02-08T00:00:00"/>
    <x v="2"/>
    <x v="2"/>
    <x v="4"/>
    <x v="0"/>
    <x v="13"/>
    <x v="1"/>
    <x v="5"/>
    <x v="2"/>
  </r>
  <r>
    <x v="901"/>
    <x v="0"/>
    <x v="12"/>
    <n v="29.1"/>
    <x v="565"/>
    <x v="36"/>
    <d v="2025-02-07T00:00:00"/>
    <x v="2"/>
    <x v="3"/>
    <x v="0"/>
    <x v="0"/>
    <x v="28"/>
    <x v="3"/>
    <x v="5"/>
    <x v="2"/>
  </r>
  <r>
    <x v="902"/>
    <x v="6"/>
    <x v="11"/>
    <n v="53.6"/>
    <x v="784"/>
    <x v="36"/>
    <d v="2025-02-07T00:00:00"/>
    <x v="1"/>
    <x v="2"/>
    <x v="1"/>
    <x v="0"/>
    <x v="3"/>
    <x v="3"/>
    <x v="5"/>
    <x v="1"/>
  </r>
  <r>
    <x v="903"/>
    <x v="6"/>
    <x v="9"/>
    <n v="72.3"/>
    <x v="785"/>
    <x v="36"/>
    <d v="2025-02-08T00:00:00"/>
    <x v="2"/>
    <x v="1"/>
    <x v="0"/>
    <x v="0"/>
    <x v="3"/>
    <x v="1"/>
    <x v="5"/>
    <x v="2"/>
  </r>
  <r>
    <x v="904"/>
    <x v="13"/>
    <x v="12"/>
    <n v="22.6"/>
    <x v="786"/>
    <x v="36"/>
    <d v="2025-02-09T00:00:00"/>
    <x v="3"/>
    <x v="0"/>
    <x v="1"/>
    <x v="0"/>
    <x v="3"/>
    <x v="2"/>
    <x v="5"/>
    <x v="0"/>
  </r>
  <r>
    <x v="905"/>
    <x v="9"/>
    <x v="1"/>
    <n v="44.2"/>
    <x v="787"/>
    <x v="36"/>
    <d v="2025-02-10T00:00:00"/>
    <x v="0"/>
    <x v="2"/>
    <x v="4"/>
    <x v="0"/>
    <x v="3"/>
    <x v="5"/>
    <x v="5"/>
    <x v="0"/>
  </r>
  <r>
    <x v="906"/>
    <x v="9"/>
    <x v="2"/>
    <n v="94.1"/>
    <x v="788"/>
    <x v="36"/>
    <d v="2025-02-19T00:00:00"/>
    <x v="2"/>
    <x v="2"/>
    <x v="2"/>
    <x v="0"/>
    <x v="3"/>
    <x v="10"/>
    <x v="5"/>
    <x v="2"/>
  </r>
  <r>
    <x v="907"/>
    <x v="8"/>
    <x v="2"/>
    <n v="17.899999999999999"/>
    <x v="789"/>
    <x v="36"/>
    <d v="2025-02-08T00:00:00"/>
    <x v="1"/>
    <x v="1"/>
    <x v="1"/>
    <x v="0"/>
    <x v="3"/>
    <x v="1"/>
    <x v="5"/>
    <x v="1"/>
  </r>
  <r>
    <x v="908"/>
    <x v="12"/>
    <x v="3"/>
    <n v="52.7"/>
    <x v="790"/>
    <x v="36"/>
    <d v="2025-02-07T00:00:00"/>
    <x v="1"/>
    <x v="1"/>
    <x v="1"/>
    <x v="0"/>
    <x v="3"/>
    <x v="3"/>
    <x v="5"/>
    <x v="1"/>
  </r>
  <r>
    <x v="909"/>
    <x v="8"/>
    <x v="0"/>
    <n v="36.799999999999997"/>
    <x v="791"/>
    <x v="36"/>
    <d v="2025-02-06T00:00:00"/>
    <x v="0"/>
    <x v="0"/>
    <x v="2"/>
    <x v="0"/>
    <x v="3"/>
    <x v="7"/>
    <x v="5"/>
    <x v="0"/>
  </r>
  <r>
    <x v="910"/>
    <x v="4"/>
    <x v="0"/>
    <n v="52.5"/>
    <x v="413"/>
    <x v="36"/>
    <d v="2025-02-07T00:00:00"/>
    <x v="1"/>
    <x v="0"/>
    <x v="1"/>
    <x v="0"/>
    <x v="6"/>
    <x v="3"/>
    <x v="5"/>
    <x v="1"/>
  </r>
  <r>
    <x v="911"/>
    <x v="2"/>
    <x v="1"/>
    <n v="133.80000000000001"/>
    <x v="792"/>
    <x v="36"/>
    <d v="2025-02-08T00:00:00"/>
    <x v="1"/>
    <x v="0"/>
    <x v="1"/>
    <x v="0"/>
    <x v="7"/>
    <x v="1"/>
    <x v="5"/>
    <x v="1"/>
  </r>
  <r>
    <x v="912"/>
    <x v="6"/>
    <x v="1"/>
    <n v="53.2"/>
    <x v="793"/>
    <x v="36"/>
    <d v="2025-02-08T00:00:00"/>
    <x v="1"/>
    <x v="0"/>
    <x v="0"/>
    <x v="0"/>
    <x v="17"/>
    <x v="1"/>
    <x v="5"/>
    <x v="1"/>
  </r>
  <r>
    <x v="913"/>
    <x v="14"/>
    <x v="13"/>
    <n v="18.7"/>
    <x v="794"/>
    <x v="36"/>
    <d v="2025-02-08T00:00:00"/>
    <x v="0"/>
    <x v="0"/>
    <x v="1"/>
    <x v="0"/>
    <x v="10"/>
    <x v="1"/>
    <x v="5"/>
    <x v="0"/>
  </r>
  <r>
    <x v="914"/>
    <x v="6"/>
    <x v="12"/>
    <n v="108.8"/>
    <x v="795"/>
    <x v="36"/>
    <d v="2025-02-07T00:00:00"/>
    <x v="2"/>
    <x v="3"/>
    <x v="2"/>
    <x v="0"/>
    <x v="11"/>
    <x v="3"/>
    <x v="5"/>
    <x v="2"/>
  </r>
  <r>
    <x v="915"/>
    <x v="15"/>
    <x v="9"/>
    <n v="38.5"/>
    <x v="796"/>
    <x v="36"/>
    <d v="2025-02-10T00:00:00"/>
    <x v="2"/>
    <x v="0"/>
    <x v="1"/>
    <x v="0"/>
    <x v="14"/>
    <x v="5"/>
    <x v="5"/>
    <x v="2"/>
  </r>
  <r>
    <x v="916"/>
    <x v="10"/>
    <x v="7"/>
    <n v="46.5"/>
    <x v="797"/>
    <x v="36"/>
    <d v="2025-02-08T00:00:00"/>
    <x v="1"/>
    <x v="2"/>
    <x v="1"/>
    <x v="0"/>
    <x v="2"/>
    <x v="1"/>
    <x v="5"/>
    <x v="1"/>
  </r>
  <r>
    <x v="917"/>
    <x v="2"/>
    <x v="2"/>
    <n v="75.8"/>
    <x v="129"/>
    <x v="36"/>
    <d v="2025-02-10T00:00:00"/>
    <x v="2"/>
    <x v="1"/>
    <x v="4"/>
    <x v="0"/>
    <x v="44"/>
    <x v="5"/>
    <x v="5"/>
    <x v="2"/>
  </r>
  <r>
    <x v="918"/>
    <x v="8"/>
    <x v="0"/>
    <n v="20.9"/>
    <x v="798"/>
    <x v="36"/>
    <d v="2025-02-10T00:00:00"/>
    <x v="1"/>
    <x v="0"/>
    <x v="0"/>
    <x v="0"/>
    <x v="22"/>
    <x v="5"/>
    <x v="5"/>
    <x v="1"/>
  </r>
  <r>
    <x v="919"/>
    <x v="18"/>
    <x v="2"/>
    <n v="47.4"/>
    <x v="60"/>
    <x v="36"/>
    <d v="2025-02-09T00:00:00"/>
    <x v="2"/>
    <x v="0"/>
    <x v="0"/>
    <x v="0"/>
    <x v="3"/>
    <x v="2"/>
    <x v="5"/>
    <x v="2"/>
  </r>
  <r>
    <x v="920"/>
    <x v="9"/>
    <x v="1"/>
    <n v="53.8"/>
    <x v="799"/>
    <x v="36"/>
    <d v="2025-02-07T00:00:00"/>
    <x v="0"/>
    <x v="0"/>
    <x v="1"/>
    <x v="0"/>
    <x v="3"/>
    <x v="3"/>
    <x v="5"/>
    <x v="0"/>
  </r>
  <r>
    <x v="921"/>
    <x v="8"/>
    <x v="2"/>
    <n v="24.6"/>
    <x v="800"/>
    <x v="36"/>
    <d v="2025-02-08T00:00:00"/>
    <x v="3"/>
    <x v="1"/>
    <x v="2"/>
    <x v="0"/>
    <x v="3"/>
    <x v="1"/>
    <x v="5"/>
    <x v="0"/>
  </r>
  <r>
    <x v="922"/>
    <x v="9"/>
    <x v="2"/>
    <n v="70.900000000000006"/>
    <x v="801"/>
    <x v="36"/>
    <d v="2025-02-11T00:00:00"/>
    <x v="2"/>
    <x v="2"/>
    <x v="2"/>
    <x v="0"/>
    <x v="3"/>
    <x v="0"/>
    <x v="5"/>
    <x v="2"/>
  </r>
  <r>
    <x v="923"/>
    <x v="17"/>
    <x v="2"/>
    <n v="31.9"/>
    <x v="802"/>
    <x v="36"/>
    <d v="2025-02-08T00:00:00"/>
    <x v="2"/>
    <x v="2"/>
    <x v="2"/>
    <x v="0"/>
    <x v="3"/>
    <x v="1"/>
    <x v="5"/>
    <x v="2"/>
  </r>
  <r>
    <x v="924"/>
    <x v="0"/>
    <x v="1"/>
    <n v="20.399999999999999"/>
    <x v="803"/>
    <x v="36"/>
    <d v="2025-02-10T00:00:00"/>
    <x v="1"/>
    <x v="3"/>
    <x v="2"/>
    <x v="0"/>
    <x v="3"/>
    <x v="5"/>
    <x v="5"/>
    <x v="1"/>
  </r>
  <r>
    <x v="925"/>
    <x v="8"/>
    <x v="1"/>
    <n v="18.600000000000001"/>
    <x v="804"/>
    <x v="36"/>
    <d v="2025-02-08T00:00:00"/>
    <x v="0"/>
    <x v="0"/>
    <x v="1"/>
    <x v="0"/>
    <x v="3"/>
    <x v="1"/>
    <x v="5"/>
    <x v="0"/>
  </r>
  <r>
    <x v="926"/>
    <x v="4"/>
    <x v="9"/>
    <n v="48.3"/>
    <x v="805"/>
    <x v="36"/>
    <d v="2025-02-08T00:00:00"/>
    <x v="2"/>
    <x v="1"/>
    <x v="0"/>
    <x v="0"/>
    <x v="3"/>
    <x v="1"/>
    <x v="5"/>
    <x v="2"/>
  </r>
  <r>
    <x v="927"/>
    <x v="0"/>
    <x v="12"/>
    <n v="27.7"/>
    <x v="806"/>
    <x v="36"/>
    <d v="2025-02-08T00:00:00"/>
    <x v="2"/>
    <x v="0"/>
    <x v="0"/>
    <x v="0"/>
    <x v="3"/>
    <x v="1"/>
    <x v="5"/>
    <x v="2"/>
  </r>
  <r>
    <x v="928"/>
    <x v="4"/>
    <x v="9"/>
    <n v="22.5"/>
    <x v="158"/>
    <x v="36"/>
    <d v="2025-02-08T00:00:00"/>
    <x v="2"/>
    <x v="4"/>
    <x v="2"/>
    <x v="0"/>
    <x v="3"/>
    <x v="1"/>
    <x v="5"/>
    <x v="2"/>
  </r>
  <r>
    <x v="929"/>
    <x v="17"/>
    <x v="9"/>
    <n v="21.6"/>
    <x v="807"/>
    <x v="36"/>
    <d v="2025-02-14T00:00:00"/>
    <x v="2"/>
    <x v="0"/>
    <x v="1"/>
    <x v="0"/>
    <x v="3"/>
    <x v="9"/>
    <x v="5"/>
    <x v="2"/>
  </r>
  <r>
    <x v="930"/>
    <x v="10"/>
    <x v="3"/>
    <n v="26.3"/>
    <x v="808"/>
    <x v="36"/>
    <d v="2025-02-06T00:00:00"/>
    <x v="2"/>
    <x v="2"/>
    <x v="1"/>
    <x v="0"/>
    <x v="3"/>
    <x v="7"/>
    <x v="5"/>
    <x v="2"/>
  </r>
  <r>
    <x v="931"/>
    <x v="6"/>
    <x v="3"/>
    <n v="103"/>
    <x v="809"/>
    <x v="37"/>
    <d v="2025-02-08T00:00:00"/>
    <x v="1"/>
    <x v="0"/>
    <x v="2"/>
    <x v="0"/>
    <x v="6"/>
    <x v="3"/>
    <x v="5"/>
    <x v="1"/>
  </r>
  <r>
    <x v="932"/>
    <x v="5"/>
    <x v="20"/>
    <n v="46.6"/>
    <x v="810"/>
    <x v="37"/>
    <d v="2025-02-08T00:00:00"/>
    <x v="2"/>
    <x v="0"/>
    <x v="1"/>
    <x v="0"/>
    <x v="6"/>
    <x v="3"/>
    <x v="5"/>
    <x v="2"/>
  </r>
  <r>
    <x v="933"/>
    <x v="0"/>
    <x v="9"/>
    <n v="32.200000000000003"/>
    <x v="811"/>
    <x v="37"/>
    <d v="2025-02-10T00:00:00"/>
    <x v="2"/>
    <x v="0"/>
    <x v="2"/>
    <x v="0"/>
    <x v="36"/>
    <x v="2"/>
    <x v="5"/>
    <x v="2"/>
  </r>
  <r>
    <x v="934"/>
    <x v="8"/>
    <x v="2"/>
    <n v="22"/>
    <x v="812"/>
    <x v="37"/>
    <d v="2025-02-14T00:00:00"/>
    <x v="1"/>
    <x v="1"/>
    <x v="0"/>
    <x v="0"/>
    <x v="7"/>
    <x v="6"/>
    <x v="5"/>
    <x v="1"/>
  </r>
  <r>
    <x v="935"/>
    <x v="0"/>
    <x v="1"/>
    <n v="25.2"/>
    <x v="813"/>
    <x v="37"/>
    <d v="2025-02-11T00:00:00"/>
    <x v="2"/>
    <x v="0"/>
    <x v="0"/>
    <x v="0"/>
    <x v="7"/>
    <x v="5"/>
    <x v="5"/>
    <x v="2"/>
  </r>
  <r>
    <x v="936"/>
    <x v="1"/>
    <x v="13"/>
    <n v="68.7"/>
    <x v="814"/>
    <x v="37"/>
    <d v="2025-02-09T00:00:00"/>
    <x v="1"/>
    <x v="4"/>
    <x v="0"/>
    <x v="0"/>
    <x v="8"/>
    <x v="1"/>
    <x v="5"/>
    <x v="1"/>
  </r>
  <r>
    <x v="937"/>
    <x v="0"/>
    <x v="2"/>
    <n v="22.2"/>
    <x v="815"/>
    <x v="37"/>
    <d v="2025-02-10T00:00:00"/>
    <x v="1"/>
    <x v="2"/>
    <x v="2"/>
    <x v="0"/>
    <x v="8"/>
    <x v="2"/>
    <x v="5"/>
    <x v="1"/>
  </r>
  <r>
    <x v="938"/>
    <x v="1"/>
    <x v="3"/>
    <n v="36"/>
    <x v="816"/>
    <x v="37"/>
    <d v="2025-02-08T00:00:00"/>
    <x v="2"/>
    <x v="1"/>
    <x v="0"/>
    <x v="0"/>
    <x v="8"/>
    <x v="3"/>
    <x v="5"/>
    <x v="2"/>
  </r>
  <r>
    <x v="939"/>
    <x v="18"/>
    <x v="0"/>
    <n v="50.6"/>
    <x v="578"/>
    <x v="37"/>
    <d v="2025-02-09T00:00:00"/>
    <x v="2"/>
    <x v="0"/>
    <x v="1"/>
    <x v="0"/>
    <x v="8"/>
    <x v="1"/>
    <x v="5"/>
    <x v="2"/>
  </r>
  <r>
    <x v="940"/>
    <x v="15"/>
    <x v="1"/>
    <n v="44.9"/>
    <x v="817"/>
    <x v="37"/>
    <d v="2025-02-09T00:00:00"/>
    <x v="1"/>
    <x v="0"/>
    <x v="1"/>
    <x v="0"/>
    <x v="8"/>
    <x v="1"/>
    <x v="5"/>
    <x v="1"/>
  </r>
  <r>
    <x v="941"/>
    <x v="6"/>
    <x v="2"/>
    <n v="71.599999999999994"/>
    <x v="818"/>
    <x v="37"/>
    <d v="2025-02-11T00:00:00"/>
    <x v="1"/>
    <x v="1"/>
    <x v="2"/>
    <x v="0"/>
    <x v="10"/>
    <x v="5"/>
    <x v="5"/>
    <x v="1"/>
  </r>
  <r>
    <x v="942"/>
    <x v="6"/>
    <x v="13"/>
    <n v="51.5"/>
    <x v="15"/>
    <x v="37"/>
    <d v="2025-02-09T00:00:00"/>
    <x v="0"/>
    <x v="4"/>
    <x v="0"/>
    <x v="0"/>
    <x v="11"/>
    <x v="1"/>
    <x v="5"/>
    <x v="0"/>
  </r>
  <r>
    <x v="943"/>
    <x v="7"/>
    <x v="9"/>
    <n v="55.5"/>
    <x v="819"/>
    <x v="37"/>
    <d v="2025-02-08T00:00:00"/>
    <x v="1"/>
    <x v="1"/>
    <x v="1"/>
    <x v="0"/>
    <x v="11"/>
    <x v="3"/>
    <x v="5"/>
    <x v="1"/>
  </r>
  <r>
    <x v="944"/>
    <x v="6"/>
    <x v="0"/>
    <n v="51.7"/>
    <x v="733"/>
    <x v="37"/>
    <d v="2025-02-21T00:00:00"/>
    <x v="1"/>
    <x v="2"/>
    <x v="0"/>
    <x v="0"/>
    <x v="19"/>
    <x v="12"/>
    <x v="5"/>
    <x v="1"/>
  </r>
  <r>
    <x v="945"/>
    <x v="8"/>
    <x v="38"/>
    <n v="45.5"/>
    <x v="820"/>
    <x v="37"/>
    <d v="2025-02-08T00:00:00"/>
    <x v="2"/>
    <x v="3"/>
    <x v="2"/>
    <x v="0"/>
    <x v="19"/>
    <x v="3"/>
    <x v="5"/>
    <x v="2"/>
  </r>
  <r>
    <x v="946"/>
    <x v="8"/>
    <x v="1"/>
    <n v="33.799999999999997"/>
    <x v="821"/>
    <x v="37"/>
    <d v="2025-02-13T00:00:00"/>
    <x v="2"/>
    <x v="3"/>
    <x v="0"/>
    <x v="0"/>
    <x v="20"/>
    <x v="4"/>
    <x v="5"/>
    <x v="2"/>
  </r>
  <r>
    <x v="947"/>
    <x v="3"/>
    <x v="2"/>
    <n v="76.5"/>
    <x v="822"/>
    <x v="37"/>
    <d v="2025-02-08T00:00:00"/>
    <x v="2"/>
    <x v="0"/>
    <x v="1"/>
    <x v="0"/>
    <x v="21"/>
    <x v="3"/>
    <x v="5"/>
    <x v="2"/>
  </r>
  <r>
    <x v="948"/>
    <x v="9"/>
    <x v="2"/>
    <n v="42.6"/>
    <x v="823"/>
    <x v="37"/>
    <d v="2025-02-13T00:00:00"/>
    <x v="2"/>
    <x v="2"/>
    <x v="2"/>
    <x v="0"/>
    <x v="2"/>
    <x v="4"/>
    <x v="5"/>
    <x v="2"/>
  </r>
  <r>
    <x v="949"/>
    <x v="6"/>
    <x v="2"/>
    <n v="44.1"/>
    <x v="431"/>
    <x v="37"/>
    <d v="2025-02-09T00:00:00"/>
    <x v="2"/>
    <x v="1"/>
    <x v="1"/>
    <x v="0"/>
    <x v="22"/>
    <x v="1"/>
    <x v="5"/>
    <x v="2"/>
  </r>
  <r>
    <x v="950"/>
    <x v="8"/>
    <x v="1"/>
    <n v="40.9"/>
    <x v="673"/>
    <x v="37"/>
    <d v="2025-02-11T00:00:00"/>
    <x v="1"/>
    <x v="0"/>
    <x v="0"/>
    <x v="0"/>
    <x v="3"/>
    <x v="5"/>
    <x v="5"/>
    <x v="1"/>
  </r>
  <r>
    <x v="951"/>
    <x v="9"/>
    <x v="2"/>
    <n v="49.1"/>
    <x v="824"/>
    <x v="37"/>
    <d v="2025-02-11T00:00:00"/>
    <x v="2"/>
    <x v="3"/>
    <x v="1"/>
    <x v="0"/>
    <x v="3"/>
    <x v="5"/>
    <x v="5"/>
    <x v="2"/>
  </r>
  <r>
    <x v="952"/>
    <x v="18"/>
    <x v="0"/>
    <n v="85.3"/>
    <x v="825"/>
    <x v="37"/>
    <d v="2025-02-11T00:00:00"/>
    <x v="1"/>
    <x v="1"/>
    <x v="1"/>
    <x v="0"/>
    <x v="3"/>
    <x v="5"/>
    <x v="5"/>
    <x v="1"/>
  </r>
  <r>
    <x v="953"/>
    <x v="6"/>
    <x v="12"/>
    <n v="43.1"/>
    <x v="826"/>
    <x v="38"/>
    <d v="2025-02-11T00:00:00"/>
    <x v="1"/>
    <x v="0"/>
    <x v="0"/>
    <x v="0"/>
    <x v="3"/>
    <x v="2"/>
    <x v="5"/>
    <x v="1"/>
  </r>
  <r>
    <x v="954"/>
    <x v="4"/>
    <x v="12"/>
    <n v="46.2"/>
    <x v="827"/>
    <x v="38"/>
    <d v="2025-02-09T00:00:00"/>
    <x v="1"/>
    <x v="2"/>
    <x v="0"/>
    <x v="0"/>
    <x v="3"/>
    <x v="3"/>
    <x v="5"/>
    <x v="1"/>
  </r>
  <r>
    <x v="955"/>
    <x v="1"/>
    <x v="0"/>
    <n v="74.400000000000006"/>
    <x v="610"/>
    <x v="38"/>
    <d v="2025-02-10T00:00:00"/>
    <x v="1"/>
    <x v="4"/>
    <x v="2"/>
    <x v="0"/>
    <x v="3"/>
    <x v="1"/>
    <x v="5"/>
    <x v="1"/>
  </r>
  <r>
    <x v="956"/>
    <x v="17"/>
    <x v="1"/>
    <n v="51.2"/>
    <x v="298"/>
    <x v="38"/>
    <d v="2025-02-09T00:00:00"/>
    <x v="1"/>
    <x v="1"/>
    <x v="0"/>
    <x v="0"/>
    <x v="3"/>
    <x v="3"/>
    <x v="5"/>
    <x v="1"/>
  </r>
  <r>
    <x v="957"/>
    <x v="14"/>
    <x v="12"/>
    <n v="11.8"/>
    <x v="828"/>
    <x v="38"/>
    <d v="2025-02-08T00:00:00"/>
    <x v="1"/>
    <x v="2"/>
    <x v="0"/>
    <x v="0"/>
    <x v="3"/>
    <x v="7"/>
    <x v="5"/>
    <x v="1"/>
  </r>
  <r>
    <x v="958"/>
    <x v="10"/>
    <x v="6"/>
    <n v="40.799999999999997"/>
    <x v="829"/>
    <x v="38"/>
    <d v="2025-02-09T00:00:00"/>
    <x v="2"/>
    <x v="3"/>
    <x v="2"/>
    <x v="0"/>
    <x v="3"/>
    <x v="3"/>
    <x v="5"/>
    <x v="2"/>
  </r>
  <r>
    <x v="959"/>
    <x v="8"/>
    <x v="0"/>
    <n v="24.7"/>
    <x v="830"/>
    <x v="38"/>
    <d v="2025-02-10T00:00:00"/>
    <x v="2"/>
    <x v="2"/>
    <x v="1"/>
    <x v="0"/>
    <x v="3"/>
    <x v="1"/>
    <x v="5"/>
    <x v="2"/>
  </r>
  <r>
    <x v="960"/>
    <x v="8"/>
    <x v="3"/>
    <n v="22.1"/>
    <x v="831"/>
    <x v="38"/>
    <d v="2025-02-08T00:00:00"/>
    <x v="2"/>
    <x v="2"/>
    <x v="4"/>
    <x v="0"/>
    <x v="3"/>
    <x v="7"/>
    <x v="5"/>
    <x v="2"/>
  </r>
  <r>
    <x v="961"/>
    <x v="8"/>
    <x v="0"/>
    <n v="18.100000000000001"/>
    <x v="832"/>
    <x v="38"/>
    <d v="2025-02-12T00:00:00"/>
    <x v="1"/>
    <x v="3"/>
    <x v="2"/>
    <x v="0"/>
    <x v="3"/>
    <x v="5"/>
    <x v="5"/>
    <x v="1"/>
  </r>
  <r>
    <x v="962"/>
    <x v="17"/>
    <x v="1"/>
    <n v="58.8"/>
    <x v="833"/>
    <x v="38"/>
    <d v="2025-02-11T00:00:00"/>
    <x v="2"/>
    <x v="0"/>
    <x v="0"/>
    <x v="0"/>
    <x v="25"/>
    <x v="2"/>
    <x v="5"/>
    <x v="2"/>
  </r>
  <r>
    <x v="963"/>
    <x v="18"/>
    <x v="1"/>
    <n v="30.8"/>
    <x v="834"/>
    <x v="38"/>
    <d v="2025-02-09T00:00:00"/>
    <x v="2"/>
    <x v="0"/>
    <x v="0"/>
    <x v="0"/>
    <x v="6"/>
    <x v="3"/>
    <x v="5"/>
    <x v="2"/>
  </r>
  <r>
    <x v="964"/>
    <x v="0"/>
    <x v="1"/>
    <n v="12"/>
    <x v="835"/>
    <x v="38"/>
    <d v="2025-02-12T00:00:00"/>
    <x v="2"/>
    <x v="0"/>
    <x v="0"/>
    <x v="0"/>
    <x v="6"/>
    <x v="5"/>
    <x v="5"/>
    <x v="2"/>
  </r>
  <r>
    <x v="965"/>
    <x v="0"/>
    <x v="12"/>
    <n v="13.6"/>
    <x v="630"/>
    <x v="38"/>
    <d v="2025-02-11T00:00:00"/>
    <x v="1"/>
    <x v="2"/>
    <x v="0"/>
    <x v="0"/>
    <x v="6"/>
    <x v="2"/>
    <x v="5"/>
    <x v="1"/>
  </r>
  <r>
    <x v="966"/>
    <x v="0"/>
    <x v="0"/>
    <n v="17.899999999999999"/>
    <x v="836"/>
    <x v="38"/>
    <d v="2025-02-09T00:00:00"/>
    <x v="1"/>
    <x v="3"/>
    <x v="0"/>
    <x v="0"/>
    <x v="6"/>
    <x v="3"/>
    <x v="5"/>
    <x v="1"/>
  </r>
  <r>
    <x v="967"/>
    <x v="9"/>
    <x v="1"/>
    <n v="38.6"/>
    <x v="837"/>
    <x v="38"/>
    <d v="2025-02-12T00:00:00"/>
    <x v="2"/>
    <x v="4"/>
    <x v="0"/>
    <x v="0"/>
    <x v="7"/>
    <x v="5"/>
    <x v="5"/>
    <x v="2"/>
  </r>
  <r>
    <x v="968"/>
    <x v="5"/>
    <x v="9"/>
    <n v="32.700000000000003"/>
    <x v="838"/>
    <x v="38"/>
    <d v="2025-02-09T00:00:00"/>
    <x v="1"/>
    <x v="2"/>
    <x v="2"/>
    <x v="0"/>
    <x v="8"/>
    <x v="3"/>
    <x v="5"/>
    <x v="1"/>
  </r>
  <r>
    <x v="969"/>
    <x v="3"/>
    <x v="1"/>
    <n v="111.4"/>
    <x v="839"/>
    <x v="38"/>
    <d v="2025-02-09T00:00:00"/>
    <x v="2"/>
    <x v="1"/>
    <x v="0"/>
    <x v="0"/>
    <x v="8"/>
    <x v="3"/>
    <x v="5"/>
    <x v="2"/>
  </r>
  <r>
    <x v="970"/>
    <x v="2"/>
    <x v="13"/>
    <n v="80.3"/>
    <x v="840"/>
    <x v="38"/>
    <d v="2025-02-10T00:00:00"/>
    <x v="2"/>
    <x v="1"/>
    <x v="0"/>
    <x v="0"/>
    <x v="8"/>
    <x v="1"/>
    <x v="5"/>
    <x v="2"/>
  </r>
  <r>
    <x v="971"/>
    <x v="6"/>
    <x v="1"/>
    <n v="58.9"/>
    <x v="841"/>
    <x v="38"/>
    <d v="2025-02-09T00:00:00"/>
    <x v="1"/>
    <x v="1"/>
    <x v="0"/>
    <x v="0"/>
    <x v="8"/>
    <x v="3"/>
    <x v="5"/>
    <x v="1"/>
  </r>
  <r>
    <x v="972"/>
    <x v="6"/>
    <x v="2"/>
    <n v="51.9"/>
    <x v="515"/>
    <x v="38"/>
    <d v="2025-02-10T00:00:00"/>
    <x v="2"/>
    <x v="1"/>
    <x v="4"/>
    <x v="0"/>
    <x v="8"/>
    <x v="1"/>
    <x v="5"/>
    <x v="2"/>
  </r>
  <r>
    <x v="973"/>
    <x v="2"/>
    <x v="2"/>
    <n v="50.3"/>
    <x v="842"/>
    <x v="38"/>
    <d v="2025-02-09T00:00:00"/>
    <x v="1"/>
    <x v="2"/>
    <x v="0"/>
    <x v="0"/>
    <x v="17"/>
    <x v="3"/>
    <x v="5"/>
    <x v="1"/>
  </r>
  <r>
    <x v="974"/>
    <x v="11"/>
    <x v="13"/>
    <n v="45"/>
    <x v="843"/>
    <x v="38"/>
    <d v="2025-02-14T00:00:00"/>
    <x v="2"/>
    <x v="3"/>
    <x v="0"/>
    <x v="0"/>
    <x v="9"/>
    <x v="4"/>
    <x v="5"/>
    <x v="2"/>
  </r>
  <r>
    <x v="975"/>
    <x v="10"/>
    <x v="13"/>
    <n v="44.7"/>
    <x v="844"/>
    <x v="38"/>
    <d v="2025-02-10T00:00:00"/>
    <x v="2"/>
    <x v="2"/>
    <x v="0"/>
    <x v="0"/>
    <x v="11"/>
    <x v="1"/>
    <x v="5"/>
    <x v="2"/>
  </r>
  <r>
    <x v="976"/>
    <x v="18"/>
    <x v="20"/>
    <n v="33"/>
    <x v="845"/>
    <x v="38"/>
    <d v="2025-02-09T00:00:00"/>
    <x v="2"/>
    <x v="2"/>
    <x v="0"/>
    <x v="0"/>
    <x v="11"/>
    <x v="3"/>
    <x v="5"/>
    <x v="2"/>
  </r>
  <r>
    <x v="977"/>
    <x v="1"/>
    <x v="9"/>
    <n v="44.9"/>
    <x v="846"/>
    <x v="38"/>
    <d v="2025-02-11T00:00:00"/>
    <x v="2"/>
    <x v="2"/>
    <x v="2"/>
    <x v="0"/>
    <x v="18"/>
    <x v="2"/>
    <x v="5"/>
    <x v="2"/>
  </r>
  <r>
    <x v="978"/>
    <x v="10"/>
    <x v="1"/>
    <n v="34.6"/>
    <x v="564"/>
    <x v="38"/>
    <d v="2025-02-12T00:00:00"/>
    <x v="2"/>
    <x v="0"/>
    <x v="1"/>
    <x v="0"/>
    <x v="19"/>
    <x v="5"/>
    <x v="5"/>
    <x v="2"/>
  </r>
  <r>
    <x v="979"/>
    <x v="7"/>
    <x v="3"/>
    <n v="47.1"/>
    <x v="847"/>
    <x v="38"/>
    <d v="2025-02-13T00:00:00"/>
    <x v="2"/>
    <x v="0"/>
    <x v="0"/>
    <x v="0"/>
    <x v="13"/>
    <x v="0"/>
    <x v="5"/>
    <x v="2"/>
  </r>
  <r>
    <x v="980"/>
    <x v="4"/>
    <x v="9"/>
    <n v="26.1"/>
    <x v="848"/>
    <x v="38"/>
    <d v="2025-02-13T00:00:00"/>
    <x v="1"/>
    <x v="0"/>
    <x v="2"/>
    <x v="0"/>
    <x v="21"/>
    <x v="0"/>
    <x v="5"/>
    <x v="1"/>
  </r>
  <r>
    <x v="981"/>
    <x v="12"/>
    <x v="9"/>
    <n v="66.8"/>
    <x v="849"/>
    <x v="38"/>
    <d v="2025-02-11T00:00:00"/>
    <x v="2"/>
    <x v="0"/>
    <x v="0"/>
    <x v="0"/>
    <x v="21"/>
    <x v="2"/>
    <x v="5"/>
    <x v="2"/>
  </r>
  <r>
    <x v="982"/>
    <x v="2"/>
    <x v="1"/>
    <n v="167.9"/>
    <x v="850"/>
    <x v="38"/>
    <d v="2025-02-09T00:00:00"/>
    <x v="2"/>
    <x v="3"/>
    <x v="2"/>
    <x v="0"/>
    <x v="21"/>
    <x v="3"/>
    <x v="5"/>
    <x v="2"/>
  </r>
  <r>
    <x v="983"/>
    <x v="10"/>
    <x v="11"/>
    <n v="34.6"/>
    <x v="851"/>
    <x v="38"/>
    <d v="2025-02-09T00:00:00"/>
    <x v="2"/>
    <x v="2"/>
    <x v="1"/>
    <x v="0"/>
    <x v="21"/>
    <x v="3"/>
    <x v="5"/>
    <x v="2"/>
  </r>
  <r>
    <x v="984"/>
    <x v="8"/>
    <x v="2"/>
    <n v="35.1"/>
    <x v="852"/>
    <x v="39"/>
    <d v="2025-02-13T00:00:00"/>
    <x v="1"/>
    <x v="4"/>
    <x v="2"/>
    <x v="0"/>
    <x v="1"/>
    <x v="5"/>
    <x v="6"/>
    <x v="1"/>
  </r>
  <r>
    <x v="985"/>
    <x v="6"/>
    <x v="12"/>
    <n v="104.5"/>
    <x v="378"/>
    <x v="39"/>
    <d v="2025-02-10T00:00:00"/>
    <x v="1"/>
    <x v="1"/>
    <x v="1"/>
    <x v="0"/>
    <x v="1"/>
    <x v="3"/>
    <x v="6"/>
    <x v="1"/>
  </r>
  <r>
    <x v="986"/>
    <x v="8"/>
    <x v="0"/>
    <n v="37.9"/>
    <x v="853"/>
    <x v="39"/>
    <d v="2025-02-11T00:00:00"/>
    <x v="0"/>
    <x v="1"/>
    <x v="2"/>
    <x v="0"/>
    <x v="2"/>
    <x v="1"/>
    <x v="6"/>
    <x v="0"/>
  </r>
  <r>
    <x v="987"/>
    <x v="4"/>
    <x v="2"/>
    <n v="25.5"/>
    <x v="514"/>
    <x v="39"/>
    <d v="2025-02-12T00:00:00"/>
    <x v="1"/>
    <x v="3"/>
    <x v="0"/>
    <x v="0"/>
    <x v="2"/>
    <x v="2"/>
    <x v="6"/>
    <x v="1"/>
  </r>
  <r>
    <x v="988"/>
    <x v="0"/>
    <x v="2"/>
    <n v="32"/>
    <x v="854"/>
    <x v="39"/>
    <d v="2025-02-13T00:00:00"/>
    <x v="2"/>
    <x v="1"/>
    <x v="0"/>
    <x v="0"/>
    <x v="22"/>
    <x v="5"/>
    <x v="6"/>
    <x v="2"/>
  </r>
  <r>
    <x v="989"/>
    <x v="1"/>
    <x v="0"/>
    <n v="47.1"/>
    <x v="392"/>
    <x v="39"/>
    <d v="2025-02-10T00:00:00"/>
    <x v="2"/>
    <x v="0"/>
    <x v="0"/>
    <x v="0"/>
    <x v="34"/>
    <x v="3"/>
    <x v="6"/>
    <x v="2"/>
  </r>
  <r>
    <x v="990"/>
    <x v="6"/>
    <x v="1"/>
    <n v="50.6"/>
    <x v="855"/>
    <x v="39"/>
    <d v="2025-02-15T00:00:00"/>
    <x v="0"/>
    <x v="0"/>
    <x v="0"/>
    <x v="0"/>
    <x v="3"/>
    <x v="4"/>
    <x v="6"/>
    <x v="0"/>
  </r>
  <r>
    <x v="991"/>
    <x v="6"/>
    <x v="9"/>
    <n v="81.7"/>
    <x v="856"/>
    <x v="39"/>
    <d v="2025-02-10T00:00:00"/>
    <x v="2"/>
    <x v="1"/>
    <x v="2"/>
    <x v="0"/>
    <x v="3"/>
    <x v="3"/>
    <x v="6"/>
    <x v="2"/>
  </r>
  <r>
    <x v="992"/>
    <x v="5"/>
    <x v="1"/>
    <n v="50.7"/>
    <x v="857"/>
    <x v="39"/>
    <d v="2025-02-10T00:00:00"/>
    <x v="3"/>
    <x v="2"/>
    <x v="2"/>
    <x v="0"/>
    <x v="3"/>
    <x v="3"/>
    <x v="6"/>
    <x v="0"/>
  </r>
  <r>
    <x v="993"/>
    <x v="2"/>
    <x v="10"/>
    <n v="67.3"/>
    <x v="858"/>
    <x v="39"/>
    <d v="2025-02-13T00:00:00"/>
    <x v="2"/>
    <x v="2"/>
    <x v="0"/>
    <x v="0"/>
    <x v="3"/>
    <x v="5"/>
    <x v="6"/>
    <x v="2"/>
  </r>
  <r>
    <x v="994"/>
    <x v="2"/>
    <x v="12"/>
    <n v="64.8"/>
    <x v="629"/>
    <x v="39"/>
    <d v="2025-02-12T00:00:00"/>
    <x v="2"/>
    <x v="3"/>
    <x v="0"/>
    <x v="0"/>
    <x v="3"/>
    <x v="2"/>
    <x v="6"/>
    <x v="2"/>
  </r>
  <r>
    <x v="995"/>
    <x v="5"/>
    <x v="32"/>
    <n v="61.3"/>
    <x v="859"/>
    <x v="39"/>
    <d v="2025-02-10T00:00:00"/>
    <x v="2"/>
    <x v="0"/>
    <x v="2"/>
    <x v="0"/>
    <x v="3"/>
    <x v="3"/>
    <x v="6"/>
    <x v="2"/>
  </r>
  <r>
    <x v="996"/>
    <x v="14"/>
    <x v="0"/>
    <n v="32.9"/>
    <x v="860"/>
    <x v="39"/>
    <d v="2025-02-12T00:00:00"/>
    <x v="2"/>
    <x v="4"/>
    <x v="0"/>
    <x v="0"/>
    <x v="3"/>
    <x v="2"/>
    <x v="6"/>
    <x v="2"/>
  </r>
  <r>
    <x v="997"/>
    <x v="6"/>
    <x v="1"/>
    <n v="100.8"/>
    <x v="861"/>
    <x v="39"/>
    <d v="2025-02-12T00:00:00"/>
    <x v="2"/>
    <x v="0"/>
    <x v="0"/>
    <x v="0"/>
    <x v="3"/>
    <x v="2"/>
    <x v="6"/>
    <x v="2"/>
  </r>
  <r>
    <x v="998"/>
    <x v="8"/>
    <x v="12"/>
    <n v="25.1"/>
    <x v="862"/>
    <x v="39"/>
    <d v="2025-02-11T00:00:00"/>
    <x v="2"/>
    <x v="1"/>
    <x v="0"/>
    <x v="0"/>
    <x v="3"/>
    <x v="1"/>
    <x v="6"/>
    <x v="2"/>
  </r>
  <r>
    <x v="999"/>
    <x v="17"/>
    <x v="0"/>
    <n v="48.5"/>
    <x v="319"/>
    <x v="39"/>
    <d v="2025-02-10T00:00:00"/>
    <x v="2"/>
    <x v="0"/>
    <x v="1"/>
    <x v="0"/>
    <x v="3"/>
    <x v="3"/>
    <x v="6"/>
    <x v="2"/>
  </r>
  <r>
    <x v="1000"/>
    <x v="7"/>
    <x v="1"/>
    <n v="33.6"/>
    <x v="863"/>
    <x v="39"/>
    <d v="2025-02-13T00:00:00"/>
    <x v="2"/>
    <x v="2"/>
    <x v="2"/>
    <x v="0"/>
    <x v="3"/>
    <x v="5"/>
    <x v="6"/>
    <x v="2"/>
  </r>
  <r>
    <x v="1001"/>
    <x v="8"/>
    <x v="0"/>
    <n v="39.299999999999997"/>
    <x v="864"/>
    <x v="39"/>
    <d v="2025-02-20T00:00:00"/>
    <x v="2"/>
    <x v="1"/>
    <x v="1"/>
    <x v="0"/>
    <x v="49"/>
    <x v="11"/>
    <x v="6"/>
    <x v="2"/>
  </r>
  <r>
    <x v="1002"/>
    <x v="4"/>
    <x v="7"/>
    <n v="48.8"/>
    <x v="865"/>
    <x v="39"/>
    <d v="2025-02-11T00:00:00"/>
    <x v="2"/>
    <x v="3"/>
    <x v="1"/>
    <x v="0"/>
    <x v="25"/>
    <x v="1"/>
    <x v="6"/>
    <x v="2"/>
  </r>
  <r>
    <x v="1003"/>
    <x v="6"/>
    <x v="8"/>
    <n v="72.8"/>
    <x v="866"/>
    <x v="39"/>
    <d v="2025-02-11T00:00:00"/>
    <x v="1"/>
    <x v="1"/>
    <x v="2"/>
    <x v="0"/>
    <x v="5"/>
    <x v="1"/>
    <x v="6"/>
    <x v="1"/>
  </r>
  <r>
    <x v="1004"/>
    <x v="10"/>
    <x v="8"/>
    <n v="46.2"/>
    <x v="867"/>
    <x v="39"/>
    <d v="2025-02-10T00:00:00"/>
    <x v="1"/>
    <x v="3"/>
    <x v="4"/>
    <x v="0"/>
    <x v="5"/>
    <x v="3"/>
    <x v="6"/>
    <x v="1"/>
  </r>
  <r>
    <x v="1005"/>
    <x v="4"/>
    <x v="1"/>
    <n v="20.7"/>
    <x v="50"/>
    <x v="39"/>
    <d v="2025-02-10T00:00:00"/>
    <x v="2"/>
    <x v="2"/>
    <x v="3"/>
    <x v="0"/>
    <x v="6"/>
    <x v="3"/>
    <x v="6"/>
    <x v="2"/>
  </r>
  <r>
    <x v="1006"/>
    <x v="0"/>
    <x v="0"/>
    <n v="35.700000000000003"/>
    <x v="519"/>
    <x v="39"/>
    <d v="2025-02-11T00:00:00"/>
    <x v="2"/>
    <x v="3"/>
    <x v="0"/>
    <x v="0"/>
    <x v="6"/>
    <x v="1"/>
    <x v="6"/>
    <x v="2"/>
  </r>
  <r>
    <x v="1007"/>
    <x v="2"/>
    <x v="27"/>
    <n v="166.2"/>
    <x v="868"/>
    <x v="39"/>
    <d v="2025-02-11T00:00:00"/>
    <x v="0"/>
    <x v="2"/>
    <x v="0"/>
    <x v="0"/>
    <x v="7"/>
    <x v="1"/>
    <x v="6"/>
    <x v="0"/>
  </r>
  <r>
    <x v="1008"/>
    <x v="6"/>
    <x v="12"/>
    <n v="85.8"/>
    <x v="869"/>
    <x v="39"/>
    <d v="2025-02-10T00:00:00"/>
    <x v="2"/>
    <x v="1"/>
    <x v="1"/>
    <x v="0"/>
    <x v="7"/>
    <x v="3"/>
    <x v="6"/>
    <x v="2"/>
  </r>
  <r>
    <x v="1009"/>
    <x v="8"/>
    <x v="2"/>
    <n v="26"/>
    <x v="292"/>
    <x v="39"/>
    <d v="2025-02-11T00:00:00"/>
    <x v="3"/>
    <x v="1"/>
    <x v="0"/>
    <x v="0"/>
    <x v="7"/>
    <x v="1"/>
    <x v="6"/>
    <x v="0"/>
  </r>
  <r>
    <x v="1010"/>
    <x v="2"/>
    <x v="15"/>
    <n v="116.6"/>
    <x v="870"/>
    <x v="39"/>
    <d v="2025-02-12T00:00:00"/>
    <x v="2"/>
    <x v="0"/>
    <x v="0"/>
    <x v="0"/>
    <x v="8"/>
    <x v="2"/>
    <x v="6"/>
    <x v="2"/>
  </r>
  <r>
    <x v="1011"/>
    <x v="9"/>
    <x v="3"/>
    <n v="53.9"/>
    <x v="871"/>
    <x v="39"/>
    <d v="2025-02-12T00:00:00"/>
    <x v="3"/>
    <x v="0"/>
    <x v="2"/>
    <x v="0"/>
    <x v="8"/>
    <x v="2"/>
    <x v="6"/>
    <x v="0"/>
  </r>
  <r>
    <x v="1012"/>
    <x v="12"/>
    <x v="9"/>
    <n v="72.3"/>
    <x v="785"/>
    <x v="39"/>
    <d v="2025-02-11T00:00:00"/>
    <x v="0"/>
    <x v="2"/>
    <x v="2"/>
    <x v="0"/>
    <x v="8"/>
    <x v="1"/>
    <x v="6"/>
    <x v="0"/>
  </r>
  <r>
    <x v="1013"/>
    <x v="5"/>
    <x v="1"/>
    <n v="31.4"/>
    <x v="143"/>
    <x v="39"/>
    <d v="2025-02-11T00:00:00"/>
    <x v="2"/>
    <x v="0"/>
    <x v="0"/>
    <x v="0"/>
    <x v="8"/>
    <x v="1"/>
    <x v="6"/>
    <x v="2"/>
  </r>
  <r>
    <x v="1014"/>
    <x v="13"/>
    <x v="1"/>
    <n v="53.1"/>
    <x v="872"/>
    <x v="39"/>
    <d v="2025-02-12T00:00:00"/>
    <x v="1"/>
    <x v="1"/>
    <x v="0"/>
    <x v="0"/>
    <x v="8"/>
    <x v="2"/>
    <x v="6"/>
    <x v="1"/>
  </r>
  <r>
    <x v="1015"/>
    <x v="2"/>
    <x v="12"/>
    <n v="56.2"/>
    <x v="873"/>
    <x v="39"/>
    <d v="2025-02-10T00:00:00"/>
    <x v="2"/>
    <x v="0"/>
    <x v="0"/>
    <x v="0"/>
    <x v="8"/>
    <x v="3"/>
    <x v="6"/>
    <x v="2"/>
  </r>
  <r>
    <x v="1016"/>
    <x v="1"/>
    <x v="7"/>
    <n v="77.3"/>
    <x v="874"/>
    <x v="39"/>
    <d v="2025-02-10T00:00:00"/>
    <x v="2"/>
    <x v="2"/>
    <x v="0"/>
    <x v="0"/>
    <x v="11"/>
    <x v="3"/>
    <x v="6"/>
    <x v="2"/>
  </r>
  <r>
    <x v="1017"/>
    <x v="6"/>
    <x v="15"/>
    <n v="57.8"/>
    <x v="875"/>
    <x v="39"/>
    <d v="2025-02-10T00:00:00"/>
    <x v="0"/>
    <x v="0"/>
    <x v="0"/>
    <x v="0"/>
    <x v="53"/>
    <x v="3"/>
    <x v="6"/>
    <x v="0"/>
  </r>
  <r>
    <x v="1018"/>
    <x v="12"/>
    <x v="20"/>
    <n v="42.1"/>
    <x v="876"/>
    <x v="39"/>
    <d v="2025-02-11T00:00:00"/>
    <x v="2"/>
    <x v="1"/>
    <x v="1"/>
    <x v="0"/>
    <x v="53"/>
    <x v="1"/>
    <x v="6"/>
    <x v="2"/>
  </r>
  <r>
    <x v="1019"/>
    <x v="8"/>
    <x v="11"/>
    <n v="22.8"/>
    <x v="877"/>
    <x v="39"/>
    <d v="2025-02-13T00:00:00"/>
    <x v="1"/>
    <x v="2"/>
    <x v="2"/>
    <x v="0"/>
    <x v="19"/>
    <x v="5"/>
    <x v="6"/>
    <x v="1"/>
  </r>
  <r>
    <x v="1020"/>
    <x v="2"/>
    <x v="2"/>
    <n v="171.1"/>
    <x v="878"/>
    <x v="40"/>
    <d v="2025-02-17T00:00:00"/>
    <x v="2"/>
    <x v="2"/>
    <x v="1"/>
    <x v="0"/>
    <x v="19"/>
    <x v="6"/>
    <x v="6"/>
    <x v="2"/>
  </r>
  <r>
    <x v="1021"/>
    <x v="8"/>
    <x v="0"/>
    <n v="28"/>
    <x v="879"/>
    <x v="40"/>
    <d v="2025-02-12T00:00:00"/>
    <x v="1"/>
    <x v="2"/>
    <x v="2"/>
    <x v="0"/>
    <x v="21"/>
    <x v="1"/>
    <x v="6"/>
    <x v="1"/>
  </r>
  <r>
    <x v="1022"/>
    <x v="6"/>
    <x v="3"/>
    <n v="50.2"/>
    <x v="880"/>
    <x v="40"/>
    <d v="2025-02-12T00:00:00"/>
    <x v="1"/>
    <x v="2"/>
    <x v="0"/>
    <x v="0"/>
    <x v="21"/>
    <x v="1"/>
    <x v="6"/>
    <x v="1"/>
  </r>
  <r>
    <x v="1023"/>
    <x v="6"/>
    <x v="1"/>
    <n v="56"/>
    <x v="881"/>
    <x v="40"/>
    <d v="2025-02-10T00:00:00"/>
    <x v="1"/>
    <x v="0"/>
    <x v="2"/>
    <x v="0"/>
    <x v="22"/>
    <x v="7"/>
    <x v="6"/>
    <x v="1"/>
  </r>
  <r>
    <x v="1024"/>
    <x v="1"/>
    <x v="1"/>
    <n v="38.299999999999997"/>
    <x v="882"/>
    <x v="40"/>
    <d v="2025-02-11T00:00:00"/>
    <x v="2"/>
    <x v="1"/>
    <x v="0"/>
    <x v="0"/>
    <x v="3"/>
    <x v="3"/>
    <x v="6"/>
    <x v="2"/>
  </r>
  <r>
    <x v="1025"/>
    <x v="0"/>
    <x v="9"/>
    <n v="22.3"/>
    <x v="883"/>
    <x v="40"/>
    <d v="2025-02-14T00:00:00"/>
    <x v="2"/>
    <x v="2"/>
    <x v="1"/>
    <x v="0"/>
    <x v="3"/>
    <x v="5"/>
    <x v="6"/>
    <x v="2"/>
  </r>
  <r>
    <x v="1026"/>
    <x v="0"/>
    <x v="2"/>
    <n v="22.3"/>
    <x v="884"/>
    <x v="40"/>
    <d v="2025-02-13T00:00:00"/>
    <x v="2"/>
    <x v="2"/>
    <x v="0"/>
    <x v="0"/>
    <x v="3"/>
    <x v="2"/>
    <x v="6"/>
    <x v="2"/>
  </r>
  <r>
    <x v="1027"/>
    <x v="1"/>
    <x v="0"/>
    <n v="32.9"/>
    <x v="860"/>
    <x v="40"/>
    <d v="2025-02-15T00:00:00"/>
    <x v="2"/>
    <x v="0"/>
    <x v="0"/>
    <x v="0"/>
    <x v="3"/>
    <x v="0"/>
    <x v="6"/>
    <x v="2"/>
  </r>
  <r>
    <x v="1028"/>
    <x v="10"/>
    <x v="2"/>
    <n v="31.9"/>
    <x v="802"/>
    <x v="40"/>
    <d v="2025-02-15T00:00:00"/>
    <x v="2"/>
    <x v="0"/>
    <x v="0"/>
    <x v="0"/>
    <x v="3"/>
    <x v="0"/>
    <x v="6"/>
    <x v="2"/>
  </r>
  <r>
    <x v="1029"/>
    <x v="6"/>
    <x v="1"/>
    <n v="94"/>
    <x v="885"/>
    <x v="40"/>
    <d v="2025-02-11T00:00:00"/>
    <x v="1"/>
    <x v="2"/>
    <x v="2"/>
    <x v="0"/>
    <x v="3"/>
    <x v="3"/>
    <x v="6"/>
    <x v="1"/>
  </r>
  <r>
    <x v="1030"/>
    <x v="10"/>
    <x v="1"/>
    <n v="30.7"/>
    <x v="886"/>
    <x v="40"/>
    <d v="2025-02-11T00:00:00"/>
    <x v="2"/>
    <x v="0"/>
    <x v="1"/>
    <x v="0"/>
    <x v="3"/>
    <x v="3"/>
    <x v="6"/>
    <x v="2"/>
  </r>
  <r>
    <x v="1031"/>
    <x v="5"/>
    <x v="9"/>
    <n v="90.5"/>
    <x v="887"/>
    <x v="40"/>
    <d v="2025-02-17T00:00:00"/>
    <x v="1"/>
    <x v="0"/>
    <x v="2"/>
    <x v="0"/>
    <x v="3"/>
    <x v="6"/>
    <x v="6"/>
    <x v="1"/>
  </r>
  <r>
    <x v="1032"/>
    <x v="8"/>
    <x v="9"/>
    <n v="25.3"/>
    <x v="888"/>
    <x v="40"/>
    <d v="2025-02-14T00:00:00"/>
    <x v="2"/>
    <x v="0"/>
    <x v="2"/>
    <x v="0"/>
    <x v="3"/>
    <x v="5"/>
    <x v="6"/>
    <x v="2"/>
  </r>
  <r>
    <x v="1033"/>
    <x v="6"/>
    <x v="2"/>
    <n v="58.1"/>
    <x v="889"/>
    <x v="40"/>
    <d v="2025-02-14T00:00:00"/>
    <x v="0"/>
    <x v="0"/>
    <x v="2"/>
    <x v="0"/>
    <x v="3"/>
    <x v="5"/>
    <x v="6"/>
    <x v="0"/>
  </r>
  <r>
    <x v="1034"/>
    <x v="2"/>
    <x v="2"/>
    <n v="74.900000000000006"/>
    <x v="890"/>
    <x v="40"/>
    <d v="2025-02-11T00:00:00"/>
    <x v="2"/>
    <x v="4"/>
    <x v="0"/>
    <x v="0"/>
    <x v="3"/>
    <x v="3"/>
    <x v="6"/>
    <x v="2"/>
  </r>
  <r>
    <x v="1035"/>
    <x v="4"/>
    <x v="1"/>
    <n v="32.5"/>
    <x v="891"/>
    <x v="40"/>
    <d v="2025-02-11T00:00:00"/>
    <x v="1"/>
    <x v="2"/>
    <x v="2"/>
    <x v="0"/>
    <x v="43"/>
    <x v="3"/>
    <x v="6"/>
    <x v="1"/>
  </r>
  <r>
    <x v="1036"/>
    <x v="4"/>
    <x v="9"/>
    <n v="62"/>
    <x v="892"/>
    <x v="40"/>
    <d v="2025-02-11T00:00:00"/>
    <x v="1"/>
    <x v="4"/>
    <x v="2"/>
    <x v="0"/>
    <x v="25"/>
    <x v="3"/>
    <x v="6"/>
    <x v="1"/>
  </r>
  <r>
    <x v="1037"/>
    <x v="13"/>
    <x v="13"/>
    <n v="28.9"/>
    <x v="893"/>
    <x v="40"/>
    <d v="2025-02-13T00:00:00"/>
    <x v="2"/>
    <x v="0"/>
    <x v="1"/>
    <x v="0"/>
    <x v="6"/>
    <x v="2"/>
    <x v="6"/>
    <x v="2"/>
  </r>
  <r>
    <x v="1038"/>
    <x v="6"/>
    <x v="8"/>
    <n v="42.8"/>
    <x v="894"/>
    <x v="40"/>
    <d v="2025-02-12T00:00:00"/>
    <x v="2"/>
    <x v="0"/>
    <x v="2"/>
    <x v="0"/>
    <x v="6"/>
    <x v="1"/>
    <x v="6"/>
    <x v="2"/>
  </r>
  <r>
    <x v="1039"/>
    <x v="8"/>
    <x v="8"/>
    <n v="39.4"/>
    <x v="895"/>
    <x v="40"/>
    <d v="2025-02-12T00:00:00"/>
    <x v="1"/>
    <x v="0"/>
    <x v="0"/>
    <x v="0"/>
    <x v="36"/>
    <x v="1"/>
    <x v="6"/>
    <x v="1"/>
  </r>
  <r>
    <x v="1040"/>
    <x v="18"/>
    <x v="2"/>
    <n v="66.400000000000006"/>
    <x v="896"/>
    <x v="40"/>
    <d v="2025-02-11T00:00:00"/>
    <x v="0"/>
    <x v="2"/>
    <x v="1"/>
    <x v="0"/>
    <x v="7"/>
    <x v="3"/>
    <x v="6"/>
    <x v="0"/>
  </r>
  <r>
    <x v="1041"/>
    <x v="17"/>
    <x v="12"/>
    <n v="35.9"/>
    <x v="897"/>
    <x v="40"/>
    <d v="2025-02-17T00:00:00"/>
    <x v="2"/>
    <x v="1"/>
    <x v="0"/>
    <x v="0"/>
    <x v="7"/>
    <x v="6"/>
    <x v="6"/>
    <x v="2"/>
  </r>
  <r>
    <x v="1042"/>
    <x v="0"/>
    <x v="12"/>
    <n v="26.9"/>
    <x v="799"/>
    <x v="40"/>
    <d v="2025-02-11T00:00:00"/>
    <x v="1"/>
    <x v="1"/>
    <x v="0"/>
    <x v="0"/>
    <x v="7"/>
    <x v="3"/>
    <x v="6"/>
    <x v="1"/>
  </r>
  <r>
    <x v="1043"/>
    <x v="2"/>
    <x v="0"/>
    <n v="55.1"/>
    <x v="898"/>
    <x v="40"/>
    <d v="2025-02-11T00:00:00"/>
    <x v="2"/>
    <x v="0"/>
    <x v="0"/>
    <x v="0"/>
    <x v="7"/>
    <x v="3"/>
    <x v="6"/>
    <x v="2"/>
  </r>
  <r>
    <x v="1044"/>
    <x v="4"/>
    <x v="1"/>
    <n v="23.9"/>
    <x v="538"/>
    <x v="40"/>
    <d v="2025-02-11T00:00:00"/>
    <x v="1"/>
    <x v="0"/>
    <x v="2"/>
    <x v="0"/>
    <x v="8"/>
    <x v="3"/>
    <x v="6"/>
    <x v="1"/>
  </r>
  <r>
    <x v="1045"/>
    <x v="9"/>
    <x v="15"/>
    <n v="21.1"/>
    <x v="899"/>
    <x v="40"/>
    <d v="2025-02-18T00:00:00"/>
    <x v="2"/>
    <x v="0"/>
    <x v="1"/>
    <x v="0"/>
    <x v="8"/>
    <x v="9"/>
    <x v="6"/>
    <x v="2"/>
  </r>
  <r>
    <x v="1046"/>
    <x v="8"/>
    <x v="9"/>
    <n v="33.799999999999997"/>
    <x v="900"/>
    <x v="40"/>
    <d v="2025-02-12T00:00:00"/>
    <x v="2"/>
    <x v="0"/>
    <x v="0"/>
    <x v="0"/>
    <x v="8"/>
    <x v="1"/>
    <x v="6"/>
    <x v="2"/>
  </r>
  <r>
    <x v="1047"/>
    <x v="2"/>
    <x v="12"/>
    <n v="56.1"/>
    <x v="901"/>
    <x v="40"/>
    <d v="2025-02-10T00:00:00"/>
    <x v="2"/>
    <x v="3"/>
    <x v="2"/>
    <x v="0"/>
    <x v="9"/>
    <x v="7"/>
    <x v="6"/>
    <x v="2"/>
  </r>
  <r>
    <x v="1048"/>
    <x v="3"/>
    <x v="0"/>
    <n v="58.5"/>
    <x v="902"/>
    <x v="41"/>
    <d v="2025-02-15T00:00:00"/>
    <x v="2"/>
    <x v="1"/>
    <x v="2"/>
    <x v="0"/>
    <x v="9"/>
    <x v="5"/>
    <x v="6"/>
    <x v="2"/>
  </r>
  <r>
    <x v="1049"/>
    <x v="6"/>
    <x v="0"/>
    <n v="84.2"/>
    <x v="903"/>
    <x v="41"/>
    <d v="2025-02-13T00:00:00"/>
    <x v="1"/>
    <x v="3"/>
    <x v="0"/>
    <x v="0"/>
    <x v="11"/>
    <x v="1"/>
    <x v="6"/>
    <x v="1"/>
  </r>
  <r>
    <x v="1050"/>
    <x v="11"/>
    <x v="12"/>
    <n v="52"/>
    <x v="904"/>
    <x v="41"/>
    <d v="2025-02-14T00:00:00"/>
    <x v="1"/>
    <x v="0"/>
    <x v="0"/>
    <x v="0"/>
    <x v="11"/>
    <x v="2"/>
    <x v="6"/>
    <x v="1"/>
  </r>
  <r>
    <x v="1051"/>
    <x v="4"/>
    <x v="9"/>
    <n v="31.5"/>
    <x v="905"/>
    <x v="41"/>
    <d v="2025-02-12T00:00:00"/>
    <x v="2"/>
    <x v="0"/>
    <x v="2"/>
    <x v="0"/>
    <x v="11"/>
    <x v="3"/>
    <x v="6"/>
    <x v="2"/>
  </r>
  <r>
    <x v="1052"/>
    <x v="16"/>
    <x v="2"/>
    <n v="46.2"/>
    <x v="209"/>
    <x v="41"/>
    <d v="2025-02-12T00:00:00"/>
    <x v="1"/>
    <x v="0"/>
    <x v="0"/>
    <x v="0"/>
    <x v="53"/>
    <x v="3"/>
    <x v="6"/>
    <x v="1"/>
  </r>
  <r>
    <x v="1053"/>
    <x v="2"/>
    <x v="13"/>
    <n v="135"/>
    <x v="906"/>
    <x v="41"/>
    <d v="2025-02-12T00:00:00"/>
    <x v="2"/>
    <x v="1"/>
    <x v="2"/>
    <x v="0"/>
    <x v="18"/>
    <x v="3"/>
    <x v="6"/>
    <x v="2"/>
  </r>
  <r>
    <x v="1054"/>
    <x v="12"/>
    <x v="2"/>
    <n v="92.2"/>
    <x v="907"/>
    <x v="41"/>
    <d v="2025-02-15T00:00:00"/>
    <x v="1"/>
    <x v="0"/>
    <x v="0"/>
    <x v="0"/>
    <x v="21"/>
    <x v="5"/>
    <x v="6"/>
    <x v="1"/>
  </r>
  <r>
    <x v="1055"/>
    <x v="8"/>
    <x v="0"/>
    <n v="36.6"/>
    <x v="547"/>
    <x v="41"/>
    <d v="2025-02-13T00:00:00"/>
    <x v="1"/>
    <x v="2"/>
    <x v="2"/>
    <x v="0"/>
    <x v="21"/>
    <x v="1"/>
    <x v="6"/>
    <x v="1"/>
  </r>
  <r>
    <x v="1056"/>
    <x v="9"/>
    <x v="1"/>
    <n v="50.6"/>
    <x v="855"/>
    <x v="41"/>
    <d v="2025-02-14T00:00:00"/>
    <x v="2"/>
    <x v="0"/>
    <x v="0"/>
    <x v="0"/>
    <x v="2"/>
    <x v="2"/>
    <x v="6"/>
    <x v="2"/>
  </r>
  <r>
    <x v="1057"/>
    <x v="18"/>
    <x v="3"/>
    <n v="56.7"/>
    <x v="908"/>
    <x v="41"/>
    <d v="2025-02-14T00:00:00"/>
    <x v="2"/>
    <x v="0"/>
    <x v="0"/>
    <x v="0"/>
    <x v="2"/>
    <x v="2"/>
    <x v="6"/>
    <x v="2"/>
  </r>
  <r>
    <x v="1058"/>
    <x v="9"/>
    <x v="15"/>
    <n v="22.9"/>
    <x v="909"/>
    <x v="41"/>
    <d v="2025-02-12T00:00:00"/>
    <x v="2"/>
    <x v="0"/>
    <x v="1"/>
    <x v="0"/>
    <x v="44"/>
    <x v="3"/>
    <x v="6"/>
    <x v="2"/>
  </r>
  <r>
    <x v="1059"/>
    <x v="15"/>
    <x v="10"/>
    <n v="53.6"/>
    <x v="910"/>
    <x v="41"/>
    <d v="2025-02-12T00:00:00"/>
    <x v="1"/>
    <x v="0"/>
    <x v="0"/>
    <x v="0"/>
    <x v="22"/>
    <x v="3"/>
    <x v="6"/>
    <x v="1"/>
  </r>
  <r>
    <x v="1060"/>
    <x v="18"/>
    <x v="1"/>
    <n v="30.2"/>
    <x v="266"/>
    <x v="41"/>
    <d v="2025-02-13T00:00:00"/>
    <x v="0"/>
    <x v="2"/>
    <x v="2"/>
    <x v="0"/>
    <x v="3"/>
    <x v="1"/>
    <x v="6"/>
    <x v="0"/>
  </r>
  <r>
    <x v="1061"/>
    <x v="15"/>
    <x v="13"/>
    <n v="83.4"/>
    <x v="911"/>
    <x v="41"/>
    <d v="2025-02-12T00:00:00"/>
    <x v="1"/>
    <x v="1"/>
    <x v="2"/>
    <x v="0"/>
    <x v="3"/>
    <x v="3"/>
    <x v="6"/>
    <x v="1"/>
  </r>
  <r>
    <x v="1062"/>
    <x v="13"/>
    <x v="4"/>
    <n v="16.600000000000001"/>
    <x v="896"/>
    <x v="41"/>
    <d v="2025-02-13T00:00:00"/>
    <x v="1"/>
    <x v="1"/>
    <x v="0"/>
    <x v="0"/>
    <x v="3"/>
    <x v="1"/>
    <x v="6"/>
    <x v="1"/>
  </r>
  <r>
    <x v="1063"/>
    <x v="8"/>
    <x v="14"/>
    <n v="21.9"/>
    <x v="912"/>
    <x v="41"/>
    <d v="2025-02-13T00:00:00"/>
    <x v="2"/>
    <x v="4"/>
    <x v="1"/>
    <x v="0"/>
    <x v="3"/>
    <x v="1"/>
    <x v="6"/>
    <x v="2"/>
  </r>
  <r>
    <x v="1064"/>
    <x v="8"/>
    <x v="31"/>
    <n v="33.799999999999997"/>
    <x v="913"/>
    <x v="41"/>
    <d v="2025-02-13T00:00:00"/>
    <x v="1"/>
    <x v="2"/>
    <x v="4"/>
    <x v="0"/>
    <x v="3"/>
    <x v="1"/>
    <x v="6"/>
    <x v="1"/>
  </r>
  <r>
    <x v="1065"/>
    <x v="18"/>
    <x v="1"/>
    <n v="53.2"/>
    <x v="793"/>
    <x v="41"/>
    <d v="2025-02-11T00:00:00"/>
    <x v="1"/>
    <x v="1"/>
    <x v="0"/>
    <x v="0"/>
    <x v="3"/>
    <x v="7"/>
    <x v="6"/>
    <x v="1"/>
  </r>
  <r>
    <x v="1066"/>
    <x v="2"/>
    <x v="1"/>
    <n v="176.7"/>
    <x v="914"/>
    <x v="41"/>
    <d v="2025-02-14T00:00:00"/>
    <x v="2"/>
    <x v="2"/>
    <x v="0"/>
    <x v="0"/>
    <x v="3"/>
    <x v="2"/>
    <x v="6"/>
    <x v="2"/>
  </r>
  <r>
    <x v="1067"/>
    <x v="12"/>
    <x v="2"/>
    <n v="54"/>
    <x v="915"/>
    <x v="41"/>
    <d v="2025-02-14T00:00:00"/>
    <x v="1"/>
    <x v="0"/>
    <x v="1"/>
    <x v="0"/>
    <x v="3"/>
    <x v="2"/>
    <x v="6"/>
    <x v="1"/>
  </r>
  <r>
    <x v="1068"/>
    <x v="9"/>
    <x v="1"/>
    <n v="70.099999999999994"/>
    <x v="634"/>
    <x v="41"/>
    <d v="2025-02-19T00:00:00"/>
    <x v="2"/>
    <x v="3"/>
    <x v="2"/>
    <x v="0"/>
    <x v="3"/>
    <x v="9"/>
    <x v="6"/>
    <x v="2"/>
  </r>
  <r>
    <x v="1069"/>
    <x v="8"/>
    <x v="0"/>
    <n v="26.5"/>
    <x v="38"/>
    <x v="41"/>
    <d v="2025-02-13T00:00:00"/>
    <x v="2"/>
    <x v="1"/>
    <x v="0"/>
    <x v="0"/>
    <x v="3"/>
    <x v="1"/>
    <x v="6"/>
    <x v="2"/>
  </r>
  <r>
    <x v="1070"/>
    <x v="7"/>
    <x v="9"/>
    <n v="89"/>
    <x v="916"/>
    <x v="41"/>
    <d v="2025-02-13T00:00:00"/>
    <x v="1"/>
    <x v="2"/>
    <x v="4"/>
    <x v="0"/>
    <x v="3"/>
    <x v="1"/>
    <x v="6"/>
    <x v="1"/>
  </r>
  <r>
    <x v="1071"/>
    <x v="1"/>
    <x v="13"/>
    <n v="47"/>
    <x v="917"/>
    <x v="41"/>
    <d v="2025-02-14T00:00:00"/>
    <x v="2"/>
    <x v="3"/>
    <x v="0"/>
    <x v="0"/>
    <x v="24"/>
    <x v="2"/>
    <x v="6"/>
    <x v="2"/>
  </r>
  <r>
    <x v="1072"/>
    <x v="3"/>
    <x v="1"/>
    <n v="55.2"/>
    <x v="918"/>
    <x v="41"/>
    <d v="2025-02-14T00:00:00"/>
    <x v="1"/>
    <x v="1"/>
    <x v="1"/>
    <x v="0"/>
    <x v="6"/>
    <x v="2"/>
    <x v="6"/>
    <x v="1"/>
  </r>
  <r>
    <x v="1073"/>
    <x v="8"/>
    <x v="39"/>
    <n v="33.299999999999997"/>
    <x v="919"/>
    <x v="41"/>
    <d v="2025-02-25T00:00:00"/>
    <x v="1"/>
    <x v="1"/>
    <x v="2"/>
    <x v="0"/>
    <x v="6"/>
    <x v="12"/>
    <x v="6"/>
    <x v="1"/>
  </r>
  <r>
    <x v="1074"/>
    <x v="2"/>
    <x v="12"/>
    <n v="110.9"/>
    <x v="920"/>
    <x v="42"/>
    <d v="2025-02-12T00:00:00"/>
    <x v="1"/>
    <x v="2"/>
    <x v="4"/>
    <x v="0"/>
    <x v="6"/>
    <x v="7"/>
    <x v="6"/>
    <x v="1"/>
  </r>
  <r>
    <x v="1075"/>
    <x v="2"/>
    <x v="13"/>
    <n v="67.3"/>
    <x v="921"/>
    <x v="42"/>
    <d v="2025-02-13T00:00:00"/>
    <x v="1"/>
    <x v="0"/>
    <x v="0"/>
    <x v="0"/>
    <x v="8"/>
    <x v="3"/>
    <x v="6"/>
    <x v="1"/>
  </r>
  <r>
    <x v="1076"/>
    <x v="6"/>
    <x v="2"/>
    <n v="69.7"/>
    <x v="922"/>
    <x v="42"/>
    <d v="2025-02-13T00:00:00"/>
    <x v="1"/>
    <x v="2"/>
    <x v="1"/>
    <x v="0"/>
    <x v="8"/>
    <x v="3"/>
    <x v="6"/>
    <x v="1"/>
  </r>
  <r>
    <x v="1077"/>
    <x v="5"/>
    <x v="0"/>
    <n v="39.1"/>
    <x v="923"/>
    <x v="42"/>
    <d v="2025-02-17T00:00:00"/>
    <x v="1"/>
    <x v="0"/>
    <x v="1"/>
    <x v="0"/>
    <x v="17"/>
    <x v="0"/>
    <x v="6"/>
    <x v="1"/>
  </r>
  <r>
    <x v="1078"/>
    <x v="2"/>
    <x v="2"/>
    <n v="208.6"/>
    <x v="924"/>
    <x v="42"/>
    <d v="2025-02-12T00:00:00"/>
    <x v="1"/>
    <x v="4"/>
    <x v="2"/>
    <x v="0"/>
    <x v="17"/>
    <x v="7"/>
    <x v="6"/>
    <x v="1"/>
  </r>
  <r>
    <x v="1079"/>
    <x v="15"/>
    <x v="2"/>
    <n v="27.8"/>
    <x v="925"/>
    <x v="42"/>
    <d v="2025-02-13T00:00:00"/>
    <x v="1"/>
    <x v="3"/>
    <x v="1"/>
    <x v="0"/>
    <x v="11"/>
    <x v="3"/>
    <x v="6"/>
    <x v="1"/>
  </r>
  <r>
    <x v="1080"/>
    <x v="10"/>
    <x v="9"/>
    <n v="29.4"/>
    <x v="926"/>
    <x v="42"/>
    <d v="2025-02-14T00:00:00"/>
    <x v="2"/>
    <x v="0"/>
    <x v="0"/>
    <x v="0"/>
    <x v="11"/>
    <x v="1"/>
    <x v="6"/>
    <x v="2"/>
  </r>
  <r>
    <x v="1081"/>
    <x v="9"/>
    <x v="1"/>
    <n v="29.2"/>
    <x v="305"/>
    <x v="42"/>
    <d v="2025-02-14T00:00:00"/>
    <x v="2"/>
    <x v="1"/>
    <x v="2"/>
    <x v="0"/>
    <x v="20"/>
    <x v="1"/>
    <x v="6"/>
    <x v="2"/>
  </r>
  <r>
    <x v="1082"/>
    <x v="10"/>
    <x v="9"/>
    <n v="26.5"/>
    <x v="927"/>
    <x v="42"/>
    <d v="2025-02-14T00:00:00"/>
    <x v="2"/>
    <x v="0"/>
    <x v="0"/>
    <x v="0"/>
    <x v="52"/>
    <x v="1"/>
    <x v="6"/>
    <x v="2"/>
  </r>
  <r>
    <x v="1083"/>
    <x v="5"/>
    <x v="0"/>
    <n v="30.3"/>
    <x v="928"/>
    <x v="42"/>
    <d v="2025-02-13T00:00:00"/>
    <x v="2"/>
    <x v="4"/>
    <x v="1"/>
    <x v="0"/>
    <x v="13"/>
    <x v="3"/>
    <x v="6"/>
    <x v="2"/>
  </r>
  <r>
    <x v="1084"/>
    <x v="16"/>
    <x v="4"/>
    <n v="39.700000000000003"/>
    <x v="929"/>
    <x v="42"/>
    <d v="2025-02-13T00:00:00"/>
    <x v="2"/>
    <x v="0"/>
    <x v="0"/>
    <x v="0"/>
    <x v="21"/>
    <x v="3"/>
    <x v="6"/>
    <x v="2"/>
  </r>
  <r>
    <x v="1085"/>
    <x v="7"/>
    <x v="7"/>
    <n v="58.9"/>
    <x v="930"/>
    <x v="42"/>
    <d v="2025-02-14T00:00:00"/>
    <x v="2"/>
    <x v="1"/>
    <x v="4"/>
    <x v="0"/>
    <x v="21"/>
    <x v="1"/>
    <x v="6"/>
    <x v="2"/>
  </r>
  <r>
    <x v="1086"/>
    <x v="2"/>
    <x v="1"/>
    <n v="174.1"/>
    <x v="931"/>
    <x v="42"/>
    <d v="2025-02-14T00:00:00"/>
    <x v="2"/>
    <x v="0"/>
    <x v="1"/>
    <x v="0"/>
    <x v="46"/>
    <x v="1"/>
    <x v="6"/>
    <x v="2"/>
  </r>
  <r>
    <x v="1087"/>
    <x v="6"/>
    <x v="1"/>
    <n v="70.8"/>
    <x v="932"/>
    <x v="42"/>
    <d v="2025-02-15T00:00:00"/>
    <x v="1"/>
    <x v="2"/>
    <x v="0"/>
    <x v="0"/>
    <x v="22"/>
    <x v="2"/>
    <x v="6"/>
    <x v="1"/>
  </r>
  <r>
    <x v="1088"/>
    <x v="7"/>
    <x v="1"/>
    <n v="57.4"/>
    <x v="311"/>
    <x v="42"/>
    <d v="2025-02-14T00:00:00"/>
    <x v="2"/>
    <x v="1"/>
    <x v="1"/>
    <x v="0"/>
    <x v="34"/>
    <x v="1"/>
    <x v="6"/>
    <x v="2"/>
  </r>
  <r>
    <x v="1089"/>
    <x v="0"/>
    <x v="1"/>
    <n v="28.5"/>
    <x v="933"/>
    <x v="42"/>
    <d v="2025-02-14T00:00:00"/>
    <x v="1"/>
    <x v="3"/>
    <x v="1"/>
    <x v="0"/>
    <x v="3"/>
    <x v="1"/>
    <x v="6"/>
    <x v="1"/>
  </r>
  <r>
    <x v="1090"/>
    <x v="2"/>
    <x v="28"/>
    <n v="106.6"/>
    <x v="934"/>
    <x v="42"/>
    <d v="2025-02-13T00:00:00"/>
    <x v="0"/>
    <x v="1"/>
    <x v="4"/>
    <x v="0"/>
    <x v="3"/>
    <x v="3"/>
    <x v="6"/>
    <x v="0"/>
  </r>
  <r>
    <x v="1091"/>
    <x v="2"/>
    <x v="2"/>
    <n v="119.7"/>
    <x v="935"/>
    <x v="42"/>
    <d v="2025-02-13T00:00:00"/>
    <x v="2"/>
    <x v="1"/>
    <x v="4"/>
    <x v="0"/>
    <x v="3"/>
    <x v="3"/>
    <x v="6"/>
    <x v="2"/>
  </r>
  <r>
    <x v="1092"/>
    <x v="18"/>
    <x v="0"/>
    <n v="73.3"/>
    <x v="936"/>
    <x v="42"/>
    <d v="2025-02-17T00:00:00"/>
    <x v="2"/>
    <x v="0"/>
    <x v="2"/>
    <x v="0"/>
    <x v="3"/>
    <x v="0"/>
    <x v="6"/>
    <x v="2"/>
  </r>
  <r>
    <x v="1093"/>
    <x v="0"/>
    <x v="1"/>
    <n v="25.8"/>
    <x v="937"/>
    <x v="42"/>
    <d v="2025-02-26T00:00:00"/>
    <x v="1"/>
    <x v="2"/>
    <x v="0"/>
    <x v="0"/>
    <x v="3"/>
    <x v="12"/>
    <x v="6"/>
    <x v="1"/>
  </r>
  <r>
    <x v="1094"/>
    <x v="17"/>
    <x v="2"/>
    <n v="49.1"/>
    <x v="824"/>
    <x v="42"/>
    <d v="2025-02-14T00:00:00"/>
    <x v="2"/>
    <x v="0"/>
    <x v="0"/>
    <x v="0"/>
    <x v="24"/>
    <x v="1"/>
    <x v="6"/>
    <x v="2"/>
  </r>
  <r>
    <x v="1095"/>
    <x v="1"/>
    <x v="0"/>
    <n v="44.9"/>
    <x v="938"/>
    <x v="42"/>
    <d v="2025-02-15T00:00:00"/>
    <x v="2"/>
    <x v="3"/>
    <x v="2"/>
    <x v="0"/>
    <x v="6"/>
    <x v="2"/>
    <x v="6"/>
    <x v="2"/>
  </r>
  <r>
    <x v="1096"/>
    <x v="15"/>
    <x v="3"/>
    <n v="29.9"/>
    <x v="549"/>
    <x v="42"/>
    <d v="2025-02-13T00:00:00"/>
    <x v="2"/>
    <x v="0"/>
    <x v="0"/>
    <x v="0"/>
    <x v="6"/>
    <x v="3"/>
    <x v="6"/>
    <x v="2"/>
  </r>
  <r>
    <x v="1097"/>
    <x v="7"/>
    <x v="1"/>
    <n v="54.3"/>
    <x v="939"/>
    <x v="43"/>
    <d v="2025-02-14T00:00:00"/>
    <x v="1"/>
    <x v="3"/>
    <x v="0"/>
    <x v="0"/>
    <x v="36"/>
    <x v="3"/>
    <x v="6"/>
    <x v="1"/>
  </r>
  <r>
    <x v="1098"/>
    <x v="9"/>
    <x v="12"/>
    <n v="57"/>
    <x v="416"/>
    <x v="43"/>
    <d v="2025-02-15T00:00:00"/>
    <x v="2"/>
    <x v="0"/>
    <x v="0"/>
    <x v="0"/>
    <x v="8"/>
    <x v="1"/>
    <x v="6"/>
    <x v="2"/>
  </r>
  <r>
    <x v="1099"/>
    <x v="2"/>
    <x v="0"/>
    <n v="139.19999999999999"/>
    <x v="388"/>
    <x v="43"/>
    <d v="2025-02-14T00:00:00"/>
    <x v="2"/>
    <x v="3"/>
    <x v="2"/>
    <x v="0"/>
    <x v="8"/>
    <x v="3"/>
    <x v="6"/>
    <x v="2"/>
  </r>
  <r>
    <x v="1100"/>
    <x v="10"/>
    <x v="0"/>
    <n v="33"/>
    <x v="940"/>
    <x v="43"/>
    <d v="2025-02-16T00:00:00"/>
    <x v="2"/>
    <x v="0"/>
    <x v="2"/>
    <x v="0"/>
    <x v="8"/>
    <x v="2"/>
    <x v="6"/>
    <x v="2"/>
  </r>
  <r>
    <x v="1101"/>
    <x v="11"/>
    <x v="13"/>
    <n v="80.2"/>
    <x v="941"/>
    <x v="43"/>
    <d v="2025-02-15T00:00:00"/>
    <x v="1"/>
    <x v="1"/>
    <x v="4"/>
    <x v="0"/>
    <x v="8"/>
    <x v="1"/>
    <x v="6"/>
    <x v="1"/>
  </r>
  <r>
    <x v="1102"/>
    <x v="18"/>
    <x v="8"/>
    <n v="49"/>
    <x v="942"/>
    <x v="43"/>
    <d v="2025-02-14T00:00:00"/>
    <x v="0"/>
    <x v="2"/>
    <x v="1"/>
    <x v="0"/>
    <x v="9"/>
    <x v="3"/>
    <x v="6"/>
    <x v="0"/>
  </r>
  <r>
    <x v="1103"/>
    <x v="1"/>
    <x v="12"/>
    <n v="104.4"/>
    <x v="943"/>
    <x v="43"/>
    <d v="2025-02-13T00:00:00"/>
    <x v="2"/>
    <x v="0"/>
    <x v="0"/>
    <x v="0"/>
    <x v="9"/>
    <x v="7"/>
    <x v="6"/>
    <x v="2"/>
  </r>
  <r>
    <x v="1104"/>
    <x v="3"/>
    <x v="0"/>
    <n v="41.6"/>
    <x v="480"/>
    <x v="43"/>
    <d v="2025-02-16T00:00:00"/>
    <x v="1"/>
    <x v="3"/>
    <x v="0"/>
    <x v="0"/>
    <x v="11"/>
    <x v="2"/>
    <x v="6"/>
    <x v="1"/>
  </r>
  <r>
    <x v="1105"/>
    <x v="19"/>
    <x v="1"/>
    <n v="16.399999999999999"/>
    <x v="944"/>
    <x v="43"/>
    <d v="2025-02-14T00:00:00"/>
    <x v="3"/>
    <x v="0"/>
    <x v="2"/>
    <x v="0"/>
    <x v="11"/>
    <x v="3"/>
    <x v="6"/>
    <x v="0"/>
  </r>
  <r>
    <x v="1106"/>
    <x v="8"/>
    <x v="1"/>
    <n v="22"/>
    <x v="945"/>
    <x v="43"/>
    <d v="2025-02-14T00:00:00"/>
    <x v="1"/>
    <x v="2"/>
    <x v="2"/>
    <x v="0"/>
    <x v="53"/>
    <x v="3"/>
    <x v="6"/>
    <x v="1"/>
  </r>
  <r>
    <x v="1107"/>
    <x v="15"/>
    <x v="1"/>
    <n v="33.6"/>
    <x v="863"/>
    <x v="43"/>
    <d v="2025-02-18T00:00:00"/>
    <x v="2"/>
    <x v="0"/>
    <x v="0"/>
    <x v="0"/>
    <x v="21"/>
    <x v="0"/>
    <x v="6"/>
    <x v="2"/>
  </r>
  <r>
    <x v="1108"/>
    <x v="11"/>
    <x v="13"/>
    <n v="43"/>
    <x v="946"/>
    <x v="43"/>
    <d v="2025-02-14T00:00:00"/>
    <x v="2"/>
    <x v="2"/>
    <x v="0"/>
    <x v="0"/>
    <x v="21"/>
    <x v="3"/>
    <x v="6"/>
    <x v="2"/>
  </r>
  <r>
    <x v="1109"/>
    <x v="6"/>
    <x v="9"/>
    <n v="108.8"/>
    <x v="947"/>
    <x v="43"/>
    <d v="2025-02-16T00:00:00"/>
    <x v="2"/>
    <x v="4"/>
    <x v="2"/>
    <x v="0"/>
    <x v="21"/>
    <x v="2"/>
    <x v="6"/>
    <x v="2"/>
  </r>
  <r>
    <x v="1110"/>
    <x v="0"/>
    <x v="11"/>
    <n v="29.3"/>
    <x v="948"/>
    <x v="43"/>
    <d v="2025-02-15T00:00:00"/>
    <x v="1"/>
    <x v="4"/>
    <x v="2"/>
    <x v="0"/>
    <x v="21"/>
    <x v="1"/>
    <x v="6"/>
    <x v="1"/>
  </r>
  <r>
    <x v="1111"/>
    <x v="2"/>
    <x v="0"/>
    <n v="122.7"/>
    <x v="949"/>
    <x v="43"/>
    <d v="2025-02-16T00:00:00"/>
    <x v="3"/>
    <x v="0"/>
    <x v="2"/>
    <x v="0"/>
    <x v="1"/>
    <x v="2"/>
    <x v="6"/>
    <x v="0"/>
  </r>
  <r>
    <x v="1112"/>
    <x v="4"/>
    <x v="3"/>
    <n v="22.9"/>
    <x v="950"/>
    <x v="43"/>
    <d v="2025-02-14T00:00:00"/>
    <x v="2"/>
    <x v="0"/>
    <x v="0"/>
    <x v="0"/>
    <x v="42"/>
    <x v="3"/>
    <x v="6"/>
    <x v="2"/>
  </r>
  <r>
    <x v="1113"/>
    <x v="8"/>
    <x v="7"/>
    <n v="25.5"/>
    <x v="951"/>
    <x v="43"/>
    <d v="2025-02-20T00:00:00"/>
    <x v="2"/>
    <x v="0"/>
    <x v="0"/>
    <x v="0"/>
    <x v="33"/>
    <x v="6"/>
    <x v="6"/>
    <x v="2"/>
  </r>
  <r>
    <x v="1114"/>
    <x v="17"/>
    <x v="2"/>
    <n v="23.4"/>
    <x v="952"/>
    <x v="43"/>
    <d v="2025-02-17T00:00:00"/>
    <x v="2"/>
    <x v="0"/>
    <x v="2"/>
    <x v="0"/>
    <x v="3"/>
    <x v="5"/>
    <x v="6"/>
    <x v="2"/>
  </r>
  <r>
    <x v="1115"/>
    <x v="5"/>
    <x v="8"/>
    <n v="27.4"/>
    <x v="77"/>
    <x v="43"/>
    <d v="2025-02-16T00:00:00"/>
    <x v="2"/>
    <x v="2"/>
    <x v="0"/>
    <x v="0"/>
    <x v="3"/>
    <x v="2"/>
    <x v="6"/>
    <x v="2"/>
  </r>
  <r>
    <x v="1116"/>
    <x v="5"/>
    <x v="9"/>
    <n v="68.400000000000006"/>
    <x v="953"/>
    <x v="43"/>
    <d v="2025-02-14T00:00:00"/>
    <x v="2"/>
    <x v="0"/>
    <x v="0"/>
    <x v="0"/>
    <x v="3"/>
    <x v="3"/>
    <x v="6"/>
    <x v="2"/>
  </r>
  <r>
    <x v="1117"/>
    <x v="6"/>
    <x v="0"/>
    <n v="51.9"/>
    <x v="954"/>
    <x v="43"/>
    <d v="2025-02-13T00:00:00"/>
    <x v="2"/>
    <x v="0"/>
    <x v="0"/>
    <x v="0"/>
    <x v="3"/>
    <x v="7"/>
    <x v="6"/>
    <x v="2"/>
  </r>
  <r>
    <x v="1118"/>
    <x v="0"/>
    <x v="9"/>
    <n v="26.4"/>
    <x v="955"/>
    <x v="43"/>
    <d v="2025-02-16T00:00:00"/>
    <x v="2"/>
    <x v="0"/>
    <x v="2"/>
    <x v="0"/>
    <x v="3"/>
    <x v="2"/>
    <x v="6"/>
    <x v="2"/>
  </r>
  <r>
    <x v="1119"/>
    <x v="12"/>
    <x v="1"/>
    <n v="117"/>
    <x v="540"/>
    <x v="43"/>
    <d v="2025-02-14T00:00:00"/>
    <x v="2"/>
    <x v="1"/>
    <x v="1"/>
    <x v="0"/>
    <x v="3"/>
    <x v="3"/>
    <x v="6"/>
    <x v="2"/>
  </r>
  <r>
    <x v="1120"/>
    <x v="7"/>
    <x v="2"/>
    <n v="49.6"/>
    <x v="956"/>
    <x v="44"/>
    <d v="2025-02-16T00:00:00"/>
    <x v="2"/>
    <x v="0"/>
    <x v="0"/>
    <x v="0"/>
    <x v="3"/>
    <x v="1"/>
    <x v="6"/>
    <x v="2"/>
  </r>
  <r>
    <x v="1121"/>
    <x v="4"/>
    <x v="2"/>
    <n v="38"/>
    <x v="717"/>
    <x v="44"/>
    <d v="2025-02-17T00:00:00"/>
    <x v="1"/>
    <x v="2"/>
    <x v="4"/>
    <x v="0"/>
    <x v="3"/>
    <x v="2"/>
    <x v="6"/>
    <x v="1"/>
  </r>
  <r>
    <x v="1122"/>
    <x v="0"/>
    <x v="2"/>
    <n v="20.6"/>
    <x v="957"/>
    <x v="44"/>
    <d v="2025-02-16T00:00:00"/>
    <x v="2"/>
    <x v="4"/>
    <x v="2"/>
    <x v="0"/>
    <x v="3"/>
    <x v="1"/>
    <x v="6"/>
    <x v="2"/>
  </r>
  <r>
    <x v="1123"/>
    <x v="0"/>
    <x v="1"/>
    <n v="16"/>
    <x v="109"/>
    <x v="44"/>
    <d v="2025-02-15T00:00:00"/>
    <x v="1"/>
    <x v="1"/>
    <x v="1"/>
    <x v="0"/>
    <x v="49"/>
    <x v="3"/>
    <x v="6"/>
    <x v="1"/>
  </r>
  <r>
    <x v="1124"/>
    <x v="15"/>
    <x v="12"/>
    <n v="49.3"/>
    <x v="958"/>
    <x v="44"/>
    <d v="2025-02-15T00:00:00"/>
    <x v="2"/>
    <x v="2"/>
    <x v="0"/>
    <x v="0"/>
    <x v="23"/>
    <x v="3"/>
    <x v="6"/>
    <x v="2"/>
  </r>
  <r>
    <x v="1125"/>
    <x v="9"/>
    <x v="1"/>
    <n v="24.1"/>
    <x v="959"/>
    <x v="44"/>
    <d v="2025-02-18T00:00:00"/>
    <x v="2"/>
    <x v="0"/>
    <x v="0"/>
    <x v="0"/>
    <x v="6"/>
    <x v="5"/>
    <x v="6"/>
    <x v="2"/>
  </r>
  <r>
    <x v="1126"/>
    <x v="15"/>
    <x v="8"/>
    <n v="32.700000000000003"/>
    <x v="960"/>
    <x v="44"/>
    <d v="2025-02-15T00:00:00"/>
    <x v="2"/>
    <x v="1"/>
    <x v="0"/>
    <x v="0"/>
    <x v="6"/>
    <x v="3"/>
    <x v="6"/>
    <x v="2"/>
  </r>
  <r>
    <x v="1127"/>
    <x v="6"/>
    <x v="2"/>
    <n v="74.400000000000006"/>
    <x v="961"/>
    <x v="44"/>
    <d v="2025-02-15T00:00:00"/>
    <x v="2"/>
    <x v="3"/>
    <x v="2"/>
    <x v="0"/>
    <x v="8"/>
    <x v="3"/>
    <x v="6"/>
    <x v="2"/>
  </r>
  <r>
    <x v="1128"/>
    <x v="12"/>
    <x v="0"/>
    <n v="45.6"/>
    <x v="962"/>
    <x v="44"/>
    <d v="2025-02-18T00:00:00"/>
    <x v="2"/>
    <x v="4"/>
    <x v="0"/>
    <x v="0"/>
    <x v="8"/>
    <x v="5"/>
    <x v="6"/>
    <x v="2"/>
  </r>
  <r>
    <x v="1129"/>
    <x v="8"/>
    <x v="8"/>
    <n v="19.600000000000001"/>
    <x v="963"/>
    <x v="44"/>
    <d v="2025-02-27T00:00:00"/>
    <x v="2"/>
    <x v="0"/>
    <x v="0"/>
    <x v="0"/>
    <x v="8"/>
    <x v="10"/>
    <x v="6"/>
    <x v="2"/>
  </r>
  <r>
    <x v="1130"/>
    <x v="9"/>
    <x v="0"/>
    <n v="51.8"/>
    <x v="964"/>
    <x v="44"/>
    <d v="2025-02-15T00:00:00"/>
    <x v="2"/>
    <x v="1"/>
    <x v="0"/>
    <x v="0"/>
    <x v="8"/>
    <x v="3"/>
    <x v="6"/>
    <x v="2"/>
  </r>
  <r>
    <x v="1131"/>
    <x v="6"/>
    <x v="0"/>
    <n v="74.7"/>
    <x v="965"/>
    <x v="44"/>
    <d v="2025-02-15T00:00:00"/>
    <x v="1"/>
    <x v="0"/>
    <x v="1"/>
    <x v="0"/>
    <x v="8"/>
    <x v="3"/>
    <x v="6"/>
    <x v="1"/>
  </r>
  <r>
    <x v="1132"/>
    <x v="19"/>
    <x v="2"/>
    <n v="22.4"/>
    <x v="966"/>
    <x v="44"/>
    <d v="2025-02-15T00:00:00"/>
    <x v="2"/>
    <x v="1"/>
    <x v="2"/>
    <x v="0"/>
    <x v="9"/>
    <x v="3"/>
    <x v="6"/>
    <x v="2"/>
  </r>
  <r>
    <x v="1133"/>
    <x v="1"/>
    <x v="12"/>
    <n v="31.4"/>
    <x v="967"/>
    <x v="44"/>
    <d v="2025-02-15T00:00:00"/>
    <x v="2"/>
    <x v="1"/>
    <x v="0"/>
    <x v="0"/>
    <x v="9"/>
    <x v="3"/>
    <x v="6"/>
    <x v="2"/>
  </r>
  <r>
    <x v="1134"/>
    <x v="6"/>
    <x v="0"/>
    <n v="94"/>
    <x v="255"/>
    <x v="44"/>
    <d v="2025-02-14T00:00:00"/>
    <x v="2"/>
    <x v="1"/>
    <x v="2"/>
    <x v="0"/>
    <x v="10"/>
    <x v="7"/>
    <x v="6"/>
    <x v="2"/>
  </r>
  <r>
    <x v="1135"/>
    <x v="10"/>
    <x v="0"/>
    <n v="22.3"/>
    <x v="968"/>
    <x v="44"/>
    <d v="2025-02-15T00:00:00"/>
    <x v="1"/>
    <x v="4"/>
    <x v="0"/>
    <x v="0"/>
    <x v="20"/>
    <x v="3"/>
    <x v="6"/>
    <x v="1"/>
  </r>
  <r>
    <x v="1136"/>
    <x v="0"/>
    <x v="0"/>
    <n v="21.9"/>
    <x v="731"/>
    <x v="44"/>
    <d v="2025-02-17T00:00:00"/>
    <x v="2"/>
    <x v="2"/>
    <x v="0"/>
    <x v="0"/>
    <x v="21"/>
    <x v="2"/>
    <x v="6"/>
    <x v="2"/>
  </r>
  <r>
    <x v="1137"/>
    <x v="17"/>
    <x v="2"/>
    <n v="27"/>
    <x v="969"/>
    <x v="44"/>
    <d v="2025-02-16T00:00:00"/>
    <x v="2"/>
    <x v="4"/>
    <x v="2"/>
    <x v="0"/>
    <x v="2"/>
    <x v="1"/>
    <x v="6"/>
    <x v="2"/>
  </r>
  <r>
    <x v="1138"/>
    <x v="2"/>
    <x v="12"/>
    <n v="149.6"/>
    <x v="970"/>
    <x v="44"/>
    <d v="2025-02-14T00:00:00"/>
    <x v="2"/>
    <x v="4"/>
    <x v="0"/>
    <x v="0"/>
    <x v="22"/>
    <x v="7"/>
    <x v="6"/>
    <x v="2"/>
  </r>
  <r>
    <x v="1139"/>
    <x v="2"/>
    <x v="12"/>
    <n v="129.1"/>
    <x v="971"/>
    <x v="44"/>
    <d v="2025-02-24T00:00:00"/>
    <x v="1"/>
    <x v="0"/>
    <x v="1"/>
    <x v="0"/>
    <x v="3"/>
    <x v="14"/>
    <x v="6"/>
    <x v="1"/>
  </r>
  <r>
    <x v="1140"/>
    <x v="1"/>
    <x v="4"/>
    <n v="40.4"/>
    <x v="972"/>
    <x v="44"/>
    <d v="2025-02-15T00:00:00"/>
    <x v="1"/>
    <x v="1"/>
    <x v="1"/>
    <x v="0"/>
    <x v="3"/>
    <x v="3"/>
    <x v="6"/>
    <x v="1"/>
  </r>
  <r>
    <x v="1141"/>
    <x v="4"/>
    <x v="2"/>
    <n v="48.5"/>
    <x v="973"/>
    <x v="44"/>
    <d v="2025-02-16T00:00:00"/>
    <x v="2"/>
    <x v="0"/>
    <x v="4"/>
    <x v="0"/>
    <x v="3"/>
    <x v="1"/>
    <x v="6"/>
    <x v="2"/>
  </r>
  <r>
    <x v="1142"/>
    <x v="9"/>
    <x v="1"/>
    <n v="37.6"/>
    <x v="495"/>
    <x v="44"/>
    <d v="2025-02-16T00:00:00"/>
    <x v="2"/>
    <x v="1"/>
    <x v="2"/>
    <x v="0"/>
    <x v="3"/>
    <x v="1"/>
    <x v="6"/>
    <x v="2"/>
  </r>
  <r>
    <x v="1143"/>
    <x v="8"/>
    <x v="1"/>
    <n v="19.600000000000001"/>
    <x v="496"/>
    <x v="44"/>
    <d v="2025-02-15T00:00:00"/>
    <x v="1"/>
    <x v="3"/>
    <x v="4"/>
    <x v="0"/>
    <x v="43"/>
    <x v="3"/>
    <x v="6"/>
    <x v="1"/>
  </r>
  <r>
    <x v="1144"/>
    <x v="8"/>
    <x v="9"/>
    <n v="18.5"/>
    <x v="974"/>
    <x v="44"/>
    <d v="2025-02-15T00:00:00"/>
    <x v="2"/>
    <x v="2"/>
    <x v="1"/>
    <x v="0"/>
    <x v="6"/>
    <x v="3"/>
    <x v="6"/>
    <x v="2"/>
  </r>
  <r>
    <x v="1145"/>
    <x v="5"/>
    <x v="2"/>
    <n v="25.5"/>
    <x v="514"/>
    <x v="44"/>
    <d v="2025-02-16T00:00:00"/>
    <x v="2"/>
    <x v="4"/>
    <x v="1"/>
    <x v="0"/>
    <x v="6"/>
    <x v="1"/>
    <x v="6"/>
    <x v="2"/>
  </r>
  <r>
    <x v="1146"/>
    <x v="2"/>
    <x v="1"/>
    <n v="94.7"/>
    <x v="975"/>
    <x v="44"/>
    <d v="2025-02-15T00:00:00"/>
    <x v="2"/>
    <x v="2"/>
    <x v="0"/>
    <x v="0"/>
    <x v="36"/>
    <x v="3"/>
    <x v="6"/>
    <x v="2"/>
  </r>
  <r>
    <x v="1147"/>
    <x v="1"/>
    <x v="13"/>
    <n v="38.799999999999997"/>
    <x v="976"/>
    <x v="44"/>
    <d v="2025-02-19T00:00:00"/>
    <x v="2"/>
    <x v="2"/>
    <x v="2"/>
    <x v="0"/>
    <x v="8"/>
    <x v="0"/>
    <x v="6"/>
    <x v="2"/>
  </r>
  <r>
    <x v="1148"/>
    <x v="9"/>
    <x v="1"/>
    <n v="49.4"/>
    <x v="197"/>
    <x v="45"/>
    <d v="2025-02-23T00:00:00"/>
    <x v="1"/>
    <x v="4"/>
    <x v="1"/>
    <x v="0"/>
    <x v="8"/>
    <x v="9"/>
    <x v="6"/>
    <x v="1"/>
  </r>
  <r>
    <x v="1149"/>
    <x v="7"/>
    <x v="2"/>
    <n v="68"/>
    <x v="977"/>
    <x v="45"/>
    <d v="2025-02-18T00:00:00"/>
    <x v="1"/>
    <x v="0"/>
    <x v="2"/>
    <x v="0"/>
    <x v="8"/>
    <x v="2"/>
    <x v="6"/>
    <x v="1"/>
  </r>
  <r>
    <x v="1150"/>
    <x v="15"/>
    <x v="3"/>
    <n v="63.7"/>
    <x v="978"/>
    <x v="45"/>
    <d v="2025-02-16T00:00:00"/>
    <x v="2"/>
    <x v="2"/>
    <x v="2"/>
    <x v="0"/>
    <x v="8"/>
    <x v="3"/>
    <x v="6"/>
    <x v="2"/>
  </r>
  <r>
    <x v="1151"/>
    <x v="10"/>
    <x v="1"/>
    <n v="66.2"/>
    <x v="979"/>
    <x v="45"/>
    <d v="2025-02-16T00:00:00"/>
    <x v="2"/>
    <x v="4"/>
    <x v="2"/>
    <x v="0"/>
    <x v="17"/>
    <x v="3"/>
    <x v="6"/>
    <x v="2"/>
  </r>
  <r>
    <x v="1152"/>
    <x v="12"/>
    <x v="2"/>
    <n v="32.299999999999997"/>
    <x v="980"/>
    <x v="45"/>
    <d v="2025-02-16T00:00:00"/>
    <x v="3"/>
    <x v="2"/>
    <x v="1"/>
    <x v="0"/>
    <x v="9"/>
    <x v="3"/>
    <x v="6"/>
    <x v="0"/>
  </r>
  <r>
    <x v="1153"/>
    <x v="4"/>
    <x v="1"/>
    <n v="66.900000000000006"/>
    <x v="981"/>
    <x v="45"/>
    <d v="2025-02-18T00:00:00"/>
    <x v="1"/>
    <x v="1"/>
    <x v="0"/>
    <x v="0"/>
    <x v="11"/>
    <x v="2"/>
    <x v="6"/>
    <x v="1"/>
  </r>
  <r>
    <x v="1154"/>
    <x v="4"/>
    <x v="4"/>
    <n v="25.2"/>
    <x v="982"/>
    <x v="45"/>
    <d v="2025-02-19T00:00:00"/>
    <x v="2"/>
    <x v="0"/>
    <x v="1"/>
    <x v="0"/>
    <x v="11"/>
    <x v="5"/>
    <x v="6"/>
    <x v="2"/>
  </r>
  <r>
    <x v="1155"/>
    <x v="10"/>
    <x v="13"/>
    <n v="29.5"/>
    <x v="983"/>
    <x v="45"/>
    <d v="2025-02-16T00:00:00"/>
    <x v="1"/>
    <x v="2"/>
    <x v="0"/>
    <x v="0"/>
    <x v="11"/>
    <x v="3"/>
    <x v="6"/>
    <x v="1"/>
  </r>
  <r>
    <x v="1156"/>
    <x v="8"/>
    <x v="9"/>
    <n v="21.6"/>
    <x v="807"/>
    <x v="45"/>
    <d v="2025-02-17T00:00:00"/>
    <x v="2"/>
    <x v="0"/>
    <x v="2"/>
    <x v="0"/>
    <x v="32"/>
    <x v="1"/>
    <x v="6"/>
    <x v="2"/>
  </r>
  <r>
    <x v="1157"/>
    <x v="12"/>
    <x v="2"/>
    <n v="69"/>
    <x v="461"/>
    <x v="45"/>
    <d v="2025-02-16T00:00:00"/>
    <x v="2"/>
    <x v="0"/>
    <x v="0"/>
    <x v="0"/>
    <x v="18"/>
    <x v="3"/>
    <x v="6"/>
    <x v="2"/>
  </r>
  <r>
    <x v="1158"/>
    <x v="7"/>
    <x v="1"/>
    <n v="115"/>
    <x v="984"/>
    <x v="45"/>
    <d v="2025-02-19T00:00:00"/>
    <x v="1"/>
    <x v="0"/>
    <x v="2"/>
    <x v="0"/>
    <x v="18"/>
    <x v="5"/>
    <x v="6"/>
    <x v="1"/>
  </r>
  <r>
    <x v="1159"/>
    <x v="2"/>
    <x v="1"/>
    <n v="109.3"/>
    <x v="985"/>
    <x v="45"/>
    <d v="2025-02-17T00:00:00"/>
    <x v="0"/>
    <x v="3"/>
    <x v="1"/>
    <x v="0"/>
    <x v="19"/>
    <x v="1"/>
    <x v="6"/>
    <x v="0"/>
  </r>
  <r>
    <x v="1160"/>
    <x v="9"/>
    <x v="1"/>
    <n v="66.599999999999994"/>
    <x v="986"/>
    <x v="45"/>
    <d v="2025-02-18T00:00:00"/>
    <x v="0"/>
    <x v="4"/>
    <x v="1"/>
    <x v="0"/>
    <x v="19"/>
    <x v="2"/>
    <x v="6"/>
    <x v="0"/>
  </r>
  <r>
    <x v="1161"/>
    <x v="12"/>
    <x v="9"/>
    <n v="47.7"/>
    <x v="987"/>
    <x v="45"/>
    <d v="2025-02-16T00:00:00"/>
    <x v="1"/>
    <x v="3"/>
    <x v="2"/>
    <x v="0"/>
    <x v="21"/>
    <x v="3"/>
    <x v="6"/>
    <x v="1"/>
  </r>
  <r>
    <x v="1162"/>
    <x v="8"/>
    <x v="1"/>
    <n v="46"/>
    <x v="988"/>
    <x v="45"/>
    <d v="2025-02-16T00:00:00"/>
    <x v="2"/>
    <x v="4"/>
    <x v="4"/>
    <x v="0"/>
    <x v="22"/>
    <x v="3"/>
    <x v="6"/>
    <x v="2"/>
  </r>
  <r>
    <x v="1163"/>
    <x v="1"/>
    <x v="13"/>
    <n v="39.299999999999997"/>
    <x v="989"/>
    <x v="45"/>
    <d v="2025-02-17T00:00:00"/>
    <x v="1"/>
    <x v="3"/>
    <x v="2"/>
    <x v="0"/>
    <x v="3"/>
    <x v="1"/>
    <x v="6"/>
    <x v="1"/>
  </r>
  <r>
    <x v="1164"/>
    <x v="9"/>
    <x v="0"/>
    <n v="70.2"/>
    <x v="474"/>
    <x v="45"/>
    <d v="2025-02-16T00:00:00"/>
    <x v="2"/>
    <x v="0"/>
    <x v="4"/>
    <x v="0"/>
    <x v="3"/>
    <x v="3"/>
    <x v="6"/>
    <x v="2"/>
  </r>
  <r>
    <x v="1165"/>
    <x v="3"/>
    <x v="12"/>
    <n v="71.5"/>
    <x v="990"/>
    <x v="45"/>
    <d v="2025-02-15T00:00:00"/>
    <x v="2"/>
    <x v="1"/>
    <x v="2"/>
    <x v="0"/>
    <x v="3"/>
    <x v="7"/>
    <x v="6"/>
    <x v="2"/>
  </r>
  <r>
    <x v="1166"/>
    <x v="10"/>
    <x v="3"/>
    <n v="31"/>
    <x v="991"/>
    <x v="45"/>
    <d v="2025-02-22T00:00:00"/>
    <x v="2"/>
    <x v="3"/>
    <x v="2"/>
    <x v="0"/>
    <x v="3"/>
    <x v="6"/>
    <x v="6"/>
    <x v="2"/>
  </r>
  <r>
    <x v="1167"/>
    <x v="2"/>
    <x v="9"/>
    <n v="68.2"/>
    <x v="992"/>
    <x v="45"/>
    <d v="2025-02-20T00:00:00"/>
    <x v="2"/>
    <x v="0"/>
    <x v="2"/>
    <x v="0"/>
    <x v="3"/>
    <x v="0"/>
    <x v="6"/>
    <x v="2"/>
  </r>
  <r>
    <x v="1168"/>
    <x v="2"/>
    <x v="0"/>
    <n v="91.4"/>
    <x v="411"/>
    <x v="45"/>
    <d v="2025-02-19T00:00:00"/>
    <x v="2"/>
    <x v="1"/>
    <x v="2"/>
    <x v="0"/>
    <x v="6"/>
    <x v="5"/>
    <x v="6"/>
    <x v="2"/>
  </r>
  <r>
    <x v="1169"/>
    <x v="6"/>
    <x v="7"/>
    <n v="112.9"/>
    <x v="993"/>
    <x v="45"/>
    <d v="2025-02-16T00:00:00"/>
    <x v="2"/>
    <x v="0"/>
    <x v="0"/>
    <x v="0"/>
    <x v="6"/>
    <x v="3"/>
    <x v="6"/>
    <x v="2"/>
  </r>
  <r>
    <x v="1170"/>
    <x v="17"/>
    <x v="11"/>
    <n v="33.700000000000003"/>
    <x v="994"/>
    <x v="45"/>
    <d v="2025-02-16T00:00:00"/>
    <x v="2"/>
    <x v="1"/>
    <x v="2"/>
    <x v="0"/>
    <x v="8"/>
    <x v="3"/>
    <x v="6"/>
    <x v="2"/>
  </r>
  <r>
    <x v="1171"/>
    <x v="15"/>
    <x v="7"/>
    <n v="35.299999999999997"/>
    <x v="995"/>
    <x v="45"/>
    <d v="2025-02-17T00:00:00"/>
    <x v="1"/>
    <x v="2"/>
    <x v="0"/>
    <x v="0"/>
    <x v="8"/>
    <x v="1"/>
    <x v="6"/>
    <x v="1"/>
  </r>
  <r>
    <x v="1172"/>
    <x v="18"/>
    <x v="2"/>
    <n v="45.6"/>
    <x v="996"/>
    <x v="45"/>
    <d v="2025-02-19T00:00:00"/>
    <x v="1"/>
    <x v="3"/>
    <x v="0"/>
    <x v="0"/>
    <x v="8"/>
    <x v="5"/>
    <x v="6"/>
    <x v="1"/>
  </r>
  <r>
    <x v="1173"/>
    <x v="7"/>
    <x v="3"/>
    <n v="47.1"/>
    <x v="847"/>
    <x v="45"/>
    <d v="2025-02-16T00:00:00"/>
    <x v="2"/>
    <x v="4"/>
    <x v="2"/>
    <x v="0"/>
    <x v="9"/>
    <x v="3"/>
    <x v="6"/>
    <x v="2"/>
  </r>
  <r>
    <x v="1174"/>
    <x v="8"/>
    <x v="9"/>
    <n v="16.2"/>
    <x v="969"/>
    <x v="45"/>
    <d v="2025-02-17T00:00:00"/>
    <x v="2"/>
    <x v="3"/>
    <x v="2"/>
    <x v="0"/>
    <x v="19"/>
    <x v="1"/>
    <x v="6"/>
    <x v="2"/>
  </r>
  <r>
    <x v="1175"/>
    <x v="1"/>
    <x v="1"/>
    <n v="159.69999999999999"/>
    <x v="997"/>
    <x v="46"/>
    <d v="2025-02-17T00:00:00"/>
    <x v="1"/>
    <x v="4"/>
    <x v="0"/>
    <x v="0"/>
    <x v="13"/>
    <x v="3"/>
    <x v="7"/>
    <x v="1"/>
  </r>
  <r>
    <x v="1176"/>
    <x v="8"/>
    <x v="12"/>
    <n v="19"/>
    <x v="998"/>
    <x v="46"/>
    <d v="2025-02-23T00:00:00"/>
    <x v="2"/>
    <x v="2"/>
    <x v="2"/>
    <x v="0"/>
    <x v="21"/>
    <x v="6"/>
    <x v="7"/>
    <x v="2"/>
  </r>
  <r>
    <x v="1177"/>
    <x v="6"/>
    <x v="13"/>
    <n v="91.1"/>
    <x v="999"/>
    <x v="46"/>
    <d v="2025-02-25T00:00:00"/>
    <x v="2"/>
    <x v="4"/>
    <x v="0"/>
    <x v="0"/>
    <x v="21"/>
    <x v="8"/>
    <x v="7"/>
    <x v="2"/>
  </r>
  <r>
    <x v="1178"/>
    <x v="2"/>
    <x v="9"/>
    <n v="94.1"/>
    <x v="1000"/>
    <x v="46"/>
    <d v="2025-02-19T00:00:00"/>
    <x v="0"/>
    <x v="1"/>
    <x v="1"/>
    <x v="0"/>
    <x v="21"/>
    <x v="2"/>
    <x v="7"/>
    <x v="0"/>
  </r>
  <r>
    <x v="1179"/>
    <x v="9"/>
    <x v="11"/>
    <n v="21.1"/>
    <x v="1001"/>
    <x v="46"/>
    <d v="2025-02-17T00:00:00"/>
    <x v="2"/>
    <x v="4"/>
    <x v="2"/>
    <x v="0"/>
    <x v="51"/>
    <x v="3"/>
    <x v="7"/>
    <x v="2"/>
  </r>
  <r>
    <x v="1180"/>
    <x v="8"/>
    <x v="3"/>
    <n v="15.3"/>
    <x v="1002"/>
    <x v="46"/>
    <d v="2025-02-24T00:00:00"/>
    <x v="2"/>
    <x v="2"/>
    <x v="0"/>
    <x v="0"/>
    <x v="1"/>
    <x v="9"/>
    <x v="7"/>
    <x v="2"/>
  </r>
  <r>
    <x v="1181"/>
    <x v="15"/>
    <x v="12"/>
    <n v="21.3"/>
    <x v="464"/>
    <x v="46"/>
    <d v="2025-02-19T00:00:00"/>
    <x v="1"/>
    <x v="1"/>
    <x v="0"/>
    <x v="0"/>
    <x v="3"/>
    <x v="2"/>
    <x v="7"/>
    <x v="1"/>
  </r>
  <r>
    <x v="1182"/>
    <x v="0"/>
    <x v="1"/>
    <n v="23.2"/>
    <x v="434"/>
    <x v="46"/>
    <d v="2025-02-16T00:00:00"/>
    <x v="0"/>
    <x v="3"/>
    <x v="1"/>
    <x v="0"/>
    <x v="3"/>
    <x v="7"/>
    <x v="7"/>
    <x v="0"/>
  </r>
  <r>
    <x v="1183"/>
    <x v="4"/>
    <x v="2"/>
    <n v="25.7"/>
    <x v="1003"/>
    <x v="46"/>
    <d v="2025-02-17T00:00:00"/>
    <x v="1"/>
    <x v="4"/>
    <x v="0"/>
    <x v="0"/>
    <x v="3"/>
    <x v="3"/>
    <x v="7"/>
    <x v="1"/>
  </r>
  <r>
    <x v="1184"/>
    <x v="0"/>
    <x v="11"/>
    <n v="31.6"/>
    <x v="1004"/>
    <x v="46"/>
    <d v="2025-02-18T00:00:00"/>
    <x v="2"/>
    <x v="0"/>
    <x v="0"/>
    <x v="0"/>
    <x v="3"/>
    <x v="1"/>
    <x v="7"/>
    <x v="2"/>
  </r>
  <r>
    <x v="1185"/>
    <x v="6"/>
    <x v="0"/>
    <n v="64.2"/>
    <x v="1005"/>
    <x v="46"/>
    <d v="2025-02-21T00:00:00"/>
    <x v="1"/>
    <x v="0"/>
    <x v="0"/>
    <x v="0"/>
    <x v="3"/>
    <x v="0"/>
    <x v="7"/>
    <x v="1"/>
  </r>
  <r>
    <x v="1186"/>
    <x v="8"/>
    <x v="1"/>
    <n v="55.8"/>
    <x v="1006"/>
    <x v="46"/>
    <d v="2025-02-18T00:00:00"/>
    <x v="0"/>
    <x v="0"/>
    <x v="0"/>
    <x v="0"/>
    <x v="3"/>
    <x v="1"/>
    <x v="7"/>
    <x v="0"/>
  </r>
  <r>
    <x v="1187"/>
    <x v="8"/>
    <x v="1"/>
    <n v="28.1"/>
    <x v="1007"/>
    <x v="46"/>
    <d v="2025-02-17T00:00:00"/>
    <x v="2"/>
    <x v="4"/>
    <x v="1"/>
    <x v="0"/>
    <x v="3"/>
    <x v="3"/>
    <x v="7"/>
    <x v="2"/>
  </r>
  <r>
    <x v="1188"/>
    <x v="0"/>
    <x v="1"/>
    <n v="11.6"/>
    <x v="772"/>
    <x v="46"/>
    <d v="2025-02-18T00:00:00"/>
    <x v="2"/>
    <x v="1"/>
    <x v="0"/>
    <x v="0"/>
    <x v="24"/>
    <x v="1"/>
    <x v="7"/>
    <x v="2"/>
  </r>
  <r>
    <x v="1189"/>
    <x v="5"/>
    <x v="2"/>
    <n v="50.4"/>
    <x v="277"/>
    <x v="46"/>
    <d v="2025-02-17T00:00:00"/>
    <x v="1"/>
    <x v="4"/>
    <x v="2"/>
    <x v="0"/>
    <x v="25"/>
    <x v="3"/>
    <x v="7"/>
    <x v="1"/>
  </r>
  <r>
    <x v="1190"/>
    <x v="6"/>
    <x v="13"/>
    <n v="48.3"/>
    <x v="1008"/>
    <x v="46"/>
    <d v="2025-02-20T00:00:00"/>
    <x v="2"/>
    <x v="0"/>
    <x v="0"/>
    <x v="0"/>
    <x v="25"/>
    <x v="5"/>
    <x v="7"/>
    <x v="2"/>
  </r>
  <r>
    <x v="1191"/>
    <x v="17"/>
    <x v="3"/>
    <n v="32.200000000000003"/>
    <x v="1009"/>
    <x v="46"/>
    <d v="2025-02-18T00:00:00"/>
    <x v="2"/>
    <x v="2"/>
    <x v="0"/>
    <x v="0"/>
    <x v="25"/>
    <x v="1"/>
    <x v="7"/>
    <x v="2"/>
  </r>
  <r>
    <x v="1192"/>
    <x v="7"/>
    <x v="31"/>
    <n v="48.5"/>
    <x v="1010"/>
    <x v="46"/>
    <d v="2025-02-17T00:00:00"/>
    <x v="1"/>
    <x v="0"/>
    <x v="0"/>
    <x v="0"/>
    <x v="5"/>
    <x v="3"/>
    <x v="7"/>
    <x v="1"/>
  </r>
  <r>
    <x v="1193"/>
    <x v="2"/>
    <x v="9"/>
    <n v="62"/>
    <x v="892"/>
    <x v="46"/>
    <d v="2025-02-19T00:00:00"/>
    <x v="2"/>
    <x v="1"/>
    <x v="0"/>
    <x v="0"/>
    <x v="6"/>
    <x v="2"/>
    <x v="7"/>
    <x v="2"/>
  </r>
  <r>
    <x v="1194"/>
    <x v="8"/>
    <x v="2"/>
    <n v="32.1"/>
    <x v="219"/>
    <x v="47"/>
    <d v="2025-02-19T00:00:00"/>
    <x v="1"/>
    <x v="0"/>
    <x v="0"/>
    <x v="0"/>
    <x v="6"/>
    <x v="1"/>
    <x v="7"/>
    <x v="1"/>
  </r>
  <r>
    <x v="1195"/>
    <x v="12"/>
    <x v="2"/>
    <n v="106.1"/>
    <x v="1011"/>
    <x v="47"/>
    <d v="2025-02-19T00:00:00"/>
    <x v="1"/>
    <x v="0"/>
    <x v="1"/>
    <x v="0"/>
    <x v="7"/>
    <x v="1"/>
    <x v="7"/>
    <x v="1"/>
  </r>
  <r>
    <x v="1196"/>
    <x v="10"/>
    <x v="2"/>
    <n v="23.5"/>
    <x v="1012"/>
    <x v="47"/>
    <d v="2025-02-20T00:00:00"/>
    <x v="1"/>
    <x v="0"/>
    <x v="4"/>
    <x v="0"/>
    <x v="7"/>
    <x v="2"/>
    <x v="7"/>
    <x v="1"/>
  </r>
  <r>
    <x v="1197"/>
    <x v="1"/>
    <x v="1"/>
    <n v="35.6"/>
    <x v="1013"/>
    <x v="47"/>
    <d v="2025-02-22T00:00:00"/>
    <x v="1"/>
    <x v="4"/>
    <x v="0"/>
    <x v="0"/>
    <x v="8"/>
    <x v="0"/>
    <x v="7"/>
    <x v="1"/>
  </r>
  <r>
    <x v="1198"/>
    <x v="1"/>
    <x v="1"/>
    <n v="63.5"/>
    <x v="520"/>
    <x v="47"/>
    <d v="2025-02-17T00:00:00"/>
    <x v="2"/>
    <x v="1"/>
    <x v="2"/>
    <x v="0"/>
    <x v="8"/>
    <x v="7"/>
    <x v="7"/>
    <x v="2"/>
  </r>
  <r>
    <x v="1199"/>
    <x v="6"/>
    <x v="3"/>
    <n v="82.9"/>
    <x v="1014"/>
    <x v="47"/>
    <d v="2025-02-22T00:00:00"/>
    <x v="2"/>
    <x v="4"/>
    <x v="0"/>
    <x v="0"/>
    <x v="9"/>
    <x v="0"/>
    <x v="7"/>
    <x v="2"/>
  </r>
  <r>
    <x v="1200"/>
    <x v="6"/>
    <x v="1"/>
    <n v="83.6"/>
    <x v="762"/>
    <x v="47"/>
    <d v="2025-02-22T00:00:00"/>
    <x v="2"/>
    <x v="0"/>
    <x v="0"/>
    <x v="0"/>
    <x v="11"/>
    <x v="0"/>
    <x v="7"/>
    <x v="2"/>
  </r>
  <r>
    <x v="1201"/>
    <x v="4"/>
    <x v="1"/>
    <n v="29.4"/>
    <x v="572"/>
    <x v="47"/>
    <d v="2025-02-17T00:00:00"/>
    <x v="2"/>
    <x v="0"/>
    <x v="1"/>
    <x v="0"/>
    <x v="30"/>
    <x v="7"/>
    <x v="7"/>
    <x v="2"/>
  </r>
  <r>
    <x v="1202"/>
    <x v="2"/>
    <x v="2"/>
    <n v="107.1"/>
    <x v="1015"/>
    <x v="47"/>
    <d v="2025-02-21T00:00:00"/>
    <x v="2"/>
    <x v="2"/>
    <x v="0"/>
    <x v="0"/>
    <x v="20"/>
    <x v="5"/>
    <x v="7"/>
    <x v="2"/>
  </r>
  <r>
    <x v="1203"/>
    <x v="2"/>
    <x v="0"/>
    <n v="62.7"/>
    <x v="1016"/>
    <x v="47"/>
    <d v="2025-02-21T00:00:00"/>
    <x v="1"/>
    <x v="1"/>
    <x v="0"/>
    <x v="0"/>
    <x v="21"/>
    <x v="5"/>
    <x v="7"/>
    <x v="1"/>
  </r>
  <r>
    <x v="1204"/>
    <x v="11"/>
    <x v="0"/>
    <n v="41.6"/>
    <x v="480"/>
    <x v="47"/>
    <d v="2025-02-18T00:00:00"/>
    <x v="1"/>
    <x v="0"/>
    <x v="1"/>
    <x v="0"/>
    <x v="1"/>
    <x v="3"/>
    <x v="7"/>
    <x v="1"/>
  </r>
  <r>
    <x v="1205"/>
    <x v="6"/>
    <x v="0"/>
    <n v="44.2"/>
    <x v="573"/>
    <x v="47"/>
    <d v="2025-02-18T00:00:00"/>
    <x v="3"/>
    <x v="0"/>
    <x v="1"/>
    <x v="0"/>
    <x v="1"/>
    <x v="3"/>
    <x v="7"/>
    <x v="0"/>
  </r>
  <r>
    <x v="1206"/>
    <x v="4"/>
    <x v="13"/>
    <n v="40.4"/>
    <x v="1017"/>
    <x v="47"/>
    <d v="2025-03-02T00:00:00"/>
    <x v="2"/>
    <x v="2"/>
    <x v="0"/>
    <x v="0"/>
    <x v="22"/>
    <x v="10"/>
    <x v="7"/>
    <x v="2"/>
  </r>
  <r>
    <x v="1207"/>
    <x v="15"/>
    <x v="13"/>
    <n v="59.6"/>
    <x v="1018"/>
    <x v="47"/>
    <d v="2025-02-18T00:00:00"/>
    <x v="2"/>
    <x v="4"/>
    <x v="0"/>
    <x v="0"/>
    <x v="34"/>
    <x v="3"/>
    <x v="7"/>
    <x v="2"/>
  </r>
  <r>
    <x v="1208"/>
    <x v="17"/>
    <x v="4"/>
    <n v="63.8"/>
    <x v="1019"/>
    <x v="47"/>
    <d v="2025-02-18T00:00:00"/>
    <x v="1"/>
    <x v="1"/>
    <x v="0"/>
    <x v="0"/>
    <x v="3"/>
    <x v="3"/>
    <x v="7"/>
    <x v="1"/>
  </r>
  <r>
    <x v="1209"/>
    <x v="9"/>
    <x v="13"/>
    <n v="30.8"/>
    <x v="827"/>
    <x v="47"/>
    <d v="2025-02-19T00:00:00"/>
    <x v="1"/>
    <x v="4"/>
    <x v="0"/>
    <x v="0"/>
    <x v="3"/>
    <x v="1"/>
    <x v="7"/>
    <x v="1"/>
  </r>
  <r>
    <x v="1210"/>
    <x v="1"/>
    <x v="1"/>
    <n v="41.5"/>
    <x v="470"/>
    <x v="47"/>
    <d v="2025-02-20T00:00:00"/>
    <x v="3"/>
    <x v="0"/>
    <x v="0"/>
    <x v="0"/>
    <x v="3"/>
    <x v="2"/>
    <x v="7"/>
    <x v="0"/>
  </r>
  <r>
    <x v="1211"/>
    <x v="10"/>
    <x v="12"/>
    <n v="44.7"/>
    <x v="1020"/>
    <x v="47"/>
    <d v="2025-02-19T00:00:00"/>
    <x v="2"/>
    <x v="2"/>
    <x v="1"/>
    <x v="0"/>
    <x v="3"/>
    <x v="1"/>
    <x v="7"/>
    <x v="2"/>
  </r>
  <r>
    <x v="1212"/>
    <x v="12"/>
    <x v="1"/>
    <n v="64.099999999999994"/>
    <x v="618"/>
    <x v="47"/>
    <d v="2025-02-21T00:00:00"/>
    <x v="2"/>
    <x v="1"/>
    <x v="4"/>
    <x v="0"/>
    <x v="3"/>
    <x v="5"/>
    <x v="7"/>
    <x v="2"/>
  </r>
  <r>
    <x v="1213"/>
    <x v="8"/>
    <x v="0"/>
    <n v="15.9"/>
    <x v="1021"/>
    <x v="47"/>
    <d v="2025-02-20T00:00:00"/>
    <x v="0"/>
    <x v="1"/>
    <x v="0"/>
    <x v="0"/>
    <x v="3"/>
    <x v="2"/>
    <x v="7"/>
    <x v="0"/>
  </r>
  <r>
    <x v="1214"/>
    <x v="6"/>
    <x v="1"/>
    <n v="78.7"/>
    <x v="1022"/>
    <x v="47"/>
    <d v="2025-02-17T00:00:00"/>
    <x v="2"/>
    <x v="2"/>
    <x v="1"/>
    <x v="0"/>
    <x v="3"/>
    <x v="7"/>
    <x v="7"/>
    <x v="2"/>
  </r>
  <r>
    <x v="1215"/>
    <x v="5"/>
    <x v="4"/>
    <n v="29.6"/>
    <x v="1023"/>
    <x v="47"/>
    <d v="2025-02-21T00:00:00"/>
    <x v="1"/>
    <x v="2"/>
    <x v="4"/>
    <x v="0"/>
    <x v="3"/>
    <x v="5"/>
    <x v="7"/>
    <x v="1"/>
  </r>
  <r>
    <x v="1216"/>
    <x v="8"/>
    <x v="12"/>
    <n v="21.5"/>
    <x v="1024"/>
    <x v="47"/>
    <d v="2025-02-20T00:00:00"/>
    <x v="1"/>
    <x v="1"/>
    <x v="0"/>
    <x v="0"/>
    <x v="3"/>
    <x v="2"/>
    <x v="7"/>
    <x v="1"/>
  </r>
  <r>
    <x v="1217"/>
    <x v="9"/>
    <x v="2"/>
    <n v="74.900000000000006"/>
    <x v="890"/>
    <x v="47"/>
    <d v="2025-02-26T00:00:00"/>
    <x v="1"/>
    <x v="3"/>
    <x v="1"/>
    <x v="0"/>
    <x v="3"/>
    <x v="8"/>
    <x v="7"/>
    <x v="1"/>
  </r>
  <r>
    <x v="1218"/>
    <x v="10"/>
    <x v="13"/>
    <n v="45"/>
    <x v="843"/>
    <x v="47"/>
    <d v="2025-02-22T00:00:00"/>
    <x v="2"/>
    <x v="2"/>
    <x v="0"/>
    <x v="0"/>
    <x v="3"/>
    <x v="0"/>
    <x v="7"/>
    <x v="2"/>
  </r>
  <r>
    <x v="1219"/>
    <x v="7"/>
    <x v="33"/>
    <n v="37.9"/>
    <x v="1025"/>
    <x v="47"/>
    <d v="2025-02-18T00:00:00"/>
    <x v="1"/>
    <x v="0"/>
    <x v="0"/>
    <x v="0"/>
    <x v="3"/>
    <x v="3"/>
    <x v="7"/>
    <x v="1"/>
  </r>
  <r>
    <x v="1220"/>
    <x v="6"/>
    <x v="2"/>
    <n v="56.6"/>
    <x v="1026"/>
    <x v="47"/>
    <d v="2025-02-18T00:00:00"/>
    <x v="1"/>
    <x v="3"/>
    <x v="0"/>
    <x v="0"/>
    <x v="3"/>
    <x v="3"/>
    <x v="7"/>
    <x v="1"/>
  </r>
  <r>
    <x v="1221"/>
    <x v="3"/>
    <x v="15"/>
    <n v="84.5"/>
    <x v="1027"/>
    <x v="47"/>
    <d v="2025-02-20T00:00:00"/>
    <x v="2"/>
    <x v="1"/>
    <x v="4"/>
    <x v="0"/>
    <x v="3"/>
    <x v="2"/>
    <x v="7"/>
    <x v="2"/>
  </r>
  <r>
    <x v="1222"/>
    <x v="2"/>
    <x v="9"/>
    <n v="105.4"/>
    <x v="1028"/>
    <x v="47"/>
    <d v="2025-02-19T00:00:00"/>
    <x v="2"/>
    <x v="1"/>
    <x v="1"/>
    <x v="0"/>
    <x v="3"/>
    <x v="1"/>
    <x v="7"/>
    <x v="2"/>
  </r>
  <r>
    <x v="1223"/>
    <x v="18"/>
    <x v="3"/>
    <n v="39.4"/>
    <x v="1029"/>
    <x v="48"/>
    <d v="2025-02-18T00:00:00"/>
    <x v="1"/>
    <x v="1"/>
    <x v="0"/>
    <x v="0"/>
    <x v="37"/>
    <x v="7"/>
    <x v="7"/>
    <x v="1"/>
  </r>
  <r>
    <x v="1224"/>
    <x v="19"/>
    <x v="2"/>
    <n v="38"/>
    <x v="717"/>
    <x v="48"/>
    <d v="2025-02-21T00:00:00"/>
    <x v="1"/>
    <x v="4"/>
    <x v="1"/>
    <x v="0"/>
    <x v="6"/>
    <x v="2"/>
    <x v="7"/>
    <x v="1"/>
  </r>
  <r>
    <x v="1225"/>
    <x v="17"/>
    <x v="12"/>
    <n v="42.5"/>
    <x v="393"/>
    <x v="48"/>
    <d v="2025-02-20T00:00:00"/>
    <x v="0"/>
    <x v="0"/>
    <x v="0"/>
    <x v="0"/>
    <x v="6"/>
    <x v="1"/>
    <x v="7"/>
    <x v="0"/>
  </r>
  <r>
    <x v="1226"/>
    <x v="15"/>
    <x v="0"/>
    <n v="62.3"/>
    <x v="1030"/>
    <x v="48"/>
    <d v="2025-02-27T00:00:00"/>
    <x v="1"/>
    <x v="0"/>
    <x v="2"/>
    <x v="0"/>
    <x v="6"/>
    <x v="8"/>
    <x v="7"/>
    <x v="1"/>
  </r>
  <r>
    <x v="1227"/>
    <x v="6"/>
    <x v="9"/>
    <n v="49.1"/>
    <x v="1031"/>
    <x v="48"/>
    <d v="2025-02-20T00:00:00"/>
    <x v="2"/>
    <x v="1"/>
    <x v="2"/>
    <x v="0"/>
    <x v="7"/>
    <x v="1"/>
    <x v="7"/>
    <x v="2"/>
  </r>
  <r>
    <x v="1228"/>
    <x v="3"/>
    <x v="1"/>
    <n v="30.5"/>
    <x v="170"/>
    <x v="48"/>
    <d v="2025-02-21T00:00:00"/>
    <x v="1"/>
    <x v="0"/>
    <x v="2"/>
    <x v="0"/>
    <x v="8"/>
    <x v="2"/>
    <x v="7"/>
    <x v="1"/>
  </r>
  <r>
    <x v="1229"/>
    <x v="2"/>
    <x v="1"/>
    <n v="154.80000000000001"/>
    <x v="141"/>
    <x v="48"/>
    <d v="2025-02-21T00:00:00"/>
    <x v="2"/>
    <x v="1"/>
    <x v="4"/>
    <x v="0"/>
    <x v="8"/>
    <x v="2"/>
    <x v="7"/>
    <x v="2"/>
  </r>
  <r>
    <x v="1230"/>
    <x v="6"/>
    <x v="0"/>
    <n v="45"/>
    <x v="583"/>
    <x v="48"/>
    <d v="2025-02-22T00:00:00"/>
    <x v="1"/>
    <x v="3"/>
    <x v="1"/>
    <x v="0"/>
    <x v="8"/>
    <x v="5"/>
    <x v="7"/>
    <x v="1"/>
  </r>
  <r>
    <x v="1231"/>
    <x v="0"/>
    <x v="3"/>
    <n v="15.3"/>
    <x v="1002"/>
    <x v="48"/>
    <d v="2025-02-19T00:00:00"/>
    <x v="1"/>
    <x v="0"/>
    <x v="2"/>
    <x v="0"/>
    <x v="8"/>
    <x v="3"/>
    <x v="7"/>
    <x v="1"/>
  </r>
  <r>
    <x v="1232"/>
    <x v="2"/>
    <x v="5"/>
    <n v="88.6"/>
    <x v="1032"/>
    <x v="48"/>
    <d v="2025-02-21T00:00:00"/>
    <x v="2"/>
    <x v="0"/>
    <x v="4"/>
    <x v="0"/>
    <x v="17"/>
    <x v="2"/>
    <x v="7"/>
    <x v="2"/>
  </r>
  <r>
    <x v="1233"/>
    <x v="9"/>
    <x v="1"/>
    <n v="49.7"/>
    <x v="1033"/>
    <x v="48"/>
    <d v="2025-02-20T00:00:00"/>
    <x v="3"/>
    <x v="4"/>
    <x v="0"/>
    <x v="0"/>
    <x v="10"/>
    <x v="1"/>
    <x v="7"/>
    <x v="0"/>
  </r>
  <r>
    <x v="1234"/>
    <x v="10"/>
    <x v="0"/>
    <n v="29"/>
    <x v="1034"/>
    <x v="48"/>
    <d v="2025-02-19T00:00:00"/>
    <x v="1"/>
    <x v="0"/>
    <x v="0"/>
    <x v="0"/>
    <x v="11"/>
    <x v="3"/>
    <x v="7"/>
    <x v="1"/>
  </r>
  <r>
    <x v="1235"/>
    <x v="1"/>
    <x v="0"/>
    <n v="60.7"/>
    <x v="1035"/>
    <x v="48"/>
    <d v="2025-02-19T00:00:00"/>
    <x v="3"/>
    <x v="0"/>
    <x v="1"/>
    <x v="0"/>
    <x v="11"/>
    <x v="3"/>
    <x v="7"/>
    <x v="0"/>
  </r>
  <r>
    <x v="1236"/>
    <x v="17"/>
    <x v="12"/>
    <n v="87.4"/>
    <x v="1036"/>
    <x v="48"/>
    <d v="2025-02-20T00:00:00"/>
    <x v="0"/>
    <x v="0"/>
    <x v="0"/>
    <x v="0"/>
    <x v="11"/>
    <x v="1"/>
    <x v="7"/>
    <x v="0"/>
  </r>
  <r>
    <x v="1237"/>
    <x v="4"/>
    <x v="3"/>
    <n v="44.5"/>
    <x v="1037"/>
    <x v="48"/>
    <d v="2025-02-22T00:00:00"/>
    <x v="2"/>
    <x v="2"/>
    <x v="2"/>
    <x v="0"/>
    <x v="19"/>
    <x v="5"/>
    <x v="7"/>
    <x v="2"/>
  </r>
  <r>
    <x v="1238"/>
    <x v="2"/>
    <x v="0"/>
    <n v="141"/>
    <x v="1038"/>
    <x v="48"/>
    <d v="2025-02-19T00:00:00"/>
    <x v="1"/>
    <x v="4"/>
    <x v="2"/>
    <x v="0"/>
    <x v="19"/>
    <x v="3"/>
    <x v="7"/>
    <x v="1"/>
  </r>
  <r>
    <x v="1239"/>
    <x v="0"/>
    <x v="2"/>
    <n v="16.7"/>
    <x v="1039"/>
    <x v="48"/>
    <d v="2025-02-26T00:00:00"/>
    <x v="2"/>
    <x v="0"/>
    <x v="0"/>
    <x v="0"/>
    <x v="20"/>
    <x v="9"/>
    <x v="7"/>
    <x v="2"/>
  </r>
  <r>
    <x v="1240"/>
    <x v="1"/>
    <x v="1"/>
    <n v="77.5"/>
    <x v="1040"/>
    <x v="48"/>
    <d v="2025-02-19T00:00:00"/>
    <x v="0"/>
    <x v="2"/>
    <x v="2"/>
    <x v="0"/>
    <x v="13"/>
    <x v="3"/>
    <x v="7"/>
    <x v="0"/>
  </r>
  <r>
    <x v="1241"/>
    <x v="2"/>
    <x v="1"/>
    <n v="163"/>
    <x v="1041"/>
    <x v="48"/>
    <d v="2025-02-24T00:00:00"/>
    <x v="2"/>
    <x v="4"/>
    <x v="0"/>
    <x v="0"/>
    <x v="21"/>
    <x v="4"/>
    <x v="7"/>
    <x v="2"/>
  </r>
  <r>
    <x v="1242"/>
    <x v="4"/>
    <x v="11"/>
    <n v="21.4"/>
    <x v="1042"/>
    <x v="48"/>
    <d v="2025-02-21T00:00:00"/>
    <x v="2"/>
    <x v="0"/>
    <x v="0"/>
    <x v="0"/>
    <x v="51"/>
    <x v="2"/>
    <x v="7"/>
    <x v="2"/>
  </r>
  <r>
    <x v="1243"/>
    <x v="10"/>
    <x v="5"/>
    <n v="31"/>
    <x v="992"/>
    <x v="48"/>
    <d v="2025-02-20T00:00:00"/>
    <x v="2"/>
    <x v="3"/>
    <x v="2"/>
    <x v="0"/>
    <x v="1"/>
    <x v="1"/>
    <x v="7"/>
    <x v="2"/>
  </r>
  <r>
    <x v="1244"/>
    <x v="7"/>
    <x v="1"/>
    <n v="34.299999999999997"/>
    <x v="1043"/>
    <x v="48"/>
    <d v="2025-02-20T00:00:00"/>
    <x v="2"/>
    <x v="0"/>
    <x v="3"/>
    <x v="0"/>
    <x v="1"/>
    <x v="1"/>
    <x v="7"/>
    <x v="2"/>
  </r>
  <r>
    <x v="1245"/>
    <x v="17"/>
    <x v="9"/>
    <n v="48.2"/>
    <x v="1044"/>
    <x v="48"/>
    <d v="2025-02-19T00:00:00"/>
    <x v="1"/>
    <x v="1"/>
    <x v="1"/>
    <x v="0"/>
    <x v="2"/>
    <x v="3"/>
    <x v="7"/>
    <x v="1"/>
  </r>
  <r>
    <x v="1246"/>
    <x v="10"/>
    <x v="0"/>
    <n v="51.4"/>
    <x v="1045"/>
    <x v="48"/>
    <d v="2025-02-19T00:00:00"/>
    <x v="1"/>
    <x v="0"/>
    <x v="0"/>
    <x v="0"/>
    <x v="3"/>
    <x v="3"/>
    <x v="7"/>
    <x v="1"/>
  </r>
  <r>
    <x v="1247"/>
    <x v="2"/>
    <x v="9"/>
    <n v="117.2"/>
    <x v="1046"/>
    <x v="48"/>
    <d v="2025-02-21T00:00:00"/>
    <x v="2"/>
    <x v="4"/>
    <x v="4"/>
    <x v="0"/>
    <x v="3"/>
    <x v="2"/>
    <x v="7"/>
    <x v="2"/>
  </r>
  <r>
    <x v="1248"/>
    <x v="8"/>
    <x v="0"/>
    <n v="38.1"/>
    <x v="220"/>
    <x v="48"/>
    <d v="2025-02-18T00:00:00"/>
    <x v="1"/>
    <x v="4"/>
    <x v="1"/>
    <x v="0"/>
    <x v="3"/>
    <x v="7"/>
    <x v="7"/>
    <x v="1"/>
  </r>
  <r>
    <x v="1249"/>
    <x v="0"/>
    <x v="1"/>
    <n v="44.1"/>
    <x v="1047"/>
    <x v="48"/>
    <d v="2025-02-20T00:00:00"/>
    <x v="2"/>
    <x v="2"/>
    <x v="0"/>
    <x v="0"/>
    <x v="3"/>
    <x v="1"/>
    <x v="7"/>
    <x v="2"/>
  </r>
  <r>
    <x v="1250"/>
    <x v="15"/>
    <x v="12"/>
    <n v="80.5"/>
    <x v="310"/>
    <x v="48"/>
    <d v="2025-02-23T00:00:00"/>
    <x v="1"/>
    <x v="0"/>
    <x v="0"/>
    <x v="0"/>
    <x v="3"/>
    <x v="0"/>
    <x v="7"/>
    <x v="1"/>
  </r>
  <r>
    <x v="1251"/>
    <x v="18"/>
    <x v="12"/>
    <n v="33.6"/>
    <x v="1048"/>
    <x v="48"/>
    <d v="2025-02-23T00:00:00"/>
    <x v="0"/>
    <x v="0"/>
    <x v="2"/>
    <x v="0"/>
    <x v="3"/>
    <x v="0"/>
    <x v="7"/>
    <x v="0"/>
  </r>
  <r>
    <x v="1252"/>
    <x v="9"/>
    <x v="11"/>
    <n v="41.8"/>
    <x v="82"/>
    <x v="48"/>
    <d v="2025-02-19T00:00:00"/>
    <x v="2"/>
    <x v="0"/>
    <x v="1"/>
    <x v="0"/>
    <x v="3"/>
    <x v="3"/>
    <x v="7"/>
    <x v="2"/>
  </r>
  <r>
    <x v="1253"/>
    <x v="1"/>
    <x v="1"/>
    <n v="106.2"/>
    <x v="230"/>
    <x v="48"/>
    <d v="2025-02-18T00:00:00"/>
    <x v="2"/>
    <x v="4"/>
    <x v="2"/>
    <x v="0"/>
    <x v="3"/>
    <x v="7"/>
    <x v="7"/>
    <x v="2"/>
  </r>
  <r>
    <x v="1254"/>
    <x v="1"/>
    <x v="1"/>
    <n v="52.6"/>
    <x v="1049"/>
    <x v="48"/>
    <d v="2025-02-19T00:00:00"/>
    <x v="2"/>
    <x v="0"/>
    <x v="2"/>
    <x v="0"/>
    <x v="5"/>
    <x v="3"/>
    <x v="7"/>
    <x v="2"/>
  </r>
  <r>
    <x v="1255"/>
    <x v="11"/>
    <x v="3"/>
    <n v="68.5"/>
    <x v="1050"/>
    <x v="48"/>
    <d v="2025-02-19T00:00:00"/>
    <x v="2"/>
    <x v="1"/>
    <x v="0"/>
    <x v="0"/>
    <x v="5"/>
    <x v="3"/>
    <x v="7"/>
    <x v="2"/>
  </r>
  <r>
    <x v="1256"/>
    <x v="1"/>
    <x v="1"/>
    <n v="55.6"/>
    <x v="622"/>
    <x v="48"/>
    <d v="2025-02-20T00:00:00"/>
    <x v="1"/>
    <x v="1"/>
    <x v="2"/>
    <x v="0"/>
    <x v="6"/>
    <x v="1"/>
    <x v="7"/>
    <x v="1"/>
  </r>
  <r>
    <x v="1257"/>
    <x v="2"/>
    <x v="2"/>
    <n v="134.9"/>
    <x v="1051"/>
    <x v="48"/>
    <d v="2025-02-19T00:00:00"/>
    <x v="1"/>
    <x v="1"/>
    <x v="1"/>
    <x v="0"/>
    <x v="6"/>
    <x v="3"/>
    <x v="7"/>
    <x v="1"/>
  </r>
  <r>
    <x v="1258"/>
    <x v="10"/>
    <x v="9"/>
    <n v="42.6"/>
    <x v="226"/>
    <x v="48"/>
    <d v="2025-02-19T00:00:00"/>
    <x v="1"/>
    <x v="0"/>
    <x v="0"/>
    <x v="0"/>
    <x v="6"/>
    <x v="3"/>
    <x v="7"/>
    <x v="1"/>
  </r>
  <r>
    <x v="1259"/>
    <x v="7"/>
    <x v="9"/>
    <n v="60.6"/>
    <x v="1052"/>
    <x v="48"/>
    <d v="2025-02-20T00:00:00"/>
    <x v="1"/>
    <x v="4"/>
    <x v="0"/>
    <x v="0"/>
    <x v="6"/>
    <x v="1"/>
    <x v="7"/>
    <x v="1"/>
  </r>
  <r>
    <x v="1260"/>
    <x v="8"/>
    <x v="1"/>
    <n v="43.5"/>
    <x v="1053"/>
    <x v="48"/>
    <d v="2025-02-19T00:00:00"/>
    <x v="1"/>
    <x v="4"/>
    <x v="0"/>
    <x v="0"/>
    <x v="7"/>
    <x v="3"/>
    <x v="7"/>
    <x v="1"/>
  </r>
  <r>
    <x v="1261"/>
    <x v="2"/>
    <x v="1"/>
    <n v="187.1"/>
    <x v="1054"/>
    <x v="48"/>
    <d v="2025-02-19T00:00:00"/>
    <x v="1"/>
    <x v="1"/>
    <x v="2"/>
    <x v="0"/>
    <x v="8"/>
    <x v="3"/>
    <x v="7"/>
    <x v="1"/>
  </r>
  <r>
    <x v="1262"/>
    <x v="9"/>
    <x v="2"/>
    <n v="32"/>
    <x v="854"/>
    <x v="48"/>
    <d v="2025-02-20T00:00:00"/>
    <x v="1"/>
    <x v="0"/>
    <x v="0"/>
    <x v="0"/>
    <x v="8"/>
    <x v="1"/>
    <x v="7"/>
    <x v="1"/>
  </r>
  <r>
    <x v="1263"/>
    <x v="9"/>
    <x v="1"/>
    <n v="110.8"/>
    <x v="1055"/>
    <x v="48"/>
    <d v="2025-02-18T00:00:00"/>
    <x v="1"/>
    <x v="0"/>
    <x v="2"/>
    <x v="0"/>
    <x v="8"/>
    <x v="7"/>
    <x v="7"/>
    <x v="1"/>
  </r>
  <r>
    <x v="1264"/>
    <x v="10"/>
    <x v="15"/>
    <n v="36.1"/>
    <x v="1056"/>
    <x v="48"/>
    <d v="2025-02-21T00:00:00"/>
    <x v="2"/>
    <x v="0"/>
    <x v="1"/>
    <x v="0"/>
    <x v="8"/>
    <x v="2"/>
    <x v="7"/>
    <x v="2"/>
  </r>
  <r>
    <x v="1265"/>
    <x v="0"/>
    <x v="0"/>
    <n v="24.1"/>
    <x v="1057"/>
    <x v="48"/>
    <d v="2025-02-20T00:00:00"/>
    <x v="2"/>
    <x v="4"/>
    <x v="2"/>
    <x v="0"/>
    <x v="8"/>
    <x v="1"/>
    <x v="7"/>
    <x v="2"/>
  </r>
  <r>
    <x v="1266"/>
    <x v="19"/>
    <x v="2"/>
    <n v="30.5"/>
    <x v="1058"/>
    <x v="48"/>
    <d v="2025-02-20T00:00:00"/>
    <x v="1"/>
    <x v="1"/>
    <x v="0"/>
    <x v="0"/>
    <x v="8"/>
    <x v="1"/>
    <x v="7"/>
    <x v="1"/>
  </r>
  <r>
    <x v="1267"/>
    <x v="18"/>
    <x v="13"/>
    <n v="68.3"/>
    <x v="1059"/>
    <x v="48"/>
    <d v="2025-02-21T00:00:00"/>
    <x v="1"/>
    <x v="0"/>
    <x v="0"/>
    <x v="0"/>
    <x v="8"/>
    <x v="2"/>
    <x v="7"/>
    <x v="1"/>
  </r>
  <r>
    <x v="1268"/>
    <x v="7"/>
    <x v="2"/>
    <n v="43.3"/>
    <x v="1060"/>
    <x v="48"/>
    <d v="2025-02-22T00:00:00"/>
    <x v="2"/>
    <x v="0"/>
    <x v="0"/>
    <x v="0"/>
    <x v="17"/>
    <x v="5"/>
    <x v="7"/>
    <x v="2"/>
  </r>
  <r>
    <x v="1269"/>
    <x v="3"/>
    <x v="0"/>
    <n v="101.7"/>
    <x v="530"/>
    <x v="48"/>
    <d v="2025-02-21T00:00:00"/>
    <x v="2"/>
    <x v="0"/>
    <x v="1"/>
    <x v="0"/>
    <x v="17"/>
    <x v="2"/>
    <x v="7"/>
    <x v="2"/>
  </r>
  <r>
    <x v="1270"/>
    <x v="11"/>
    <x v="1"/>
    <n v="54.2"/>
    <x v="1061"/>
    <x v="48"/>
    <d v="2025-02-19T00:00:00"/>
    <x v="2"/>
    <x v="0"/>
    <x v="1"/>
    <x v="0"/>
    <x v="17"/>
    <x v="3"/>
    <x v="7"/>
    <x v="2"/>
  </r>
  <r>
    <x v="1271"/>
    <x v="16"/>
    <x v="1"/>
    <n v="51"/>
    <x v="1062"/>
    <x v="48"/>
    <d v="2025-02-18T00:00:00"/>
    <x v="1"/>
    <x v="1"/>
    <x v="0"/>
    <x v="0"/>
    <x v="26"/>
    <x v="7"/>
    <x v="7"/>
    <x v="1"/>
  </r>
  <r>
    <x v="1272"/>
    <x v="4"/>
    <x v="1"/>
    <n v="23.1"/>
    <x v="1063"/>
    <x v="48"/>
    <d v="2025-02-21T00:00:00"/>
    <x v="1"/>
    <x v="1"/>
    <x v="0"/>
    <x v="0"/>
    <x v="10"/>
    <x v="2"/>
    <x v="7"/>
    <x v="1"/>
  </r>
  <r>
    <x v="1273"/>
    <x v="12"/>
    <x v="13"/>
    <n v="60.1"/>
    <x v="116"/>
    <x v="48"/>
    <d v="2025-02-18T00:00:00"/>
    <x v="2"/>
    <x v="3"/>
    <x v="0"/>
    <x v="0"/>
    <x v="11"/>
    <x v="7"/>
    <x v="7"/>
    <x v="2"/>
  </r>
  <r>
    <x v="1274"/>
    <x v="2"/>
    <x v="3"/>
    <n v="87.5"/>
    <x v="1064"/>
    <x v="48"/>
    <d v="2025-02-20T00:00:00"/>
    <x v="2"/>
    <x v="0"/>
    <x v="1"/>
    <x v="0"/>
    <x v="11"/>
    <x v="1"/>
    <x v="7"/>
    <x v="2"/>
  </r>
  <r>
    <x v="1275"/>
    <x v="1"/>
    <x v="2"/>
    <n v="51"/>
    <x v="1065"/>
    <x v="48"/>
    <d v="2025-02-19T00:00:00"/>
    <x v="2"/>
    <x v="1"/>
    <x v="0"/>
    <x v="0"/>
    <x v="11"/>
    <x v="3"/>
    <x v="7"/>
    <x v="2"/>
  </r>
  <r>
    <x v="1276"/>
    <x v="8"/>
    <x v="12"/>
    <n v="19.2"/>
    <x v="714"/>
    <x v="48"/>
    <d v="2025-02-20T00:00:00"/>
    <x v="2"/>
    <x v="0"/>
    <x v="0"/>
    <x v="0"/>
    <x v="11"/>
    <x v="1"/>
    <x v="7"/>
    <x v="2"/>
  </r>
  <r>
    <x v="1277"/>
    <x v="5"/>
    <x v="8"/>
    <n v="26.5"/>
    <x v="1066"/>
    <x v="48"/>
    <d v="2025-02-19T00:00:00"/>
    <x v="0"/>
    <x v="3"/>
    <x v="2"/>
    <x v="0"/>
    <x v="11"/>
    <x v="3"/>
    <x v="7"/>
    <x v="0"/>
  </r>
  <r>
    <x v="1278"/>
    <x v="2"/>
    <x v="1"/>
    <n v="220.3"/>
    <x v="1067"/>
    <x v="48"/>
    <d v="2025-02-19T00:00:00"/>
    <x v="2"/>
    <x v="1"/>
    <x v="4"/>
    <x v="0"/>
    <x v="53"/>
    <x v="3"/>
    <x v="7"/>
    <x v="2"/>
  </r>
  <r>
    <x v="1279"/>
    <x v="8"/>
    <x v="2"/>
    <n v="45.7"/>
    <x v="1068"/>
    <x v="48"/>
    <d v="2025-02-19T00:00:00"/>
    <x v="2"/>
    <x v="4"/>
    <x v="0"/>
    <x v="0"/>
    <x v="30"/>
    <x v="3"/>
    <x v="7"/>
    <x v="2"/>
  </r>
  <r>
    <x v="1280"/>
    <x v="5"/>
    <x v="9"/>
    <n v="47.1"/>
    <x v="1069"/>
    <x v="48"/>
    <d v="2025-02-22T00:00:00"/>
    <x v="2"/>
    <x v="3"/>
    <x v="0"/>
    <x v="0"/>
    <x v="13"/>
    <x v="5"/>
    <x v="7"/>
    <x v="2"/>
  </r>
  <r>
    <x v="1281"/>
    <x v="1"/>
    <x v="9"/>
    <n v="81.7"/>
    <x v="856"/>
    <x v="48"/>
    <d v="2025-02-19T00:00:00"/>
    <x v="2"/>
    <x v="0"/>
    <x v="2"/>
    <x v="0"/>
    <x v="21"/>
    <x v="3"/>
    <x v="7"/>
    <x v="2"/>
  </r>
  <r>
    <x v="1282"/>
    <x v="6"/>
    <x v="7"/>
    <n v="97.8"/>
    <x v="1070"/>
    <x v="48"/>
    <d v="2025-02-18T00:00:00"/>
    <x v="1"/>
    <x v="1"/>
    <x v="1"/>
    <x v="0"/>
    <x v="21"/>
    <x v="7"/>
    <x v="7"/>
    <x v="1"/>
  </r>
  <r>
    <x v="1283"/>
    <x v="6"/>
    <x v="2"/>
    <n v="42.4"/>
    <x v="1071"/>
    <x v="48"/>
    <d v="2025-02-19T00:00:00"/>
    <x v="2"/>
    <x v="0"/>
    <x v="2"/>
    <x v="0"/>
    <x v="54"/>
    <x v="3"/>
    <x v="7"/>
    <x v="2"/>
  </r>
  <r>
    <x v="1284"/>
    <x v="2"/>
    <x v="7"/>
    <n v="74.5"/>
    <x v="1072"/>
    <x v="48"/>
    <d v="2025-02-19T00:00:00"/>
    <x v="1"/>
    <x v="2"/>
    <x v="1"/>
    <x v="0"/>
    <x v="1"/>
    <x v="3"/>
    <x v="7"/>
    <x v="1"/>
  </r>
  <r>
    <x v="1285"/>
    <x v="17"/>
    <x v="13"/>
    <n v="47.4"/>
    <x v="1073"/>
    <x v="48"/>
    <d v="2025-02-19T00:00:00"/>
    <x v="1"/>
    <x v="1"/>
    <x v="0"/>
    <x v="0"/>
    <x v="1"/>
    <x v="3"/>
    <x v="7"/>
    <x v="1"/>
  </r>
  <r>
    <x v="1286"/>
    <x v="14"/>
    <x v="2"/>
    <n v="17.3"/>
    <x v="1074"/>
    <x v="49"/>
    <d v="2025-02-22T00:00:00"/>
    <x v="1"/>
    <x v="2"/>
    <x v="2"/>
    <x v="0"/>
    <x v="1"/>
    <x v="2"/>
    <x v="7"/>
    <x v="1"/>
  </r>
  <r>
    <x v="1287"/>
    <x v="12"/>
    <x v="12"/>
    <n v="77.900000000000006"/>
    <x v="1075"/>
    <x v="49"/>
    <d v="2025-02-20T00:00:00"/>
    <x v="1"/>
    <x v="1"/>
    <x v="0"/>
    <x v="0"/>
    <x v="2"/>
    <x v="3"/>
    <x v="7"/>
    <x v="1"/>
  </r>
  <r>
    <x v="1288"/>
    <x v="8"/>
    <x v="0"/>
    <n v="29.1"/>
    <x v="1076"/>
    <x v="49"/>
    <d v="2025-02-22T00:00:00"/>
    <x v="1"/>
    <x v="0"/>
    <x v="2"/>
    <x v="0"/>
    <x v="50"/>
    <x v="2"/>
    <x v="7"/>
    <x v="1"/>
  </r>
  <r>
    <x v="1289"/>
    <x v="8"/>
    <x v="0"/>
    <n v="49"/>
    <x v="268"/>
    <x v="49"/>
    <d v="2025-02-20T00:00:00"/>
    <x v="1"/>
    <x v="1"/>
    <x v="0"/>
    <x v="0"/>
    <x v="3"/>
    <x v="3"/>
    <x v="7"/>
    <x v="1"/>
  </r>
  <r>
    <x v="1290"/>
    <x v="8"/>
    <x v="13"/>
    <n v="21.1"/>
    <x v="1077"/>
    <x v="49"/>
    <d v="2025-02-26T00:00:00"/>
    <x v="1"/>
    <x v="0"/>
    <x v="2"/>
    <x v="0"/>
    <x v="3"/>
    <x v="6"/>
    <x v="7"/>
    <x v="1"/>
  </r>
  <r>
    <x v="1291"/>
    <x v="4"/>
    <x v="10"/>
    <n v="36.9"/>
    <x v="1078"/>
    <x v="49"/>
    <d v="2025-02-19T00:00:00"/>
    <x v="2"/>
    <x v="0"/>
    <x v="0"/>
    <x v="0"/>
    <x v="3"/>
    <x v="7"/>
    <x v="7"/>
    <x v="2"/>
  </r>
  <r>
    <x v="1292"/>
    <x v="1"/>
    <x v="7"/>
    <n v="92.6"/>
    <x v="1079"/>
    <x v="49"/>
    <d v="2025-02-24T00:00:00"/>
    <x v="1"/>
    <x v="4"/>
    <x v="2"/>
    <x v="0"/>
    <x v="3"/>
    <x v="0"/>
    <x v="7"/>
    <x v="1"/>
  </r>
  <r>
    <x v="1293"/>
    <x v="10"/>
    <x v="1"/>
    <n v="38"/>
    <x v="998"/>
    <x v="49"/>
    <d v="2025-02-20T00:00:00"/>
    <x v="1"/>
    <x v="1"/>
    <x v="1"/>
    <x v="0"/>
    <x v="3"/>
    <x v="3"/>
    <x v="7"/>
    <x v="1"/>
  </r>
  <r>
    <x v="1294"/>
    <x v="5"/>
    <x v="2"/>
    <n v="54.8"/>
    <x v="1080"/>
    <x v="49"/>
    <d v="2025-02-23T00:00:00"/>
    <x v="0"/>
    <x v="0"/>
    <x v="1"/>
    <x v="0"/>
    <x v="3"/>
    <x v="5"/>
    <x v="7"/>
    <x v="0"/>
  </r>
  <r>
    <x v="1295"/>
    <x v="10"/>
    <x v="4"/>
    <n v="56.8"/>
    <x v="1081"/>
    <x v="49"/>
    <d v="2025-02-21T00:00:00"/>
    <x v="1"/>
    <x v="1"/>
    <x v="0"/>
    <x v="0"/>
    <x v="3"/>
    <x v="1"/>
    <x v="7"/>
    <x v="1"/>
  </r>
  <r>
    <x v="1296"/>
    <x v="11"/>
    <x v="40"/>
    <n v="47.2"/>
    <x v="1082"/>
    <x v="49"/>
    <d v="2025-02-22T00:00:00"/>
    <x v="2"/>
    <x v="1"/>
    <x v="0"/>
    <x v="0"/>
    <x v="3"/>
    <x v="2"/>
    <x v="7"/>
    <x v="2"/>
  </r>
  <r>
    <x v="1297"/>
    <x v="7"/>
    <x v="13"/>
    <n v="45.1"/>
    <x v="1083"/>
    <x v="49"/>
    <d v="2025-02-20T00:00:00"/>
    <x v="2"/>
    <x v="2"/>
    <x v="0"/>
    <x v="0"/>
    <x v="43"/>
    <x v="3"/>
    <x v="7"/>
    <x v="2"/>
  </r>
  <r>
    <x v="1298"/>
    <x v="4"/>
    <x v="4"/>
    <n v="25.2"/>
    <x v="982"/>
    <x v="49"/>
    <d v="2025-02-24T00:00:00"/>
    <x v="2"/>
    <x v="2"/>
    <x v="0"/>
    <x v="0"/>
    <x v="16"/>
    <x v="0"/>
    <x v="7"/>
    <x v="2"/>
  </r>
  <r>
    <x v="1299"/>
    <x v="8"/>
    <x v="0"/>
    <n v="22"/>
    <x v="1084"/>
    <x v="49"/>
    <d v="2025-02-20T00:00:00"/>
    <x v="2"/>
    <x v="0"/>
    <x v="0"/>
    <x v="0"/>
    <x v="5"/>
    <x v="3"/>
    <x v="7"/>
    <x v="2"/>
  </r>
  <r>
    <x v="1300"/>
    <x v="6"/>
    <x v="1"/>
    <n v="42.2"/>
    <x v="533"/>
    <x v="49"/>
    <d v="2025-02-20T00:00:00"/>
    <x v="2"/>
    <x v="1"/>
    <x v="1"/>
    <x v="0"/>
    <x v="23"/>
    <x v="3"/>
    <x v="7"/>
    <x v="2"/>
  </r>
  <r>
    <x v="1301"/>
    <x v="13"/>
    <x v="2"/>
    <n v="20.5"/>
    <x v="1085"/>
    <x v="49"/>
    <d v="2025-02-20T00:00:00"/>
    <x v="1"/>
    <x v="0"/>
    <x v="1"/>
    <x v="0"/>
    <x v="6"/>
    <x v="3"/>
    <x v="7"/>
    <x v="1"/>
  </r>
  <r>
    <x v="1302"/>
    <x v="2"/>
    <x v="0"/>
    <n v="190.4"/>
    <x v="1086"/>
    <x v="49"/>
    <d v="2025-02-24T00:00:00"/>
    <x v="1"/>
    <x v="1"/>
    <x v="4"/>
    <x v="0"/>
    <x v="6"/>
    <x v="0"/>
    <x v="7"/>
    <x v="1"/>
  </r>
  <r>
    <x v="1303"/>
    <x v="2"/>
    <x v="0"/>
    <n v="121.9"/>
    <x v="1087"/>
    <x v="49"/>
    <d v="2025-02-21T00:00:00"/>
    <x v="2"/>
    <x v="1"/>
    <x v="2"/>
    <x v="0"/>
    <x v="6"/>
    <x v="1"/>
    <x v="7"/>
    <x v="2"/>
  </r>
  <r>
    <x v="1304"/>
    <x v="2"/>
    <x v="13"/>
    <n v="149.19999999999999"/>
    <x v="1088"/>
    <x v="49"/>
    <d v="2025-02-20T00:00:00"/>
    <x v="2"/>
    <x v="2"/>
    <x v="2"/>
    <x v="0"/>
    <x v="7"/>
    <x v="3"/>
    <x v="7"/>
    <x v="2"/>
  </r>
  <r>
    <x v="1305"/>
    <x v="2"/>
    <x v="0"/>
    <n v="54.1"/>
    <x v="1089"/>
    <x v="49"/>
    <d v="2025-02-28T00:00:00"/>
    <x v="2"/>
    <x v="2"/>
    <x v="2"/>
    <x v="0"/>
    <x v="7"/>
    <x v="8"/>
    <x v="7"/>
    <x v="2"/>
  </r>
  <r>
    <x v="1306"/>
    <x v="5"/>
    <x v="1"/>
    <n v="27.4"/>
    <x v="1090"/>
    <x v="49"/>
    <d v="2025-02-21T00:00:00"/>
    <x v="1"/>
    <x v="1"/>
    <x v="0"/>
    <x v="0"/>
    <x v="8"/>
    <x v="1"/>
    <x v="7"/>
    <x v="1"/>
  </r>
  <r>
    <x v="1307"/>
    <x v="0"/>
    <x v="15"/>
    <n v="30.4"/>
    <x v="1091"/>
    <x v="49"/>
    <d v="2025-02-20T00:00:00"/>
    <x v="2"/>
    <x v="0"/>
    <x v="2"/>
    <x v="0"/>
    <x v="8"/>
    <x v="3"/>
    <x v="7"/>
    <x v="2"/>
  </r>
  <r>
    <x v="1308"/>
    <x v="12"/>
    <x v="2"/>
    <n v="46.2"/>
    <x v="209"/>
    <x v="49"/>
    <d v="2025-02-21T00:00:00"/>
    <x v="1"/>
    <x v="2"/>
    <x v="1"/>
    <x v="0"/>
    <x v="17"/>
    <x v="1"/>
    <x v="7"/>
    <x v="1"/>
  </r>
  <r>
    <x v="1309"/>
    <x v="7"/>
    <x v="8"/>
    <n v="78.599999999999994"/>
    <x v="1092"/>
    <x v="49"/>
    <d v="2025-02-23T00:00:00"/>
    <x v="1"/>
    <x v="3"/>
    <x v="0"/>
    <x v="0"/>
    <x v="17"/>
    <x v="5"/>
    <x v="7"/>
    <x v="1"/>
  </r>
  <r>
    <x v="1310"/>
    <x v="17"/>
    <x v="7"/>
    <n v="25.9"/>
    <x v="155"/>
    <x v="49"/>
    <d v="2025-02-25T00:00:00"/>
    <x v="1"/>
    <x v="4"/>
    <x v="0"/>
    <x v="0"/>
    <x v="9"/>
    <x v="4"/>
    <x v="7"/>
    <x v="1"/>
  </r>
  <r>
    <x v="1311"/>
    <x v="6"/>
    <x v="0"/>
    <n v="134.80000000000001"/>
    <x v="1093"/>
    <x v="49"/>
    <d v="2025-02-21T00:00:00"/>
    <x v="1"/>
    <x v="2"/>
    <x v="2"/>
    <x v="0"/>
    <x v="9"/>
    <x v="1"/>
    <x v="7"/>
    <x v="1"/>
  </r>
  <r>
    <x v="1312"/>
    <x v="15"/>
    <x v="9"/>
    <n v="43.1"/>
    <x v="1094"/>
    <x v="49"/>
    <d v="2025-02-21T00:00:00"/>
    <x v="2"/>
    <x v="0"/>
    <x v="0"/>
    <x v="0"/>
    <x v="11"/>
    <x v="1"/>
    <x v="7"/>
    <x v="2"/>
  </r>
  <r>
    <x v="1313"/>
    <x v="2"/>
    <x v="1"/>
    <n v="215.6"/>
    <x v="348"/>
    <x v="49"/>
    <d v="2025-02-20T00:00:00"/>
    <x v="2"/>
    <x v="2"/>
    <x v="0"/>
    <x v="0"/>
    <x v="18"/>
    <x v="3"/>
    <x v="7"/>
    <x v="2"/>
  </r>
  <r>
    <x v="1314"/>
    <x v="6"/>
    <x v="1"/>
    <n v="80.7"/>
    <x v="1095"/>
    <x v="49"/>
    <d v="2025-02-22T00:00:00"/>
    <x v="2"/>
    <x v="3"/>
    <x v="0"/>
    <x v="0"/>
    <x v="18"/>
    <x v="2"/>
    <x v="7"/>
    <x v="2"/>
  </r>
  <r>
    <x v="1315"/>
    <x v="10"/>
    <x v="3"/>
    <n v="20.6"/>
    <x v="1096"/>
    <x v="49"/>
    <d v="2025-02-24T00:00:00"/>
    <x v="0"/>
    <x v="2"/>
    <x v="1"/>
    <x v="0"/>
    <x v="19"/>
    <x v="0"/>
    <x v="7"/>
    <x v="0"/>
  </r>
  <r>
    <x v="1316"/>
    <x v="12"/>
    <x v="2"/>
    <n v="37.1"/>
    <x v="1097"/>
    <x v="49"/>
    <d v="2025-02-20T00:00:00"/>
    <x v="2"/>
    <x v="0"/>
    <x v="0"/>
    <x v="0"/>
    <x v="52"/>
    <x v="3"/>
    <x v="7"/>
    <x v="2"/>
  </r>
  <r>
    <x v="1317"/>
    <x v="12"/>
    <x v="0"/>
    <n v="104.8"/>
    <x v="661"/>
    <x v="50"/>
    <d v="2025-02-22T00:00:00"/>
    <x v="2"/>
    <x v="0"/>
    <x v="0"/>
    <x v="0"/>
    <x v="13"/>
    <x v="1"/>
    <x v="7"/>
    <x v="2"/>
  </r>
  <r>
    <x v="1318"/>
    <x v="8"/>
    <x v="1"/>
    <n v="59"/>
    <x v="1098"/>
    <x v="50"/>
    <d v="2025-02-21T00:00:00"/>
    <x v="1"/>
    <x v="1"/>
    <x v="0"/>
    <x v="0"/>
    <x v="21"/>
    <x v="3"/>
    <x v="7"/>
    <x v="1"/>
  </r>
  <r>
    <x v="1319"/>
    <x v="8"/>
    <x v="1"/>
    <n v="32.299999999999997"/>
    <x v="1099"/>
    <x v="50"/>
    <d v="2025-02-21T00:00:00"/>
    <x v="1"/>
    <x v="0"/>
    <x v="2"/>
    <x v="0"/>
    <x v="21"/>
    <x v="3"/>
    <x v="7"/>
    <x v="1"/>
  </r>
  <r>
    <x v="1320"/>
    <x v="8"/>
    <x v="12"/>
    <n v="28.9"/>
    <x v="446"/>
    <x v="50"/>
    <d v="2025-02-27T00:00:00"/>
    <x v="1"/>
    <x v="0"/>
    <x v="0"/>
    <x v="0"/>
    <x v="1"/>
    <x v="6"/>
    <x v="7"/>
    <x v="1"/>
  </r>
  <r>
    <x v="1321"/>
    <x v="0"/>
    <x v="1"/>
    <n v="29.6"/>
    <x v="1100"/>
    <x v="50"/>
    <d v="2025-02-22T00:00:00"/>
    <x v="1"/>
    <x v="0"/>
    <x v="0"/>
    <x v="0"/>
    <x v="1"/>
    <x v="1"/>
    <x v="7"/>
    <x v="1"/>
  </r>
  <r>
    <x v="1322"/>
    <x v="0"/>
    <x v="9"/>
    <n v="29.4"/>
    <x v="926"/>
    <x v="50"/>
    <d v="2025-02-23T00:00:00"/>
    <x v="2"/>
    <x v="0"/>
    <x v="0"/>
    <x v="0"/>
    <x v="1"/>
    <x v="2"/>
    <x v="7"/>
    <x v="2"/>
  </r>
  <r>
    <x v="1323"/>
    <x v="1"/>
    <x v="1"/>
    <n v="40.6"/>
    <x v="1101"/>
    <x v="50"/>
    <d v="2025-02-21T00:00:00"/>
    <x v="1"/>
    <x v="0"/>
    <x v="4"/>
    <x v="0"/>
    <x v="2"/>
    <x v="3"/>
    <x v="7"/>
    <x v="1"/>
  </r>
  <r>
    <x v="1324"/>
    <x v="0"/>
    <x v="2"/>
    <n v="32.5"/>
    <x v="647"/>
    <x v="50"/>
    <d v="2025-02-21T00:00:00"/>
    <x v="1"/>
    <x v="3"/>
    <x v="2"/>
    <x v="0"/>
    <x v="22"/>
    <x v="3"/>
    <x v="7"/>
    <x v="1"/>
  </r>
  <r>
    <x v="1325"/>
    <x v="15"/>
    <x v="0"/>
    <n v="26.2"/>
    <x v="1102"/>
    <x v="50"/>
    <d v="2025-02-22T00:00:00"/>
    <x v="1"/>
    <x v="2"/>
    <x v="0"/>
    <x v="0"/>
    <x v="55"/>
    <x v="1"/>
    <x v="7"/>
    <x v="1"/>
  </r>
  <r>
    <x v="1326"/>
    <x v="10"/>
    <x v="17"/>
    <n v="44"/>
    <x v="1103"/>
    <x v="50"/>
    <d v="2025-02-26T00:00:00"/>
    <x v="1"/>
    <x v="4"/>
    <x v="0"/>
    <x v="0"/>
    <x v="3"/>
    <x v="4"/>
    <x v="7"/>
    <x v="1"/>
  </r>
  <r>
    <x v="1327"/>
    <x v="7"/>
    <x v="12"/>
    <n v="65.599999999999994"/>
    <x v="1104"/>
    <x v="50"/>
    <d v="2025-02-21T00:00:00"/>
    <x v="2"/>
    <x v="1"/>
    <x v="1"/>
    <x v="0"/>
    <x v="3"/>
    <x v="3"/>
    <x v="7"/>
    <x v="2"/>
  </r>
  <r>
    <x v="1328"/>
    <x v="5"/>
    <x v="4"/>
    <n v="32.6"/>
    <x v="1105"/>
    <x v="50"/>
    <d v="2025-02-21T00:00:00"/>
    <x v="1"/>
    <x v="4"/>
    <x v="0"/>
    <x v="0"/>
    <x v="3"/>
    <x v="3"/>
    <x v="7"/>
    <x v="1"/>
  </r>
  <r>
    <x v="1329"/>
    <x v="16"/>
    <x v="1"/>
    <n v="88.7"/>
    <x v="633"/>
    <x v="50"/>
    <d v="2025-02-21T00:00:00"/>
    <x v="0"/>
    <x v="3"/>
    <x v="2"/>
    <x v="0"/>
    <x v="3"/>
    <x v="3"/>
    <x v="7"/>
    <x v="0"/>
  </r>
  <r>
    <x v="1330"/>
    <x v="4"/>
    <x v="1"/>
    <n v="21.3"/>
    <x v="440"/>
    <x v="50"/>
    <d v="2025-02-21T00:00:00"/>
    <x v="1"/>
    <x v="0"/>
    <x v="0"/>
    <x v="0"/>
    <x v="3"/>
    <x v="3"/>
    <x v="7"/>
    <x v="1"/>
  </r>
  <r>
    <x v="1331"/>
    <x v="4"/>
    <x v="13"/>
    <n v="50.6"/>
    <x v="80"/>
    <x v="50"/>
    <d v="2025-02-24T00:00:00"/>
    <x v="2"/>
    <x v="2"/>
    <x v="0"/>
    <x v="0"/>
    <x v="3"/>
    <x v="5"/>
    <x v="7"/>
    <x v="2"/>
  </r>
  <r>
    <x v="1332"/>
    <x v="9"/>
    <x v="38"/>
    <n v="86.9"/>
    <x v="1106"/>
    <x v="50"/>
    <d v="2025-02-23T00:00:00"/>
    <x v="2"/>
    <x v="0"/>
    <x v="1"/>
    <x v="0"/>
    <x v="3"/>
    <x v="2"/>
    <x v="7"/>
    <x v="2"/>
  </r>
  <r>
    <x v="1333"/>
    <x v="11"/>
    <x v="2"/>
    <n v="31.8"/>
    <x v="233"/>
    <x v="50"/>
    <d v="2025-02-22T00:00:00"/>
    <x v="1"/>
    <x v="0"/>
    <x v="2"/>
    <x v="0"/>
    <x v="3"/>
    <x v="1"/>
    <x v="7"/>
    <x v="1"/>
  </r>
  <r>
    <x v="1334"/>
    <x v="8"/>
    <x v="0"/>
    <n v="19"/>
    <x v="134"/>
    <x v="50"/>
    <d v="2025-02-21T00:00:00"/>
    <x v="2"/>
    <x v="0"/>
    <x v="2"/>
    <x v="0"/>
    <x v="3"/>
    <x v="3"/>
    <x v="7"/>
    <x v="2"/>
  </r>
  <r>
    <x v="1335"/>
    <x v="5"/>
    <x v="0"/>
    <n v="54.5"/>
    <x v="1107"/>
    <x v="50"/>
    <d v="2025-02-22T00:00:00"/>
    <x v="1"/>
    <x v="0"/>
    <x v="0"/>
    <x v="0"/>
    <x v="3"/>
    <x v="1"/>
    <x v="7"/>
    <x v="1"/>
  </r>
  <r>
    <x v="1336"/>
    <x v="9"/>
    <x v="9"/>
    <n v="68.900000000000006"/>
    <x v="1108"/>
    <x v="50"/>
    <d v="2025-02-22T00:00:00"/>
    <x v="1"/>
    <x v="4"/>
    <x v="1"/>
    <x v="0"/>
    <x v="3"/>
    <x v="1"/>
    <x v="7"/>
    <x v="1"/>
  </r>
  <r>
    <x v="1337"/>
    <x v="6"/>
    <x v="2"/>
    <n v="84"/>
    <x v="816"/>
    <x v="50"/>
    <d v="2025-02-21T00:00:00"/>
    <x v="1"/>
    <x v="1"/>
    <x v="4"/>
    <x v="0"/>
    <x v="16"/>
    <x v="3"/>
    <x v="7"/>
    <x v="1"/>
  </r>
  <r>
    <x v="1338"/>
    <x v="15"/>
    <x v="8"/>
    <n v="23.1"/>
    <x v="827"/>
    <x v="50"/>
    <d v="2025-02-25T00:00:00"/>
    <x v="1"/>
    <x v="0"/>
    <x v="2"/>
    <x v="0"/>
    <x v="23"/>
    <x v="0"/>
    <x v="7"/>
    <x v="1"/>
  </r>
  <r>
    <x v="1339"/>
    <x v="7"/>
    <x v="1"/>
    <n v="62.4"/>
    <x v="1109"/>
    <x v="50"/>
    <d v="2025-02-21T00:00:00"/>
    <x v="2"/>
    <x v="0"/>
    <x v="1"/>
    <x v="0"/>
    <x v="6"/>
    <x v="3"/>
    <x v="7"/>
    <x v="2"/>
  </r>
  <r>
    <x v="1340"/>
    <x v="6"/>
    <x v="4"/>
    <n v="40.700000000000003"/>
    <x v="1110"/>
    <x v="50"/>
    <d v="2025-02-22T00:00:00"/>
    <x v="1"/>
    <x v="1"/>
    <x v="2"/>
    <x v="0"/>
    <x v="6"/>
    <x v="1"/>
    <x v="7"/>
    <x v="1"/>
  </r>
  <r>
    <x v="1341"/>
    <x v="6"/>
    <x v="0"/>
    <n v="49.6"/>
    <x v="1111"/>
    <x v="50"/>
    <d v="2025-02-23T00:00:00"/>
    <x v="1"/>
    <x v="2"/>
    <x v="0"/>
    <x v="0"/>
    <x v="7"/>
    <x v="2"/>
    <x v="7"/>
    <x v="1"/>
  </r>
  <r>
    <x v="1342"/>
    <x v="7"/>
    <x v="41"/>
    <n v="66.599999999999994"/>
    <x v="1112"/>
    <x v="50"/>
    <d v="2025-02-23T00:00:00"/>
    <x v="1"/>
    <x v="2"/>
    <x v="0"/>
    <x v="0"/>
    <x v="8"/>
    <x v="2"/>
    <x v="7"/>
    <x v="1"/>
  </r>
  <r>
    <x v="1343"/>
    <x v="8"/>
    <x v="2"/>
    <n v="26.4"/>
    <x v="1113"/>
    <x v="50"/>
    <d v="2025-02-21T00:00:00"/>
    <x v="2"/>
    <x v="1"/>
    <x v="1"/>
    <x v="0"/>
    <x v="8"/>
    <x v="3"/>
    <x v="7"/>
    <x v="2"/>
  </r>
  <r>
    <x v="1344"/>
    <x v="0"/>
    <x v="1"/>
    <n v="17.2"/>
    <x v="1114"/>
    <x v="50"/>
    <d v="2025-02-23T00:00:00"/>
    <x v="1"/>
    <x v="2"/>
    <x v="1"/>
    <x v="0"/>
    <x v="8"/>
    <x v="2"/>
    <x v="7"/>
    <x v="1"/>
  </r>
  <r>
    <x v="1345"/>
    <x v="5"/>
    <x v="8"/>
    <n v="58.1"/>
    <x v="1115"/>
    <x v="50"/>
    <d v="2025-02-23T00:00:00"/>
    <x v="2"/>
    <x v="4"/>
    <x v="0"/>
    <x v="0"/>
    <x v="8"/>
    <x v="2"/>
    <x v="7"/>
    <x v="2"/>
  </r>
  <r>
    <x v="1346"/>
    <x v="15"/>
    <x v="12"/>
    <n v="31.5"/>
    <x v="624"/>
    <x v="50"/>
    <d v="2025-02-23T00:00:00"/>
    <x v="2"/>
    <x v="4"/>
    <x v="4"/>
    <x v="0"/>
    <x v="8"/>
    <x v="2"/>
    <x v="7"/>
    <x v="2"/>
  </r>
  <r>
    <x v="1347"/>
    <x v="0"/>
    <x v="0"/>
    <n v="27.1"/>
    <x v="1116"/>
    <x v="50"/>
    <d v="2025-02-22T00:00:00"/>
    <x v="2"/>
    <x v="0"/>
    <x v="1"/>
    <x v="0"/>
    <x v="17"/>
    <x v="1"/>
    <x v="7"/>
    <x v="2"/>
  </r>
  <r>
    <x v="1348"/>
    <x v="18"/>
    <x v="12"/>
    <n v="28.5"/>
    <x v="717"/>
    <x v="50"/>
    <d v="2025-02-22T00:00:00"/>
    <x v="1"/>
    <x v="1"/>
    <x v="2"/>
    <x v="0"/>
    <x v="9"/>
    <x v="1"/>
    <x v="7"/>
    <x v="1"/>
  </r>
  <r>
    <x v="1349"/>
    <x v="10"/>
    <x v="0"/>
    <n v="40.5"/>
    <x v="1117"/>
    <x v="51"/>
    <d v="2025-02-23T00:00:00"/>
    <x v="3"/>
    <x v="2"/>
    <x v="0"/>
    <x v="0"/>
    <x v="9"/>
    <x v="1"/>
    <x v="7"/>
    <x v="0"/>
  </r>
  <r>
    <x v="1350"/>
    <x v="2"/>
    <x v="2"/>
    <n v="77.900000000000006"/>
    <x v="1118"/>
    <x v="51"/>
    <d v="2025-02-25T00:00:00"/>
    <x v="2"/>
    <x v="1"/>
    <x v="2"/>
    <x v="0"/>
    <x v="19"/>
    <x v="5"/>
    <x v="7"/>
    <x v="2"/>
  </r>
  <r>
    <x v="1351"/>
    <x v="18"/>
    <x v="12"/>
    <n v="37.1"/>
    <x v="1119"/>
    <x v="51"/>
    <d v="2025-02-23T00:00:00"/>
    <x v="1"/>
    <x v="4"/>
    <x v="2"/>
    <x v="0"/>
    <x v="19"/>
    <x v="1"/>
    <x v="7"/>
    <x v="1"/>
  </r>
  <r>
    <x v="1352"/>
    <x v="16"/>
    <x v="2"/>
    <n v="51.6"/>
    <x v="1120"/>
    <x v="51"/>
    <d v="2025-03-01T00:00:00"/>
    <x v="2"/>
    <x v="0"/>
    <x v="4"/>
    <x v="0"/>
    <x v="19"/>
    <x v="9"/>
    <x v="7"/>
    <x v="2"/>
  </r>
  <r>
    <x v="1353"/>
    <x v="7"/>
    <x v="2"/>
    <n v="98"/>
    <x v="1121"/>
    <x v="51"/>
    <d v="2025-02-22T00:00:00"/>
    <x v="1"/>
    <x v="1"/>
    <x v="1"/>
    <x v="0"/>
    <x v="19"/>
    <x v="3"/>
    <x v="7"/>
    <x v="1"/>
  </r>
  <r>
    <x v="1354"/>
    <x v="6"/>
    <x v="3"/>
    <n v="41.4"/>
    <x v="1122"/>
    <x v="51"/>
    <d v="2025-02-22T00:00:00"/>
    <x v="1"/>
    <x v="1"/>
    <x v="0"/>
    <x v="0"/>
    <x v="20"/>
    <x v="3"/>
    <x v="7"/>
    <x v="1"/>
  </r>
  <r>
    <x v="1355"/>
    <x v="11"/>
    <x v="8"/>
    <n v="34"/>
    <x v="1123"/>
    <x v="51"/>
    <d v="2025-02-26T00:00:00"/>
    <x v="2"/>
    <x v="0"/>
    <x v="2"/>
    <x v="0"/>
    <x v="52"/>
    <x v="0"/>
    <x v="7"/>
    <x v="2"/>
  </r>
  <r>
    <x v="1356"/>
    <x v="6"/>
    <x v="0"/>
    <n v="66.3"/>
    <x v="1124"/>
    <x v="51"/>
    <d v="2025-02-22T00:00:00"/>
    <x v="2"/>
    <x v="1"/>
    <x v="0"/>
    <x v="0"/>
    <x v="13"/>
    <x v="3"/>
    <x v="7"/>
    <x v="2"/>
  </r>
  <r>
    <x v="1357"/>
    <x v="7"/>
    <x v="0"/>
    <n v="33.5"/>
    <x v="253"/>
    <x v="51"/>
    <d v="2025-02-25T00:00:00"/>
    <x v="1"/>
    <x v="2"/>
    <x v="0"/>
    <x v="0"/>
    <x v="13"/>
    <x v="5"/>
    <x v="7"/>
    <x v="1"/>
  </r>
  <r>
    <x v="1358"/>
    <x v="12"/>
    <x v="1"/>
    <n v="70.8"/>
    <x v="932"/>
    <x v="51"/>
    <d v="2025-02-22T00:00:00"/>
    <x v="0"/>
    <x v="0"/>
    <x v="0"/>
    <x v="0"/>
    <x v="28"/>
    <x v="3"/>
    <x v="7"/>
    <x v="0"/>
  </r>
  <r>
    <x v="1359"/>
    <x v="6"/>
    <x v="1"/>
    <n v="127.6"/>
    <x v="281"/>
    <x v="51"/>
    <d v="2025-02-22T00:00:00"/>
    <x v="1"/>
    <x v="0"/>
    <x v="0"/>
    <x v="0"/>
    <x v="21"/>
    <x v="3"/>
    <x v="7"/>
    <x v="1"/>
  </r>
  <r>
    <x v="1360"/>
    <x v="6"/>
    <x v="2"/>
    <n v="95.9"/>
    <x v="1125"/>
    <x v="51"/>
    <d v="2025-02-22T00:00:00"/>
    <x v="2"/>
    <x v="1"/>
    <x v="1"/>
    <x v="0"/>
    <x v="21"/>
    <x v="3"/>
    <x v="7"/>
    <x v="2"/>
  </r>
  <r>
    <x v="1361"/>
    <x v="2"/>
    <x v="1"/>
    <n v="78.099999999999994"/>
    <x v="1126"/>
    <x v="51"/>
    <d v="2025-02-22T00:00:00"/>
    <x v="1"/>
    <x v="0"/>
    <x v="0"/>
    <x v="0"/>
    <x v="1"/>
    <x v="3"/>
    <x v="7"/>
    <x v="1"/>
  </r>
  <r>
    <x v="1362"/>
    <x v="13"/>
    <x v="1"/>
    <n v="43.2"/>
    <x v="781"/>
    <x v="51"/>
    <d v="2025-02-22T00:00:00"/>
    <x v="0"/>
    <x v="1"/>
    <x v="1"/>
    <x v="0"/>
    <x v="1"/>
    <x v="3"/>
    <x v="7"/>
    <x v="0"/>
  </r>
  <r>
    <x v="1363"/>
    <x v="8"/>
    <x v="12"/>
    <n v="28.4"/>
    <x v="1127"/>
    <x v="51"/>
    <d v="2025-02-27T00:00:00"/>
    <x v="1"/>
    <x v="2"/>
    <x v="0"/>
    <x v="0"/>
    <x v="3"/>
    <x v="4"/>
    <x v="7"/>
    <x v="1"/>
  </r>
  <r>
    <x v="1364"/>
    <x v="2"/>
    <x v="1"/>
    <n v="81.7"/>
    <x v="1128"/>
    <x v="51"/>
    <d v="2025-02-21T00:00:00"/>
    <x v="1"/>
    <x v="0"/>
    <x v="0"/>
    <x v="0"/>
    <x v="3"/>
    <x v="7"/>
    <x v="7"/>
    <x v="1"/>
  </r>
  <r>
    <x v="1365"/>
    <x v="18"/>
    <x v="1"/>
    <n v="56.7"/>
    <x v="1129"/>
    <x v="51"/>
    <d v="2025-02-23T00:00:00"/>
    <x v="0"/>
    <x v="0"/>
    <x v="2"/>
    <x v="0"/>
    <x v="3"/>
    <x v="1"/>
    <x v="7"/>
    <x v="0"/>
  </r>
  <r>
    <x v="1366"/>
    <x v="3"/>
    <x v="12"/>
    <n v="66.5"/>
    <x v="751"/>
    <x v="51"/>
    <d v="2025-02-21T00:00:00"/>
    <x v="2"/>
    <x v="0"/>
    <x v="2"/>
    <x v="0"/>
    <x v="3"/>
    <x v="7"/>
    <x v="7"/>
    <x v="2"/>
  </r>
  <r>
    <x v="1367"/>
    <x v="1"/>
    <x v="1"/>
    <n v="105.3"/>
    <x v="1130"/>
    <x v="51"/>
    <d v="2025-02-25T00:00:00"/>
    <x v="1"/>
    <x v="0"/>
    <x v="1"/>
    <x v="0"/>
    <x v="3"/>
    <x v="5"/>
    <x v="7"/>
    <x v="1"/>
  </r>
  <r>
    <x v="1368"/>
    <x v="10"/>
    <x v="9"/>
    <n v="33.799999999999997"/>
    <x v="900"/>
    <x v="51"/>
    <d v="2025-02-26T00:00:00"/>
    <x v="1"/>
    <x v="0"/>
    <x v="0"/>
    <x v="0"/>
    <x v="3"/>
    <x v="0"/>
    <x v="7"/>
    <x v="1"/>
  </r>
  <r>
    <x v="1369"/>
    <x v="6"/>
    <x v="2"/>
    <n v="63.4"/>
    <x v="1131"/>
    <x v="51"/>
    <d v="2025-02-26T00:00:00"/>
    <x v="1"/>
    <x v="3"/>
    <x v="1"/>
    <x v="0"/>
    <x v="24"/>
    <x v="0"/>
    <x v="7"/>
    <x v="1"/>
  </r>
  <r>
    <x v="1370"/>
    <x v="6"/>
    <x v="2"/>
    <n v="49"/>
    <x v="926"/>
    <x v="51"/>
    <d v="2025-02-25T00:00:00"/>
    <x v="1"/>
    <x v="3"/>
    <x v="0"/>
    <x v="0"/>
    <x v="49"/>
    <x v="5"/>
    <x v="7"/>
    <x v="1"/>
  </r>
  <r>
    <x v="1371"/>
    <x v="1"/>
    <x v="1"/>
    <n v="40"/>
    <x v="479"/>
    <x v="51"/>
    <d v="2025-02-22T00:00:00"/>
    <x v="2"/>
    <x v="4"/>
    <x v="1"/>
    <x v="0"/>
    <x v="23"/>
    <x v="3"/>
    <x v="7"/>
    <x v="2"/>
  </r>
  <r>
    <x v="1372"/>
    <x v="6"/>
    <x v="12"/>
    <n v="86.3"/>
    <x v="1132"/>
    <x v="51"/>
    <d v="2025-02-22T00:00:00"/>
    <x v="3"/>
    <x v="0"/>
    <x v="0"/>
    <x v="0"/>
    <x v="6"/>
    <x v="3"/>
    <x v="7"/>
    <x v="0"/>
  </r>
  <r>
    <x v="1373"/>
    <x v="6"/>
    <x v="0"/>
    <n v="51.6"/>
    <x v="937"/>
    <x v="51"/>
    <d v="2025-02-23T00:00:00"/>
    <x v="2"/>
    <x v="2"/>
    <x v="2"/>
    <x v="0"/>
    <x v="6"/>
    <x v="1"/>
    <x v="7"/>
    <x v="2"/>
  </r>
  <r>
    <x v="1374"/>
    <x v="10"/>
    <x v="2"/>
    <n v="26.7"/>
    <x v="1133"/>
    <x v="51"/>
    <d v="2025-02-26T00:00:00"/>
    <x v="2"/>
    <x v="2"/>
    <x v="1"/>
    <x v="0"/>
    <x v="6"/>
    <x v="0"/>
    <x v="7"/>
    <x v="2"/>
  </r>
  <r>
    <x v="1375"/>
    <x v="18"/>
    <x v="1"/>
    <n v="68.099999999999994"/>
    <x v="1134"/>
    <x v="51"/>
    <d v="2025-02-22T00:00:00"/>
    <x v="1"/>
    <x v="0"/>
    <x v="1"/>
    <x v="0"/>
    <x v="6"/>
    <x v="3"/>
    <x v="7"/>
    <x v="1"/>
  </r>
  <r>
    <x v="1376"/>
    <x v="1"/>
    <x v="0"/>
    <n v="81.7"/>
    <x v="1135"/>
    <x v="51"/>
    <d v="2025-02-22T00:00:00"/>
    <x v="1"/>
    <x v="0"/>
    <x v="0"/>
    <x v="0"/>
    <x v="7"/>
    <x v="3"/>
    <x v="7"/>
    <x v="1"/>
  </r>
  <r>
    <x v="1377"/>
    <x v="18"/>
    <x v="7"/>
    <n v="25.1"/>
    <x v="1136"/>
    <x v="51"/>
    <d v="2025-02-24T00:00:00"/>
    <x v="1"/>
    <x v="3"/>
    <x v="1"/>
    <x v="0"/>
    <x v="8"/>
    <x v="2"/>
    <x v="7"/>
    <x v="1"/>
  </r>
  <r>
    <x v="1378"/>
    <x v="8"/>
    <x v="0"/>
    <n v="20.2"/>
    <x v="1137"/>
    <x v="51"/>
    <d v="2025-02-25T00:00:00"/>
    <x v="2"/>
    <x v="0"/>
    <x v="0"/>
    <x v="0"/>
    <x v="8"/>
    <x v="5"/>
    <x v="7"/>
    <x v="2"/>
  </r>
  <r>
    <x v="1379"/>
    <x v="8"/>
    <x v="2"/>
    <n v="15.4"/>
    <x v="1063"/>
    <x v="51"/>
    <d v="2025-02-22T00:00:00"/>
    <x v="1"/>
    <x v="1"/>
    <x v="2"/>
    <x v="0"/>
    <x v="8"/>
    <x v="3"/>
    <x v="7"/>
    <x v="1"/>
  </r>
  <r>
    <x v="1380"/>
    <x v="10"/>
    <x v="0"/>
    <n v="59.2"/>
    <x v="1100"/>
    <x v="51"/>
    <d v="2025-02-22T00:00:00"/>
    <x v="1"/>
    <x v="2"/>
    <x v="2"/>
    <x v="0"/>
    <x v="17"/>
    <x v="3"/>
    <x v="7"/>
    <x v="1"/>
  </r>
  <r>
    <x v="1381"/>
    <x v="0"/>
    <x v="0"/>
    <n v="46.7"/>
    <x v="594"/>
    <x v="51"/>
    <d v="2025-02-26T00:00:00"/>
    <x v="1"/>
    <x v="0"/>
    <x v="0"/>
    <x v="0"/>
    <x v="17"/>
    <x v="0"/>
    <x v="7"/>
    <x v="1"/>
  </r>
  <r>
    <x v="1382"/>
    <x v="6"/>
    <x v="20"/>
    <n v="41.6"/>
    <x v="1138"/>
    <x v="51"/>
    <d v="2025-02-23T00:00:00"/>
    <x v="1"/>
    <x v="1"/>
    <x v="0"/>
    <x v="0"/>
    <x v="26"/>
    <x v="1"/>
    <x v="7"/>
    <x v="1"/>
  </r>
  <r>
    <x v="1383"/>
    <x v="8"/>
    <x v="1"/>
    <n v="19.2"/>
    <x v="1139"/>
    <x v="51"/>
    <d v="2025-02-24T00:00:00"/>
    <x v="1"/>
    <x v="4"/>
    <x v="2"/>
    <x v="0"/>
    <x v="9"/>
    <x v="2"/>
    <x v="7"/>
    <x v="1"/>
  </r>
  <r>
    <x v="1384"/>
    <x v="17"/>
    <x v="3"/>
    <n v="41.8"/>
    <x v="1140"/>
    <x v="51"/>
    <d v="2025-02-23T00:00:00"/>
    <x v="2"/>
    <x v="2"/>
    <x v="0"/>
    <x v="0"/>
    <x v="11"/>
    <x v="1"/>
    <x v="7"/>
    <x v="2"/>
  </r>
  <r>
    <x v="1385"/>
    <x v="8"/>
    <x v="13"/>
    <n v="37.4"/>
    <x v="1141"/>
    <x v="51"/>
    <d v="2025-02-23T00:00:00"/>
    <x v="1"/>
    <x v="0"/>
    <x v="2"/>
    <x v="0"/>
    <x v="11"/>
    <x v="1"/>
    <x v="7"/>
    <x v="1"/>
  </r>
  <r>
    <x v="1386"/>
    <x v="10"/>
    <x v="2"/>
    <n v="60.2"/>
    <x v="1142"/>
    <x v="51"/>
    <d v="2025-02-24T00:00:00"/>
    <x v="1"/>
    <x v="4"/>
    <x v="1"/>
    <x v="0"/>
    <x v="38"/>
    <x v="2"/>
    <x v="7"/>
    <x v="1"/>
  </r>
  <r>
    <x v="1387"/>
    <x v="9"/>
    <x v="1"/>
    <n v="91.5"/>
    <x v="1143"/>
    <x v="52"/>
    <d v="2025-02-23T00:00:00"/>
    <x v="1"/>
    <x v="0"/>
    <x v="0"/>
    <x v="0"/>
    <x v="13"/>
    <x v="3"/>
    <x v="7"/>
    <x v="1"/>
  </r>
  <r>
    <x v="1388"/>
    <x v="3"/>
    <x v="9"/>
    <n v="55.7"/>
    <x v="1144"/>
    <x v="52"/>
    <d v="2025-02-24T00:00:00"/>
    <x v="0"/>
    <x v="1"/>
    <x v="2"/>
    <x v="0"/>
    <x v="21"/>
    <x v="1"/>
    <x v="7"/>
    <x v="0"/>
  </r>
  <r>
    <x v="1389"/>
    <x v="7"/>
    <x v="1"/>
    <n v="76.7"/>
    <x v="1145"/>
    <x v="52"/>
    <d v="2025-02-24T00:00:00"/>
    <x v="1"/>
    <x v="0"/>
    <x v="1"/>
    <x v="0"/>
    <x v="21"/>
    <x v="1"/>
    <x v="7"/>
    <x v="1"/>
  </r>
  <r>
    <x v="1390"/>
    <x v="8"/>
    <x v="38"/>
    <n v="28.2"/>
    <x v="1146"/>
    <x v="52"/>
    <d v="2025-02-27T00:00:00"/>
    <x v="1"/>
    <x v="2"/>
    <x v="0"/>
    <x v="0"/>
    <x v="1"/>
    <x v="0"/>
    <x v="7"/>
    <x v="1"/>
  </r>
  <r>
    <x v="1391"/>
    <x v="7"/>
    <x v="9"/>
    <n v="93.2"/>
    <x v="1147"/>
    <x v="52"/>
    <d v="2025-02-24T00:00:00"/>
    <x v="2"/>
    <x v="4"/>
    <x v="2"/>
    <x v="0"/>
    <x v="1"/>
    <x v="1"/>
    <x v="7"/>
    <x v="2"/>
  </r>
  <r>
    <x v="1392"/>
    <x v="17"/>
    <x v="0"/>
    <n v="33.299999999999997"/>
    <x v="698"/>
    <x v="52"/>
    <d v="2025-02-23T00:00:00"/>
    <x v="1"/>
    <x v="4"/>
    <x v="0"/>
    <x v="0"/>
    <x v="2"/>
    <x v="3"/>
    <x v="7"/>
    <x v="1"/>
  </r>
  <r>
    <x v="1393"/>
    <x v="10"/>
    <x v="1"/>
    <n v="39.1"/>
    <x v="1148"/>
    <x v="52"/>
    <d v="2025-02-25T00:00:00"/>
    <x v="1"/>
    <x v="0"/>
    <x v="0"/>
    <x v="0"/>
    <x v="44"/>
    <x v="2"/>
    <x v="7"/>
    <x v="1"/>
  </r>
  <r>
    <x v="1394"/>
    <x v="7"/>
    <x v="4"/>
    <n v="45.3"/>
    <x v="1149"/>
    <x v="52"/>
    <d v="2025-02-23T00:00:00"/>
    <x v="1"/>
    <x v="2"/>
    <x v="0"/>
    <x v="0"/>
    <x v="33"/>
    <x v="3"/>
    <x v="7"/>
    <x v="1"/>
  </r>
  <r>
    <x v="1395"/>
    <x v="9"/>
    <x v="3"/>
    <n v="33.9"/>
    <x v="1150"/>
    <x v="52"/>
    <d v="2025-02-23T00:00:00"/>
    <x v="1"/>
    <x v="4"/>
    <x v="0"/>
    <x v="0"/>
    <x v="33"/>
    <x v="3"/>
    <x v="7"/>
    <x v="1"/>
  </r>
  <r>
    <x v="1396"/>
    <x v="8"/>
    <x v="2"/>
    <n v="19"/>
    <x v="933"/>
    <x v="52"/>
    <d v="2025-02-23T00:00:00"/>
    <x v="1"/>
    <x v="0"/>
    <x v="2"/>
    <x v="0"/>
    <x v="15"/>
    <x v="3"/>
    <x v="7"/>
    <x v="1"/>
  </r>
  <r>
    <x v="1397"/>
    <x v="4"/>
    <x v="0"/>
    <n v="41.9"/>
    <x v="1151"/>
    <x v="52"/>
    <d v="2025-02-25T00:00:00"/>
    <x v="2"/>
    <x v="2"/>
    <x v="0"/>
    <x v="0"/>
    <x v="22"/>
    <x v="2"/>
    <x v="7"/>
    <x v="2"/>
  </r>
  <r>
    <x v="1398"/>
    <x v="1"/>
    <x v="12"/>
    <n v="37.5"/>
    <x v="638"/>
    <x v="52"/>
    <d v="2025-02-22T00:00:00"/>
    <x v="2"/>
    <x v="0"/>
    <x v="0"/>
    <x v="0"/>
    <x v="3"/>
    <x v="7"/>
    <x v="7"/>
    <x v="2"/>
  </r>
  <r>
    <x v="1399"/>
    <x v="0"/>
    <x v="1"/>
    <n v="40.799999999999997"/>
    <x v="330"/>
    <x v="52"/>
    <d v="2025-02-25T00:00:00"/>
    <x v="1"/>
    <x v="0"/>
    <x v="0"/>
    <x v="0"/>
    <x v="3"/>
    <x v="2"/>
    <x v="7"/>
    <x v="1"/>
  </r>
  <r>
    <x v="1400"/>
    <x v="0"/>
    <x v="12"/>
    <n v="23.1"/>
    <x v="1152"/>
    <x v="52"/>
    <d v="2025-02-23T00:00:00"/>
    <x v="2"/>
    <x v="4"/>
    <x v="0"/>
    <x v="0"/>
    <x v="3"/>
    <x v="3"/>
    <x v="7"/>
    <x v="2"/>
  </r>
  <r>
    <x v="1401"/>
    <x v="8"/>
    <x v="9"/>
    <n v="39.299999999999997"/>
    <x v="756"/>
    <x v="52"/>
    <d v="2025-02-23T00:00:00"/>
    <x v="2"/>
    <x v="0"/>
    <x v="0"/>
    <x v="0"/>
    <x v="3"/>
    <x v="3"/>
    <x v="7"/>
    <x v="2"/>
  </r>
  <r>
    <x v="1402"/>
    <x v="2"/>
    <x v="12"/>
    <n v="85.2"/>
    <x v="1153"/>
    <x v="52"/>
    <d v="2025-02-27T00:00:00"/>
    <x v="1"/>
    <x v="2"/>
    <x v="0"/>
    <x v="0"/>
    <x v="3"/>
    <x v="0"/>
    <x v="7"/>
    <x v="1"/>
  </r>
  <r>
    <x v="1403"/>
    <x v="8"/>
    <x v="13"/>
    <n v="16"/>
    <x v="854"/>
    <x v="52"/>
    <d v="2025-02-25T00:00:00"/>
    <x v="1"/>
    <x v="1"/>
    <x v="0"/>
    <x v="0"/>
    <x v="3"/>
    <x v="2"/>
    <x v="7"/>
    <x v="1"/>
  </r>
  <r>
    <x v="1404"/>
    <x v="1"/>
    <x v="1"/>
    <n v="33.799999999999997"/>
    <x v="821"/>
    <x v="52"/>
    <d v="2025-02-26T00:00:00"/>
    <x v="2"/>
    <x v="1"/>
    <x v="0"/>
    <x v="0"/>
    <x v="3"/>
    <x v="5"/>
    <x v="7"/>
    <x v="2"/>
  </r>
  <r>
    <x v="1405"/>
    <x v="3"/>
    <x v="0"/>
    <n v="70"/>
    <x v="1154"/>
    <x v="52"/>
    <d v="2025-02-23T00:00:00"/>
    <x v="2"/>
    <x v="0"/>
    <x v="0"/>
    <x v="0"/>
    <x v="3"/>
    <x v="3"/>
    <x v="7"/>
    <x v="2"/>
  </r>
  <r>
    <x v="1406"/>
    <x v="9"/>
    <x v="0"/>
    <n v="88"/>
    <x v="1155"/>
    <x v="52"/>
    <d v="2025-02-27T00:00:00"/>
    <x v="2"/>
    <x v="3"/>
    <x v="0"/>
    <x v="0"/>
    <x v="3"/>
    <x v="0"/>
    <x v="7"/>
    <x v="2"/>
  </r>
  <r>
    <x v="1407"/>
    <x v="2"/>
    <x v="2"/>
    <n v="74.099999999999994"/>
    <x v="1156"/>
    <x v="52"/>
    <d v="2025-02-22T00:00:00"/>
    <x v="1"/>
    <x v="4"/>
    <x v="1"/>
    <x v="0"/>
    <x v="3"/>
    <x v="7"/>
    <x v="7"/>
    <x v="1"/>
  </r>
  <r>
    <x v="1408"/>
    <x v="2"/>
    <x v="0"/>
    <n v="161.9"/>
    <x v="1157"/>
    <x v="52"/>
    <d v="2025-02-24T00:00:00"/>
    <x v="1"/>
    <x v="2"/>
    <x v="0"/>
    <x v="0"/>
    <x v="3"/>
    <x v="1"/>
    <x v="7"/>
    <x v="1"/>
  </r>
  <r>
    <x v="1409"/>
    <x v="4"/>
    <x v="1"/>
    <n v="44"/>
    <x v="1155"/>
    <x v="52"/>
    <d v="2025-02-23T00:00:00"/>
    <x v="3"/>
    <x v="4"/>
    <x v="1"/>
    <x v="0"/>
    <x v="3"/>
    <x v="3"/>
    <x v="7"/>
    <x v="0"/>
  </r>
  <r>
    <x v="1410"/>
    <x v="11"/>
    <x v="0"/>
    <n v="32.1"/>
    <x v="1158"/>
    <x v="52"/>
    <d v="2025-02-22T00:00:00"/>
    <x v="2"/>
    <x v="3"/>
    <x v="3"/>
    <x v="0"/>
    <x v="3"/>
    <x v="7"/>
    <x v="7"/>
    <x v="2"/>
  </r>
  <r>
    <x v="1411"/>
    <x v="2"/>
    <x v="12"/>
    <n v="104.8"/>
    <x v="1159"/>
    <x v="53"/>
    <d v="2025-02-25T00:00:00"/>
    <x v="3"/>
    <x v="0"/>
    <x v="0"/>
    <x v="0"/>
    <x v="3"/>
    <x v="1"/>
    <x v="8"/>
    <x v="0"/>
  </r>
  <r>
    <x v="1412"/>
    <x v="9"/>
    <x v="13"/>
    <n v="67.400000000000006"/>
    <x v="1160"/>
    <x v="53"/>
    <d v="2025-02-24T00:00:00"/>
    <x v="2"/>
    <x v="3"/>
    <x v="0"/>
    <x v="0"/>
    <x v="3"/>
    <x v="3"/>
    <x v="8"/>
    <x v="2"/>
  </r>
  <r>
    <x v="1413"/>
    <x v="6"/>
    <x v="1"/>
    <n v="115.2"/>
    <x v="1161"/>
    <x v="53"/>
    <d v="2025-02-24T00:00:00"/>
    <x v="2"/>
    <x v="1"/>
    <x v="0"/>
    <x v="0"/>
    <x v="4"/>
    <x v="3"/>
    <x v="8"/>
    <x v="2"/>
  </r>
  <r>
    <x v="1414"/>
    <x v="8"/>
    <x v="19"/>
    <n v="15.5"/>
    <x v="148"/>
    <x v="53"/>
    <d v="2025-02-25T00:00:00"/>
    <x v="2"/>
    <x v="0"/>
    <x v="1"/>
    <x v="0"/>
    <x v="23"/>
    <x v="1"/>
    <x v="8"/>
    <x v="2"/>
  </r>
  <r>
    <x v="1415"/>
    <x v="6"/>
    <x v="5"/>
    <n v="66.400000000000006"/>
    <x v="1162"/>
    <x v="53"/>
    <d v="2025-02-25T00:00:00"/>
    <x v="2"/>
    <x v="0"/>
    <x v="0"/>
    <x v="0"/>
    <x v="6"/>
    <x v="1"/>
    <x v="8"/>
    <x v="2"/>
  </r>
  <r>
    <x v="1416"/>
    <x v="9"/>
    <x v="4"/>
    <n v="68.099999999999994"/>
    <x v="1163"/>
    <x v="53"/>
    <d v="2025-02-24T00:00:00"/>
    <x v="2"/>
    <x v="2"/>
    <x v="0"/>
    <x v="0"/>
    <x v="8"/>
    <x v="3"/>
    <x v="8"/>
    <x v="2"/>
  </r>
  <r>
    <x v="1417"/>
    <x v="8"/>
    <x v="9"/>
    <n v="32.5"/>
    <x v="1164"/>
    <x v="53"/>
    <d v="2025-02-27T00:00:00"/>
    <x v="1"/>
    <x v="2"/>
    <x v="1"/>
    <x v="0"/>
    <x v="8"/>
    <x v="5"/>
    <x v="8"/>
    <x v="1"/>
  </r>
  <r>
    <x v="1418"/>
    <x v="15"/>
    <x v="2"/>
    <n v="61.2"/>
    <x v="1165"/>
    <x v="53"/>
    <d v="2025-02-25T00:00:00"/>
    <x v="2"/>
    <x v="1"/>
    <x v="1"/>
    <x v="0"/>
    <x v="8"/>
    <x v="1"/>
    <x v="8"/>
    <x v="2"/>
  </r>
  <r>
    <x v="1419"/>
    <x v="9"/>
    <x v="1"/>
    <n v="54.2"/>
    <x v="1061"/>
    <x v="53"/>
    <d v="2025-02-24T00:00:00"/>
    <x v="2"/>
    <x v="1"/>
    <x v="0"/>
    <x v="0"/>
    <x v="8"/>
    <x v="3"/>
    <x v="8"/>
    <x v="2"/>
  </r>
  <r>
    <x v="1420"/>
    <x v="11"/>
    <x v="8"/>
    <n v="28.7"/>
    <x v="1166"/>
    <x v="53"/>
    <d v="2025-02-25T00:00:00"/>
    <x v="1"/>
    <x v="1"/>
    <x v="0"/>
    <x v="0"/>
    <x v="9"/>
    <x v="1"/>
    <x v="8"/>
    <x v="1"/>
  </r>
  <r>
    <x v="1421"/>
    <x v="12"/>
    <x v="13"/>
    <n v="38.200000000000003"/>
    <x v="1167"/>
    <x v="53"/>
    <d v="2025-02-27T00:00:00"/>
    <x v="2"/>
    <x v="0"/>
    <x v="1"/>
    <x v="0"/>
    <x v="9"/>
    <x v="5"/>
    <x v="8"/>
    <x v="2"/>
  </r>
  <r>
    <x v="1422"/>
    <x v="8"/>
    <x v="4"/>
    <n v="17.600000000000001"/>
    <x v="1168"/>
    <x v="53"/>
    <d v="2025-02-24T00:00:00"/>
    <x v="2"/>
    <x v="2"/>
    <x v="1"/>
    <x v="0"/>
    <x v="9"/>
    <x v="3"/>
    <x v="8"/>
    <x v="2"/>
  </r>
  <r>
    <x v="1423"/>
    <x v="10"/>
    <x v="2"/>
    <n v="74.599999999999994"/>
    <x v="1169"/>
    <x v="53"/>
    <d v="2025-02-23T00:00:00"/>
    <x v="2"/>
    <x v="2"/>
    <x v="0"/>
    <x v="0"/>
    <x v="11"/>
    <x v="7"/>
    <x v="8"/>
    <x v="2"/>
  </r>
  <r>
    <x v="1424"/>
    <x v="16"/>
    <x v="20"/>
    <n v="72.599999999999994"/>
    <x v="1170"/>
    <x v="53"/>
    <d v="2025-02-23T00:00:00"/>
    <x v="0"/>
    <x v="1"/>
    <x v="1"/>
    <x v="0"/>
    <x v="11"/>
    <x v="7"/>
    <x v="8"/>
    <x v="0"/>
  </r>
  <r>
    <x v="1425"/>
    <x v="7"/>
    <x v="0"/>
    <n v="62.3"/>
    <x v="1030"/>
    <x v="53"/>
    <d v="2025-02-24T00:00:00"/>
    <x v="2"/>
    <x v="1"/>
    <x v="0"/>
    <x v="0"/>
    <x v="11"/>
    <x v="3"/>
    <x v="8"/>
    <x v="2"/>
  </r>
  <r>
    <x v="1426"/>
    <x v="3"/>
    <x v="2"/>
    <n v="33.799999999999997"/>
    <x v="1171"/>
    <x v="53"/>
    <d v="2025-02-25T00:00:00"/>
    <x v="1"/>
    <x v="0"/>
    <x v="2"/>
    <x v="0"/>
    <x v="20"/>
    <x v="1"/>
    <x v="8"/>
    <x v="1"/>
  </r>
  <r>
    <x v="1427"/>
    <x v="9"/>
    <x v="0"/>
    <n v="85.7"/>
    <x v="1172"/>
    <x v="53"/>
    <d v="2025-02-26T00:00:00"/>
    <x v="1"/>
    <x v="3"/>
    <x v="1"/>
    <x v="0"/>
    <x v="21"/>
    <x v="2"/>
    <x v="8"/>
    <x v="1"/>
  </r>
  <r>
    <x v="1428"/>
    <x v="6"/>
    <x v="1"/>
    <n v="92.1"/>
    <x v="1173"/>
    <x v="53"/>
    <d v="2025-02-25T00:00:00"/>
    <x v="1"/>
    <x v="1"/>
    <x v="0"/>
    <x v="0"/>
    <x v="21"/>
    <x v="1"/>
    <x v="8"/>
    <x v="1"/>
  </r>
  <r>
    <x v="1429"/>
    <x v="16"/>
    <x v="2"/>
    <n v="65.099999999999994"/>
    <x v="1174"/>
    <x v="53"/>
    <d v="2025-02-26T00:00:00"/>
    <x v="1"/>
    <x v="0"/>
    <x v="0"/>
    <x v="0"/>
    <x v="1"/>
    <x v="2"/>
    <x v="8"/>
    <x v="1"/>
  </r>
  <r>
    <x v="1430"/>
    <x v="9"/>
    <x v="3"/>
    <n v="20.3"/>
    <x v="1175"/>
    <x v="53"/>
    <d v="2025-02-24T00:00:00"/>
    <x v="2"/>
    <x v="2"/>
    <x v="2"/>
    <x v="0"/>
    <x v="2"/>
    <x v="3"/>
    <x v="8"/>
    <x v="2"/>
  </r>
  <r>
    <x v="1431"/>
    <x v="19"/>
    <x v="1"/>
    <n v="29.8"/>
    <x v="1176"/>
    <x v="53"/>
    <d v="2025-02-25T00:00:00"/>
    <x v="2"/>
    <x v="1"/>
    <x v="2"/>
    <x v="0"/>
    <x v="34"/>
    <x v="1"/>
    <x v="8"/>
    <x v="2"/>
  </r>
  <r>
    <x v="1432"/>
    <x v="0"/>
    <x v="1"/>
    <n v="24.2"/>
    <x v="655"/>
    <x v="53"/>
    <d v="2025-02-25T00:00:00"/>
    <x v="2"/>
    <x v="3"/>
    <x v="2"/>
    <x v="0"/>
    <x v="3"/>
    <x v="1"/>
    <x v="8"/>
    <x v="2"/>
  </r>
  <r>
    <x v="1433"/>
    <x v="3"/>
    <x v="0"/>
    <n v="57.3"/>
    <x v="1177"/>
    <x v="53"/>
    <d v="2025-02-25T00:00:00"/>
    <x v="1"/>
    <x v="0"/>
    <x v="0"/>
    <x v="0"/>
    <x v="3"/>
    <x v="1"/>
    <x v="8"/>
    <x v="1"/>
  </r>
  <r>
    <x v="1434"/>
    <x v="2"/>
    <x v="0"/>
    <n v="108.9"/>
    <x v="1178"/>
    <x v="53"/>
    <d v="2025-02-25T00:00:00"/>
    <x v="2"/>
    <x v="1"/>
    <x v="0"/>
    <x v="0"/>
    <x v="3"/>
    <x v="1"/>
    <x v="8"/>
    <x v="2"/>
  </r>
  <r>
    <x v="1435"/>
    <x v="7"/>
    <x v="9"/>
    <n v="50.7"/>
    <x v="103"/>
    <x v="53"/>
    <d v="2025-02-24T00:00:00"/>
    <x v="2"/>
    <x v="0"/>
    <x v="0"/>
    <x v="0"/>
    <x v="3"/>
    <x v="3"/>
    <x v="8"/>
    <x v="2"/>
  </r>
  <r>
    <x v="1436"/>
    <x v="7"/>
    <x v="11"/>
    <n v="66.099999999999994"/>
    <x v="1179"/>
    <x v="53"/>
    <d v="2025-03-09T00:00:00"/>
    <x v="2"/>
    <x v="1"/>
    <x v="0"/>
    <x v="0"/>
    <x v="3"/>
    <x v="12"/>
    <x v="8"/>
    <x v="2"/>
  </r>
  <r>
    <x v="1437"/>
    <x v="12"/>
    <x v="9"/>
    <n v="36.700000000000003"/>
    <x v="1180"/>
    <x v="53"/>
    <d v="2025-02-27T00:00:00"/>
    <x v="2"/>
    <x v="4"/>
    <x v="0"/>
    <x v="0"/>
    <x v="3"/>
    <x v="5"/>
    <x v="8"/>
    <x v="2"/>
  </r>
  <r>
    <x v="1438"/>
    <x v="8"/>
    <x v="14"/>
    <n v="19.3"/>
    <x v="1181"/>
    <x v="53"/>
    <d v="2025-02-25T00:00:00"/>
    <x v="1"/>
    <x v="0"/>
    <x v="0"/>
    <x v="0"/>
    <x v="43"/>
    <x v="1"/>
    <x v="8"/>
    <x v="1"/>
  </r>
  <r>
    <x v="1439"/>
    <x v="8"/>
    <x v="12"/>
    <n v="20.7"/>
    <x v="1182"/>
    <x v="53"/>
    <d v="2025-02-24T00:00:00"/>
    <x v="1"/>
    <x v="1"/>
    <x v="2"/>
    <x v="0"/>
    <x v="6"/>
    <x v="3"/>
    <x v="8"/>
    <x v="1"/>
  </r>
  <r>
    <x v="1440"/>
    <x v="5"/>
    <x v="2"/>
    <n v="54.7"/>
    <x v="1183"/>
    <x v="53"/>
    <d v="2025-02-23T00:00:00"/>
    <x v="3"/>
    <x v="1"/>
    <x v="4"/>
    <x v="0"/>
    <x v="6"/>
    <x v="7"/>
    <x v="8"/>
    <x v="0"/>
  </r>
  <r>
    <x v="1441"/>
    <x v="4"/>
    <x v="1"/>
    <n v="19.8"/>
    <x v="341"/>
    <x v="53"/>
    <d v="2025-02-27T00:00:00"/>
    <x v="2"/>
    <x v="4"/>
    <x v="1"/>
    <x v="0"/>
    <x v="8"/>
    <x v="5"/>
    <x v="8"/>
    <x v="2"/>
  </r>
  <r>
    <x v="1442"/>
    <x v="7"/>
    <x v="0"/>
    <n v="41.1"/>
    <x v="1184"/>
    <x v="53"/>
    <d v="2025-02-25T00:00:00"/>
    <x v="2"/>
    <x v="0"/>
    <x v="2"/>
    <x v="0"/>
    <x v="8"/>
    <x v="1"/>
    <x v="8"/>
    <x v="2"/>
  </r>
  <r>
    <x v="1443"/>
    <x v="11"/>
    <x v="8"/>
    <n v="43.5"/>
    <x v="1185"/>
    <x v="53"/>
    <d v="2025-02-27T00:00:00"/>
    <x v="2"/>
    <x v="3"/>
    <x v="0"/>
    <x v="0"/>
    <x v="8"/>
    <x v="5"/>
    <x v="8"/>
    <x v="2"/>
  </r>
  <r>
    <x v="1444"/>
    <x v="8"/>
    <x v="21"/>
    <n v="19"/>
    <x v="751"/>
    <x v="53"/>
    <d v="2025-02-24T00:00:00"/>
    <x v="1"/>
    <x v="0"/>
    <x v="0"/>
    <x v="0"/>
    <x v="26"/>
    <x v="3"/>
    <x v="8"/>
    <x v="1"/>
  </r>
  <r>
    <x v="1445"/>
    <x v="2"/>
    <x v="12"/>
    <n v="51.4"/>
    <x v="1186"/>
    <x v="53"/>
    <d v="2025-02-23T00:00:00"/>
    <x v="2"/>
    <x v="0"/>
    <x v="0"/>
    <x v="0"/>
    <x v="26"/>
    <x v="7"/>
    <x v="8"/>
    <x v="2"/>
  </r>
  <r>
    <x v="1446"/>
    <x v="10"/>
    <x v="1"/>
    <n v="39.799999999999997"/>
    <x v="1187"/>
    <x v="53"/>
    <d v="2025-02-26T00:00:00"/>
    <x v="1"/>
    <x v="3"/>
    <x v="1"/>
    <x v="0"/>
    <x v="13"/>
    <x v="2"/>
    <x v="8"/>
    <x v="1"/>
  </r>
  <r>
    <x v="1447"/>
    <x v="6"/>
    <x v="9"/>
    <n v="61"/>
    <x v="1188"/>
    <x v="53"/>
    <d v="2025-02-24T00:00:00"/>
    <x v="0"/>
    <x v="0"/>
    <x v="2"/>
    <x v="0"/>
    <x v="21"/>
    <x v="3"/>
    <x v="8"/>
    <x v="0"/>
  </r>
  <r>
    <x v="1448"/>
    <x v="8"/>
    <x v="5"/>
    <n v="15.1"/>
    <x v="1189"/>
    <x v="54"/>
    <d v="2025-03-01T00:00:00"/>
    <x v="1"/>
    <x v="3"/>
    <x v="2"/>
    <x v="0"/>
    <x v="2"/>
    <x v="0"/>
    <x v="8"/>
    <x v="1"/>
  </r>
  <r>
    <x v="1449"/>
    <x v="1"/>
    <x v="3"/>
    <n v="71.3"/>
    <x v="1190"/>
    <x v="54"/>
    <d v="2025-02-25T00:00:00"/>
    <x v="1"/>
    <x v="4"/>
    <x v="0"/>
    <x v="0"/>
    <x v="3"/>
    <x v="3"/>
    <x v="8"/>
    <x v="1"/>
  </r>
  <r>
    <x v="1450"/>
    <x v="10"/>
    <x v="0"/>
    <n v="25.8"/>
    <x v="1191"/>
    <x v="54"/>
    <d v="2025-02-26T00:00:00"/>
    <x v="2"/>
    <x v="0"/>
    <x v="2"/>
    <x v="0"/>
    <x v="3"/>
    <x v="1"/>
    <x v="8"/>
    <x v="2"/>
  </r>
  <r>
    <x v="1451"/>
    <x v="8"/>
    <x v="9"/>
    <n v="39.6"/>
    <x v="1192"/>
    <x v="54"/>
    <d v="2025-02-26T00:00:00"/>
    <x v="1"/>
    <x v="1"/>
    <x v="2"/>
    <x v="0"/>
    <x v="3"/>
    <x v="1"/>
    <x v="8"/>
    <x v="1"/>
  </r>
  <r>
    <x v="1452"/>
    <x v="5"/>
    <x v="1"/>
    <n v="64"/>
    <x v="1193"/>
    <x v="54"/>
    <d v="2025-02-24T00:00:00"/>
    <x v="1"/>
    <x v="1"/>
    <x v="1"/>
    <x v="0"/>
    <x v="3"/>
    <x v="7"/>
    <x v="8"/>
    <x v="1"/>
  </r>
  <r>
    <x v="1453"/>
    <x v="8"/>
    <x v="1"/>
    <n v="30.6"/>
    <x v="1"/>
    <x v="54"/>
    <d v="2025-02-27T00:00:00"/>
    <x v="1"/>
    <x v="0"/>
    <x v="2"/>
    <x v="0"/>
    <x v="3"/>
    <x v="2"/>
    <x v="8"/>
    <x v="1"/>
  </r>
  <r>
    <x v="1454"/>
    <x v="8"/>
    <x v="1"/>
    <n v="21.3"/>
    <x v="440"/>
    <x v="54"/>
    <d v="2025-02-25T00:00:00"/>
    <x v="1"/>
    <x v="0"/>
    <x v="1"/>
    <x v="0"/>
    <x v="3"/>
    <x v="3"/>
    <x v="8"/>
    <x v="1"/>
  </r>
  <r>
    <x v="1455"/>
    <x v="7"/>
    <x v="0"/>
    <n v="40.799999999999997"/>
    <x v="803"/>
    <x v="54"/>
    <d v="2025-02-26T00:00:00"/>
    <x v="2"/>
    <x v="4"/>
    <x v="0"/>
    <x v="0"/>
    <x v="3"/>
    <x v="1"/>
    <x v="8"/>
    <x v="2"/>
  </r>
  <r>
    <x v="1456"/>
    <x v="9"/>
    <x v="12"/>
    <n v="27.7"/>
    <x v="806"/>
    <x v="54"/>
    <d v="2025-02-25T00:00:00"/>
    <x v="2"/>
    <x v="0"/>
    <x v="1"/>
    <x v="0"/>
    <x v="3"/>
    <x v="3"/>
    <x v="8"/>
    <x v="2"/>
  </r>
  <r>
    <x v="1457"/>
    <x v="6"/>
    <x v="1"/>
    <n v="64.599999999999994"/>
    <x v="769"/>
    <x v="54"/>
    <d v="2025-02-25T00:00:00"/>
    <x v="1"/>
    <x v="0"/>
    <x v="1"/>
    <x v="0"/>
    <x v="3"/>
    <x v="3"/>
    <x v="8"/>
    <x v="1"/>
  </r>
  <r>
    <x v="1458"/>
    <x v="6"/>
    <x v="27"/>
    <n v="91.1"/>
    <x v="1194"/>
    <x v="54"/>
    <d v="2025-02-25T00:00:00"/>
    <x v="2"/>
    <x v="1"/>
    <x v="2"/>
    <x v="0"/>
    <x v="3"/>
    <x v="3"/>
    <x v="8"/>
    <x v="2"/>
  </r>
  <r>
    <x v="1459"/>
    <x v="1"/>
    <x v="0"/>
    <n v="39.5"/>
    <x v="736"/>
    <x v="54"/>
    <d v="2025-03-04T00:00:00"/>
    <x v="2"/>
    <x v="0"/>
    <x v="0"/>
    <x v="0"/>
    <x v="3"/>
    <x v="9"/>
    <x v="8"/>
    <x v="2"/>
  </r>
  <r>
    <x v="1460"/>
    <x v="9"/>
    <x v="1"/>
    <n v="21.8"/>
    <x v="1195"/>
    <x v="54"/>
    <d v="2025-02-28T00:00:00"/>
    <x v="1"/>
    <x v="4"/>
    <x v="2"/>
    <x v="0"/>
    <x v="3"/>
    <x v="5"/>
    <x v="8"/>
    <x v="1"/>
  </r>
  <r>
    <x v="1461"/>
    <x v="8"/>
    <x v="1"/>
    <n v="51"/>
    <x v="1062"/>
    <x v="54"/>
    <d v="2025-02-27T00:00:00"/>
    <x v="1"/>
    <x v="3"/>
    <x v="2"/>
    <x v="0"/>
    <x v="3"/>
    <x v="2"/>
    <x v="8"/>
    <x v="1"/>
  </r>
  <r>
    <x v="1462"/>
    <x v="2"/>
    <x v="0"/>
    <n v="92.6"/>
    <x v="1196"/>
    <x v="54"/>
    <d v="2025-02-27T00:00:00"/>
    <x v="2"/>
    <x v="0"/>
    <x v="2"/>
    <x v="0"/>
    <x v="35"/>
    <x v="2"/>
    <x v="8"/>
    <x v="2"/>
  </r>
  <r>
    <x v="1463"/>
    <x v="9"/>
    <x v="1"/>
    <n v="31.1"/>
    <x v="1197"/>
    <x v="54"/>
    <d v="2025-03-01T00:00:00"/>
    <x v="0"/>
    <x v="1"/>
    <x v="3"/>
    <x v="0"/>
    <x v="23"/>
    <x v="0"/>
    <x v="8"/>
    <x v="0"/>
  </r>
  <r>
    <x v="1464"/>
    <x v="5"/>
    <x v="2"/>
    <n v="56.4"/>
    <x v="362"/>
    <x v="54"/>
    <d v="2025-02-25T00:00:00"/>
    <x v="0"/>
    <x v="1"/>
    <x v="0"/>
    <x v="0"/>
    <x v="6"/>
    <x v="3"/>
    <x v="8"/>
    <x v="0"/>
  </r>
  <r>
    <x v="1465"/>
    <x v="9"/>
    <x v="0"/>
    <n v="41.9"/>
    <x v="1151"/>
    <x v="54"/>
    <d v="2025-02-24T00:00:00"/>
    <x v="1"/>
    <x v="1"/>
    <x v="0"/>
    <x v="0"/>
    <x v="6"/>
    <x v="7"/>
    <x v="8"/>
    <x v="1"/>
  </r>
  <r>
    <x v="1466"/>
    <x v="10"/>
    <x v="3"/>
    <n v="45.9"/>
    <x v="1198"/>
    <x v="54"/>
    <d v="2025-02-25T00:00:00"/>
    <x v="1"/>
    <x v="3"/>
    <x v="2"/>
    <x v="0"/>
    <x v="8"/>
    <x v="3"/>
    <x v="8"/>
    <x v="1"/>
  </r>
  <r>
    <x v="1467"/>
    <x v="14"/>
    <x v="11"/>
    <n v="24.4"/>
    <x v="1199"/>
    <x v="54"/>
    <d v="2025-02-28T00:00:00"/>
    <x v="1"/>
    <x v="3"/>
    <x v="2"/>
    <x v="0"/>
    <x v="8"/>
    <x v="5"/>
    <x v="8"/>
    <x v="1"/>
  </r>
  <r>
    <x v="1468"/>
    <x v="8"/>
    <x v="0"/>
    <n v="18.2"/>
    <x v="1200"/>
    <x v="54"/>
    <d v="2025-02-25T00:00:00"/>
    <x v="2"/>
    <x v="2"/>
    <x v="2"/>
    <x v="0"/>
    <x v="8"/>
    <x v="3"/>
    <x v="8"/>
    <x v="2"/>
  </r>
  <r>
    <x v="1469"/>
    <x v="8"/>
    <x v="12"/>
    <n v="51.2"/>
    <x v="403"/>
    <x v="54"/>
    <d v="2025-02-25T00:00:00"/>
    <x v="2"/>
    <x v="0"/>
    <x v="0"/>
    <x v="0"/>
    <x v="8"/>
    <x v="3"/>
    <x v="8"/>
    <x v="2"/>
  </r>
  <r>
    <x v="1470"/>
    <x v="6"/>
    <x v="0"/>
    <n v="59.7"/>
    <x v="1201"/>
    <x v="54"/>
    <d v="2025-02-27T00:00:00"/>
    <x v="1"/>
    <x v="0"/>
    <x v="2"/>
    <x v="0"/>
    <x v="8"/>
    <x v="2"/>
    <x v="8"/>
    <x v="1"/>
  </r>
  <r>
    <x v="1471"/>
    <x v="4"/>
    <x v="1"/>
    <n v="33.6"/>
    <x v="863"/>
    <x v="54"/>
    <d v="2025-02-26T00:00:00"/>
    <x v="2"/>
    <x v="0"/>
    <x v="0"/>
    <x v="0"/>
    <x v="17"/>
    <x v="1"/>
    <x v="8"/>
    <x v="2"/>
  </r>
  <r>
    <x v="1472"/>
    <x v="12"/>
    <x v="0"/>
    <n v="90.4"/>
    <x v="786"/>
    <x v="54"/>
    <d v="2025-02-28T00:00:00"/>
    <x v="1"/>
    <x v="1"/>
    <x v="2"/>
    <x v="0"/>
    <x v="10"/>
    <x v="5"/>
    <x v="8"/>
    <x v="1"/>
  </r>
  <r>
    <x v="1473"/>
    <x v="11"/>
    <x v="2"/>
    <n v="70.3"/>
    <x v="1202"/>
    <x v="54"/>
    <d v="2025-02-24T00:00:00"/>
    <x v="1"/>
    <x v="1"/>
    <x v="2"/>
    <x v="0"/>
    <x v="11"/>
    <x v="7"/>
    <x v="8"/>
    <x v="1"/>
  </r>
  <r>
    <x v="1474"/>
    <x v="4"/>
    <x v="1"/>
    <n v="20.5"/>
    <x v="783"/>
    <x v="54"/>
    <d v="2025-02-27T00:00:00"/>
    <x v="2"/>
    <x v="0"/>
    <x v="1"/>
    <x v="0"/>
    <x v="11"/>
    <x v="2"/>
    <x v="8"/>
    <x v="2"/>
  </r>
  <r>
    <x v="1475"/>
    <x v="5"/>
    <x v="5"/>
    <n v="37.6"/>
    <x v="1203"/>
    <x v="54"/>
    <d v="2025-02-25T00:00:00"/>
    <x v="1"/>
    <x v="0"/>
    <x v="0"/>
    <x v="0"/>
    <x v="38"/>
    <x v="3"/>
    <x v="8"/>
    <x v="1"/>
  </r>
  <r>
    <x v="1476"/>
    <x v="5"/>
    <x v="12"/>
    <n v="61.5"/>
    <x v="1204"/>
    <x v="54"/>
    <d v="2025-03-03T00:00:00"/>
    <x v="2"/>
    <x v="1"/>
    <x v="4"/>
    <x v="0"/>
    <x v="13"/>
    <x v="6"/>
    <x v="8"/>
    <x v="2"/>
  </r>
  <r>
    <x v="1477"/>
    <x v="9"/>
    <x v="0"/>
    <n v="33.5"/>
    <x v="253"/>
    <x v="55"/>
    <d v="2025-03-01T00:00:00"/>
    <x v="1"/>
    <x v="4"/>
    <x v="1"/>
    <x v="0"/>
    <x v="21"/>
    <x v="5"/>
    <x v="8"/>
    <x v="1"/>
  </r>
  <r>
    <x v="1478"/>
    <x v="4"/>
    <x v="2"/>
    <n v="29.3"/>
    <x v="1205"/>
    <x v="55"/>
    <d v="2025-02-27T00:00:00"/>
    <x v="2"/>
    <x v="1"/>
    <x v="2"/>
    <x v="0"/>
    <x v="1"/>
    <x v="1"/>
    <x v="8"/>
    <x v="2"/>
  </r>
  <r>
    <x v="1479"/>
    <x v="2"/>
    <x v="1"/>
    <n v="125.9"/>
    <x v="1206"/>
    <x v="55"/>
    <d v="2025-03-02T00:00:00"/>
    <x v="2"/>
    <x v="4"/>
    <x v="1"/>
    <x v="0"/>
    <x v="1"/>
    <x v="0"/>
    <x v="8"/>
    <x v="2"/>
  </r>
  <r>
    <x v="1480"/>
    <x v="5"/>
    <x v="9"/>
    <n v="29.3"/>
    <x v="1207"/>
    <x v="55"/>
    <d v="2025-02-25T00:00:00"/>
    <x v="1"/>
    <x v="2"/>
    <x v="0"/>
    <x v="0"/>
    <x v="44"/>
    <x v="7"/>
    <x v="8"/>
    <x v="1"/>
  </r>
  <r>
    <x v="1481"/>
    <x v="9"/>
    <x v="0"/>
    <n v="37.799999999999997"/>
    <x v="463"/>
    <x v="55"/>
    <d v="2025-02-28T00:00:00"/>
    <x v="2"/>
    <x v="0"/>
    <x v="2"/>
    <x v="0"/>
    <x v="3"/>
    <x v="2"/>
    <x v="8"/>
    <x v="2"/>
  </r>
  <r>
    <x v="1482"/>
    <x v="0"/>
    <x v="12"/>
    <n v="31.7"/>
    <x v="1208"/>
    <x v="55"/>
    <d v="2025-02-26T00:00:00"/>
    <x v="1"/>
    <x v="2"/>
    <x v="2"/>
    <x v="0"/>
    <x v="3"/>
    <x v="3"/>
    <x v="8"/>
    <x v="1"/>
  </r>
  <r>
    <x v="1483"/>
    <x v="8"/>
    <x v="9"/>
    <n v="26.3"/>
    <x v="1209"/>
    <x v="55"/>
    <d v="2025-02-26T00:00:00"/>
    <x v="2"/>
    <x v="3"/>
    <x v="2"/>
    <x v="0"/>
    <x v="3"/>
    <x v="3"/>
    <x v="8"/>
    <x v="2"/>
  </r>
  <r>
    <x v="1484"/>
    <x v="8"/>
    <x v="2"/>
    <n v="23.1"/>
    <x v="59"/>
    <x v="55"/>
    <d v="2025-02-26T00:00:00"/>
    <x v="3"/>
    <x v="2"/>
    <x v="1"/>
    <x v="0"/>
    <x v="3"/>
    <x v="3"/>
    <x v="8"/>
    <x v="0"/>
  </r>
  <r>
    <x v="1485"/>
    <x v="4"/>
    <x v="0"/>
    <n v="22.3"/>
    <x v="968"/>
    <x v="55"/>
    <d v="2025-02-27T00:00:00"/>
    <x v="2"/>
    <x v="2"/>
    <x v="0"/>
    <x v="0"/>
    <x v="3"/>
    <x v="1"/>
    <x v="8"/>
    <x v="2"/>
  </r>
  <r>
    <x v="1486"/>
    <x v="12"/>
    <x v="1"/>
    <n v="99.5"/>
    <x v="1210"/>
    <x v="55"/>
    <d v="2025-02-27T00:00:00"/>
    <x v="2"/>
    <x v="2"/>
    <x v="0"/>
    <x v="0"/>
    <x v="3"/>
    <x v="1"/>
    <x v="8"/>
    <x v="2"/>
  </r>
  <r>
    <x v="1487"/>
    <x v="12"/>
    <x v="12"/>
    <n v="47.4"/>
    <x v="455"/>
    <x v="55"/>
    <d v="2025-02-28T00:00:00"/>
    <x v="2"/>
    <x v="1"/>
    <x v="0"/>
    <x v="0"/>
    <x v="3"/>
    <x v="2"/>
    <x v="8"/>
    <x v="2"/>
  </r>
  <r>
    <x v="1488"/>
    <x v="0"/>
    <x v="5"/>
    <n v="37.5"/>
    <x v="1211"/>
    <x v="55"/>
    <d v="2025-02-27T00:00:00"/>
    <x v="2"/>
    <x v="0"/>
    <x v="3"/>
    <x v="0"/>
    <x v="3"/>
    <x v="1"/>
    <x v="8"/>
    <x v="2"/>
  </r>
  <r>
    <x v="1489"/>
    <x v="10"/>
    <x v="0"/>
    <n v="45.1"/>
    <x v="1212"/>
    <x v="55"/>
    <d v="2025-03-02T00:00:00"/>
    <x v="1"/>
    <x v="3"/>
    <x v="2"/>
    <x v="0"/>
    <x v="24"/>
    <x v="0"/>
    <x v="8"/>
    <x v="1"/>
  </r>
  <r>
    <x v="1490"/>
    <x v="5"/>
    <x v="7"/>
    <n v="34.4"/>
    <x v="1213"/>
    <x v="55"/>
    <d v="2025-02-28T00:00:00"/>
    <x v="1"/>
    <x v="2"/>
    <x v="0"/>
    <x v="0"/>
    <x v="16"/>
    <x v="2"/>
    <x v="8"/>
    <x v="1"/>
  </r>
  <r>
    <x v="1491"/>
    <x v="4"/>
    <x v="1"/>
    <n v="38"/>
    <x v="998"/>
    <x v="55"/>
    <d v="2025-02-27T00:00:00"/>
    <x v="2"/>
    <x v="1"/>
    <x v="0"/>
    <x v="0"/>
    <x v="5"/>
    <x v="1"/>
    <x v="8"/>
    <x v="2"/>
  </r>
  <r>
    <x v="1492"/>
    <x v="3"/>
    <x v="21"/>
    <n v="32.4"/>
    <x v="1214"/>
    <x v="55"/>
    <d v="2025-02-28T00:00:00"/>
    <x v="1"/>
    <x v="4"/>
    <x v="0"/>
    <x v="0"/>
    <x v="6"/>
    <x v="2"/>
    <x v="8"/>
    <x v="1"/>
  </r>
  <r>
    <x v="1493"/>
    <x v="6"/>
    <x v="2"/>
    <n v="40.9"/>
    <x v="544"/>
    <x v="55"/>
    <d v="2025-02-25T00:00:00"/>
    <x v="0"/>
    <x v="1"/>
    <x v="0"/>
    <x v="0"/>
    <x v="8"/>
    <x v="7"/>
    <x v="8"/>
    <x v="0"/>
  </r>
  <r>
    <x v="1494"/>
    <x v="7"/>
    <x v="3"/>
    <n v="76.2"/>
    <x v="1215"/>
    <x v="55"/>
    <d v="2025-02-27T00:00:00"/>
    <x v="2"/>
    <x v="2"/>
    <x v="1"/>
    <x v="0"/>
    <x v="8"/>
    <x v="1"/>
    <x v="8"/>
    <x v="2"/>
  </r>
  <r>
    <x v="1495"/>
    <x v="2"/>
    <x v="0"/>
    <n v="85.6"/>
    <x v="1216"/>
    <x v="55"/>
    <d v="2025-02-27T00:00:00"/>
    <x v="1"/>
    <x v="2"/>
    <x v="0"/>
    <x v="0"/>
    <x v="8"/>
    <x v="1"/>
    <x v="8"/>
    <x v="1"/>
  </r>
  <r>
    <x v="1496"/>
    <x v="4"/>
    <x v="12"/>
    <n v="25"/>
    <x v="1217"/>
    <x v="55"/>
    <d v="2025-02-27T00:00:00"/>
    <x v="2"/>
    <x v="2"/>
    <x v="2"/>
    <x v="0"/>
    <x v="8"/>
    <x v="1"/>
    <x v="8"/>
    <x v="2"/>
  </r>
  <r>
    <x v="1497"/>
    <x v="2"/>
    <x v="9"/>
    <n v="150.69999999999999"/>
    <x v="1218"/>
    <x v="55"/>
    <d v="2025-02-26T00:00:00"/>
    <x v="0"/>
    <x v="0"/>
    <x v="2"/>
    <x v="0"/>
    <x v="8"/>
    <x v="3"/>
    <x v="8"/>
    <x v="0"/>
  </r>
  <r>
    <x v="1498"/>
    <x v="8"/>
    <x v="0"/>
    <n v="19.600000000000001"/>
    <x v="1219"/>
    <x v="55"/>
    <d v="2025-02-26T00:00:00"/>
    <x v="1"/>
    <x v="1"/>
    <x v="4"/>
    <x v="0"/>
    <x v="8"/>
    <x v="3"/>
    <x v="8"/>
    <x v="1"/>
  </r>
  <r>
    <x v="1499"/>
    <x v="13"/>
    <x v="1"/>
    <n v="37.5"/>
    <x v="611"/>
    <x v="55"/>
    <d v="2025-02-28T00:00:00"/>
    <x v="2"/>
    <x v="1"/>
    <x v="2"/>
    <x v="0"/>
    <x v="17"/>
    <x v="2"/>
    <x v="8"/>
    <x v="2"/>
  </r>
  <r>
    <x v="1500"/>
    <x v="9"/>
    <x v="2"/>
    <n v="51.9"/>
    <x v="515"/>
    <x v="55"/>
    <d v="2025-03-03T00:00:00"/>
    <x v="2"/>
    <x v="0"/>
    <x v="4"/>
    <x v="0"/>
    <x v="11"/>
    <x v="4"/>
    <x v="8"/>
    <x v="2"/>
  </r>
  <r>
    <x v="1501"/>
    <x v="1"/>
    <x v="1"/>
    <n v="30.9"/>
    <x v="546"/>
    <x v="55"/>
    <d v="2025-02-27T00:00:00"/>
    <x v="2"/>
    <x v="1"/>
    <x v="0"/>
    <x v="0"/>
    <x v="18"/>
    <x v="1"/>
    <x v="8"/>
    <x v="2"/>
  </r>
  <r>
    <x v="1502"/>
    <x v="4"/>
    <x v="2"/>
    <n v="21.2"/>
    <x v="1220"/>
    <x v="55"/>
    <d v="2025-02-28T00:00:00"/>
    <x v="2"/>
    <x v="1"/>
    <x v="0"/>
    <x v="0"/>
    <x v="19"/>
    <x v="2"/>
    <x v="8"/>
    <x v="2"/>
  </r>
  <r>
    <x v="1503"/>
    <x v="13"/>
    <x v="14"/>
    <n v="17.5"/>
    <x v="1221"/>
    <x v="55"/>
    <d v="2025-02-26T00:00:00"/>
    <x v="1"/>
    <x v="1"/>
    <x v="1"/>
    <x v="0"/>
    <x v="13"/>
    <x v="3"/>
    <x v="8"/>
    <x v="1"/>
  </r>
  <r>
    <x v="1504"/>
    <x v="12"/>
    <x v="1"/>
    <n v="53.8"/>
    <x v="799"/>
    <x v="55"/>
    <d v="2025-03-02T00:00:00"/>
    <x v="2"/>
    <x v="0"/>
    <x v="2"/>
    <x v="0"/>
    <x v="21"/>
    <x v="0"/>
    <x v="8"/>
    <x v="2"/>
  </r>
  <r>
    <x v="1505"/>
    <x v="19"/>
    <x v="1"/>
    <n v="17"/>
    <x v="1222"/>
    <x v="55"/>
    <d v="2025-02-26T00:00:00"/>
    <x v="1"/>
    <x v="3"/>
    <x v="0"/>
    <x v="0"/>
    <x v="21"/>
    <x v="3"/>
    <x v="8"/>
    <x v="1"/>
  </r>
  <r>
    <x v="1506"/>
    <x v="6"/>
    <x v="0"/>
    <n v="103.2"/>
    <x v="1223"/>
    <x v="55"/>
    <d v="2025-03-05T00:00:00"/>
    <x v="1"/>
    <x v="2"/>
    <x v="1"/>
    <x v="0"/>
    <x v="1"/>
    <x v="9"/>
    <x v="8"/>
    <x v="1"/>
  </r>
  <r>
    <x v="1507"/>
    <x v="6"/>
    <x v="12"/>
    <n v="70.3"/>
    <x v="552"/>
    <x v="55"/>
    <d v="2025-02-26T00:00:00"/>
    <x v="1"/>
    <x v="0"/>
    <x v="0"/>
    <x v="0"/>
    <x v="3"/>
    <x v="3"/>
    <x v="8"/>
    <x v="1"/>
  </r>
  <r>
    <x v="1508"/>
    <x v="2"/>
    <x v="1"/>
    <n v="73.8"/>
    <x v="1224"/>
    <x v="55"/>
    <d v="2025-02-25T00:00:00"/>
    <x v="1"/>
    <x v="3"/>
    <x v="2"/>
    <x v="0"/>
    <x v="3"/>
    <x v="7"/>
    <x v="8"/>
    <x v="1"/>
  </r>
  <r>
    <x v="1509"/>
    <x v="1"/>
    <x v="4"/>
    <n v="67.7"/>
    <x v="1225"/>
    <x v="55"/>
    <d v="2025-03-01T00:00:00"/>
    <x v="1"/>
    <x v="1"/>
    <x v="1"/>
    <x v="0"/>
    <x v="3"/>
    <x v="5"/>
    <x v="8"/>
    <x v="1"/>
  </r>
  <r>
    <x v="1510"/>
    <x v="13"/>
    <x v="3"/>
    <n v="43.8"/>
    <x v="1226"/>
    <x v="55"/>
    <d v="2025-02-27T00:00:00"/>
    <x v="1"/>
    <x v="1"/>
    <x v="0"/>
    <x v="0"/>
    <x v="3"/>
    <x v="1"/>
    <x v="8"/>
    <x v="1"/>
  </r>
  <r>
    <x v="1511"/>
    <x v="17"/>
    <x v="13"/>
    <n v="71.900000000000006"/>
    <x v="1227"/>
    <x v="55"/>
    <d v="2025-02-26T00:00:00"/>
    <x v="2"/>
    <x v="2"/>
    <x v="0"/>
    <x v="0"/>
    <x v="3"/>
    <x v="3"/>
    <x v="8"/>
    <x v="2"/>
  </r>
  <r>
    <x v="1512"/>
    <x v="8"/>
    <x v="1"/>
    <n v="26.3"/>
    <x v="1228"/>
    <x v="56"/>
    <d v="2025-02-28T00:00:00"/>
    <x v="2"/>
    <x v="0"/>
    <x v="1"/>
    <x v="0"/>
    <x v="3"/>
    <x v="1"/>
    <x v="8"/>
    <x v="2"/>
  </r>
  <r>
    <x v="1513"/>
    <x v="6"/>
    <x v="12"/>
    <n v="52.6"/>
    <x v="138"/>
    <x v="56"/>
    <d v="2025-02-28T00:00:00"/>
    <x v="2"/>
    <x v="2"/>
    <x v="1"/>
    <x v="0"/>
    <x v="3"/>
    <x v="1"/>
    <x v="8"/>
    <x v="2"/>
  </r>
  <r>
    <x v="1514"/>
    <x v="10"/>
    <x v="0"/>
    <n v="32.700000000000003"/>
    <x v="1229"/>
    <x v="56"/>
    <d v="2025-03-05T00:00:00"/>
    <x v="2"/>
    <x v="0"/>
    <x v="2"/>
    <x v="0"/>
    <x v="3"/>
    <x v="6"/>
    <x v="8"/>
    <x v="2"/>
  </r>
  <r>
    <x v="1515"/>
    <x v="5"/>
    <x v="12"/>
    <n v="38.9"/>
    <x v="1230"/>
    <x v="56"/>
    <d v="2025-02-27T00:00:00"/>
    <x v="2"/>
    <x v="0"/>
    <x v="0"/>
    <x v="0"/>
    <x v="3"/>
    <x v="3"/>
    <x v="8"/>
    <x v="2"/>
  </r>
  <r>
    <x v="1516"/>
    <x v="9"/>
    <x v="9"/>
    <n v="35"/>
    <x v="25"/>
    <x v="56"/>
    <d v="2025-02-28T00:00:00"/>
    <x v="1"/>
    <x v="0"/>
    <x v="0"/>
    <x v="0"/>
    <x v="3"/>
    <x v="1"/>
    <x v="8"/>
    <x v="1"/>
  </r>
  <r>
    <x v="1517"/>
    <x v="2"/>
    <x v="1"/>
    <n v="121"/>
    <x v="1231"/>
    <x v="56"/>
    <d v="2025-02-27T00:00:00"/>
    <x v="2"/>
    <x v="1"/>
    <x v="1"/>
    <x v="0"/>
    <x v="3"/>
    <x v="3"/>
    <x v="8"/>
    <x v="2"/>
  </r>
  <r>
    <x v="1518"/>
    <x v="6"/>
    <x v="2"/>
    <n v="65.099999999999994"/>
    <x v="1174"/>
    <x v="56"/>
    <d v="2025-03-02T00:00:00"/>
    <x v="1"/>
    <x v="2"/>
    <x v="0"/>
    <x v="0"/>
    <x v="36"/>
    <x v="5"/>
    <x v="8"/>
    <x v="1"/>
  </r>
  <r>
    <x v="1519"/>
    <x v="1"/>
    <x v="38"/>
    <n v="63.8"/>
    <x v="1232"/>
    <x v="56"/>
    <d v="2025-02-28T00:00:00"/>
    <x v="2"/>
    <x v="0"/>
    <x v="0"/>
    <x v="0"/>
    <x v="8"/>
    <x v="1"/>
    <x v="8"/>
    <x v="2"/>
  </r>
  <r>
    <x v="1520"/>
    <x v="7"/>
    <x v="0"/>
    <n v="77.7"/>
    <x v="1233"/>
    <x v="56"/>
    <d v="2025-02-28T00:00:00"/>
    <x v="1"/>
    <x v="0"/>
    <x v="0"/>
    <x v="0"/>
    <x v="8"/>
    <x v="1"/>
    <x v="8"/>
    <x v="1"/>
  </r>
  <r>
    <x v="1521"/>
    <x v="5"/>
    <x v="12"/>
    <n v="60.3"/>
    <x v="1234"/>
    <x v="56"/>
    <d v="2025-02-26T00:00:00"/>
    <x v="1"/>
    <x v="0"/>
    <x v="2"/>
    <x v="0"/>
    <x v="8"/>
    <x v="7"/>
    <x v="8"/>
    <x v="1"/>
  </r>
  <r>
    <x v="1522"/>
    <x v="5"/>
    <x v="1"/>
    <n v="124.1"/>
    <x v="1235"/>
    <x v="56"/>
    <d v="2025-03-01T00:00:00"/>
    <x v="2"/>
    <x v="0"/>
    <x v="2"/>
    <x v="0"/>
    <x v="8"/>
    <x v="2"/>
    <x v="8"/>
    <x v="2"/>
  </r>
  <r>
    <x v="1523"/>
    <x v="16"/>
    <x v="3"/>
    <n v="66"/>
    <x v="1236"/>
    <x v="56"/>
    <d v="2025-02-26T00:00:00"/>
    <x v="0"/>
    <x v="3"/>
    <x v="0"/>
    <x v="0"/>
    <x v="17"/>
    <x v="7"/>
    <x v="8"/>
    <x v="0"/>
  </r>
  <r>
    <x v="1524"/>
    <x v="2"/>
    <x v="42"/>
    <n v="118.2"/>
    <x v="1237"/>
    <x v="56"/>
    <d v="2025-03-03T00:00:00"/>
    <x v="0"/>
    <x v="0"/>
    <x v="0"/>
    <x v="0"/>
    <x v="17"/>
    <x v="0"/>
    <x v="8"/>
    <x v="0"/>
  </r>
  <r>
    <x v="1525"/>
    <x v="5"/>
    <x v="9"/>
    <n v="64.3"/>
    <x v="1238"/>
    <x v="56"/>
    <d v="2025-02-27T00:00:00"/>
    <x v="1"/>
    <x v="4"/>
    <x v="4"/>
    <x v="0"/>
    <x v="26"/>
    <x v="3"/>
    <x v="8"/>
    <x v="1"/>
  </r>
  <r>
    <x v="1526"/>
    <x v="1"/>
    <x v="1"/>
    <n v="54.8"/>
    <x v="1239"/>
    <x v="56"/>
    <d v="2025-02-26T00:00:00"/>
    <x v="1"/>
    <x v="0"/>
    <x v="1"/>
    <x v="0"/>
    <x v="26"/>
    <x v="7"/>
    <x v="8"/>
    <x v="1"/>
  </r>
  <r>
    <x v="1527"/>
    <x v="7"/>
    <x v="1"/>
    <n v="78.599999999999994"/>
    <x v="507"/>
    <x v="56"/>
    <d v="2025-02-27T00:00:00"/>
    <x v="1"/>
    <x v="0"/>
    <x v="2"/>
    <x v="0"/>
    <x v="9"/>
    <x v="3"/>
    <x v="8"/>
    <x v="1"/>
  </r>
  <r>
    <x v="1528"/>
    <x v="2"/>
    <x v="9"/>
    <n v="158.5"/>
    <x v="1240"/>
    <x v="56"/>
    <d v="2025-02-28T00:00:00"/>
    <x v="0"/>
    <x v="2"/>
    <x v="2"/>
    <x v="0"/>
    <x v="9"/>
    <x v="1"/>
    <x v="8"/>
    <x v="0"/>
  </r>
  <r>
    <x v="1529"/>
    <x v="4"/>
    <x v="7"/>
    <n v="23.5"/>
    <x v="666"/>
    <x v="56"/>
    <d v="2025-03-01T00:00:00"/>
    <x v="1"/>
    <x v="0"/>
    <x v="4"/>
    <x v="0"/>
    <x v="10"/>
    <x v="2"/>
    <x v="8"/>
    <x v="1"/>
  </r>
  <r>
    <x v="1530"/>
    <x v="5"/>
    <x v="1"/>
    <n v="32.1"/>
    <x v="1005"/>
    <x v="56"/>
    <d v="2025-02-28T00:00:00"/>
    <x v="0"/>
    <x v="3"/>
    <x v="0"/>
    <x v="0"/>
    <x v="10"/>
    <x v="1"/>
    <x v="8"/>
    <x v="0"/>
  </r>
  <r>
    <x v="1531"/>
    <x v="17"/>
    <x v="12"/>
    <n v="71.900000000000006"/>
    <x v="1241"/>
    <x v="56"/>
    <d v="2025-02-26T00:00:00"/>
    <x v="1"/>
    <x v="2"/>
    <x v="0"/>
    <x v="0"/>
    <x v="19"/>
    <x v="7"/>
    <x v="8"/>
    <x v="1"/>
  </r>
  <r>
    <x v="1532"/>
    <x v="4"/>
    <x v="13"/>
    <n v="22.3"/>
    <x v="981"/>
    <x v="56"/>
    <d v="2025-02-27T00:00:00"/>
    <x v="0"/>
    <x v="3"/>
    <x v="2"/>
    <x v="0"/>
    <x v="13"/>
    <x v="3"/>
    <x v="8"/>
    <x v="0"/>
  </r>
  <r>
    <x v="1533"/>
    <x v="11"/>
    <x v="1"/>
    <n v="29.5"/>
    <x v="1242"/>
    <x v="56"/>
    <d v="2025-02-27T00:00:00"/>
    <x v="2"/>
    <x v="0"/>
    <x v="2"/>
    <x v="0"/>
    <x v="13"/>
    <x v="3"/>
    <x v="8"/>
    <x v="2"/>
  </r>
  <r>
    <x v="1534"/>
    <x v="6"/>
    <x v="12"/>
    <n v="41.9"/>
    <x v="1243"/>
    <x v="56"/>
    <d v="2025-03-02T00:00:00"/>
    <x v="2"/>
    <x v="0"/>
    <x v="1"/>
    <x v="0"/>
    <x v="21"/>
    <x v="5"/>
    <x v="8"/>
    <x v="2"/>
  </r>
  <r>
    <x v="1535"/>
    <x v="6"/>
    <x v="2"/>
    <n v="107.8"/>
    <x v="1244"/>
    <x v="56"/>
    <d v="2025-02-27T00:00:00"/>
    <x v="1"/>
    <x v="1"/>
    <x v="2"/>
    <x v="0"/>
    <x v="46"/>
    <x v="3"/>
    <x v="8"/>
    <x v="1"/>
  </r>
  <r>
    <x v="1536"/>
    <x v="4"/>
    <x v="9"/>
    <n v="18.100000000000001"/>
    <x v="497"/>
    <x v="56"/>
    <d v="2025-03-01T00:00:00"/>
    <x v="1"/>
    <x v="0"/>
    <x v="2"/>
    <x v="0"/>
    <x v="2"/>
    <x v="2"/>
    <x v="8"/>
    <x v="1"/>
  </r>
  <r>
    <x v="1537"/>
    <x v="12"/>
    <x v="11"/>
    <n v="79.8"/>
    <x v="1245"/>
    <x v="56"/>
    <d v="2025-02-27T00:00:00"/>
    <x v="2"/>
    <x v="1"/>
    <x v="1"/>
    <x v="0"/>
    <x v="22"/>
    <x v="3"/>
    <x v="8"/>
    <x v="2"/>
  </r>
  <r>
    <x v="1538"/>
    <x v="0"/>
    <x v="2"/>
    <n v="22.3"/>
    <x v="884"/>
    <x v="56"/>
    <d v="2025-03-01T00:00:00"/>
    <x v="2"/>
    <x v="0"/>
    <x v="2"/>
    <x v="0"/>
    <x v="22"/>
    <x v="2"/>
    <x v="8"/>
    <x v="2"/>
  </r>
  <r>
    <x v="1539"/>
    <x v="8"/>
    <x v="0"/>
    <n v="22.9"/>
    <x v="1246"/>
    <x v="56"/>
    <d v="2025-02-26T00:00:00"/>
    <x v="2"/>
    <x v="1"/>
    <x v="0"/>
    <x v="0"/>
    <x v="22"/>
    <x v="7"/>
    <x v="8"/>
    <x v="2"/>
  </r>
  <r>
    <x v="1540"/>
    <x v="0"/>
    <x v="2"/>
    <n v="16.2"/>
    <x v="1247"/>
    <x v="57"/>
    <d v="2025-02-27T00:00:00"/>
    <x v="1"/>
    <x v="4"/>
    <x v="2"/>
    <x v="0"/>
    <x v="3"/>
    <x v="7"/>
    <x v="8"/>
    <x v="1"/>
  </r>
  <r>
    <x v="1541"/>
    <x v="10"/>
    <x v="12"/>
    <n v="59.5"/>
    <x v="1248"/>
    <x v="57"/>
    <d v="2025-02-28T00:00:00"/>
    <x v="1"/>
    <x v="1"/>
    <x v="2"/>
    <x v="0"/>
    <x v="3"/>
    <x v="3"/>
    <x v="8"/>
    <x v="1"/>
  </r>
  <r>
    <x v="1542"/>
    <x v="18"/>
    <x v="9"/>
    <n v="26.2"/>
    <x v="1249"/>
    <x v="57"/>
    <d v="2025-03-02T00:00:00"/>
    <x v="1"/>
    <x v="3"/>
    <x v="4"/>
    <x v="0"/>
    <x v="3"/>
    <x v="2"/>
    <x v="8"/>
    <x v="1"/>
  </r>
  <r>
    <x v="1543"/>
    <x v="3"/>
    <x v="0"/>
    <n v="44.2"/>
    <x v="573"/>
    <x v="57"/>
    <d v="2025-03-02T00:00:00"/>
    <x v="2"/>
    <x v="1"/>
    <x v="0"/>
    <x v="0"/>
    <x v="3"/>
    <x v="2"/>
    <x v="8"/>
    <x v="2"/>
  </r>
  <r>
    <x v="1544"/>
    <x v="9"/>
    <x v="1"/>
    <n v="59.2"/>
    <x v="1250"/>
    <x v="57"/>
    <d v="2025-02-27T00:00:00"/>
    <x v="2"/>
    <x v="1"/>
    <x v="4"/>
    <x v="0"/>
    <x v="3"/>
    <x v="7"/>
    <x v="8"/>
    <x v="2"/>
  </r>
  <r>
    <x v="1545"/>
    <x v="15"/>
    <x v="12"/>
    <n v="41.5"/>
    <x v="1251"/>
    <x v="57"/>
    <d v="2025-03-01T00:00:00"/>
    <x v="2"/>
    <x v="0"/>
    <x v="0"/>
    <x v="0"/>
    <x v="16"/>
    <x v="1"/>
    <x v="8"/>
    <x v="2"/>
  </r>
  <r>
    <x v="1546"/>
    <x v="6"/>
    <x v="4"/>
    <n v="67.099999999999994"/>
    <x v="1252"/>
    <x v="57"/>
    <d v="2025-03-13T00:00:00"/>
    <x v="2"/>
    <x v="0"/>
    <x v="2"/>
    <x v="0"/>
    <x v="23"/>
    <x v="12"/>
    <x v="8"/>
    <x v="2"/>
  </r>
  <r>
    <x v="1547"/>
    <x v="8"/>
    <x v="1"/>
    <n v="28.7"/>
    <x v="1253"/>
    <x v="57"/>
    <d v="2025-03-03T00:00:00"/>
    <x v="2"/>
    <x v="1"/>
    <x v="0"/>
    <x v="0"/>
    <x v="6"/>
    <x v="5"/>
    <x v="8"/>
    <x v="2"/>
  </r>
  <r>
    <x v="1548"/>
    <x v="2"/>
    <x v="12"/>
    <n v="132.1"/>
    <x v="1254"/>
    <x v="57"/>
    <d v="2025-02-28T00:00:00"/>
    <x v="2"/>
    <x v="0"/>
    <x v="1"/>
    <x v="0"/>
    <x v="6"/>
    <x v="3"/>
    <x v="8"/>
    <x v="2"/>
  </r>
  <r>
    <x v="1549"/>
    <x v="18"/>
    <x v="1"/>
    <n v="47"/>
    <x v="255"/>
    <x v="57"/>
    <d v="2025-03-01T00:00:00"/>
    <x v="1"/>
    <x v="4"/>
    <x v="0"/>
    <x v="0"/>
    <x v="8"/>
    <x v="1"/>
    <x v="8"/>
    <x v="1"/>
  </r>
  <r>
    <x v="1550"/>
    <x v="8"/>
    <x v="1"/>
    <n v="41.6"/>
    <x v="707"/>
    <x v="57"/>
    <d v="2025-03-03T00:00:00"/>
    <x v="1"/>
    <x v="1"/>
    <x v="2"/>
    <x v="0"/>
    <x v="8"/>
    <x v="5"/>
    <x v="8"/>
    <x v="1"/>
  </r>
  <r>
    <x v="1551"/>
    <x v="8"/>
    <x v="43"/>
    <n v="17.3"/>
    <x v="1255"/>
    <x v="57"/>
    <d v="2025-03-01T00:00:00"/>
    <x v="1"/>
    <x v="2"/>
    <x v="2"/>
    <x v="0"/>
    <x v="8"/>
    <x v="1"/>
    <x v="8"/>
    <x v="1"/>
  </r>
  <r>
    <x v="1552"/>
    <x v="13"/>
    <x v="2"/>
    <n v="41.8"/>
    <x v="352"/>
    <x v="57"/>
    <d v="2025-03-02T00:00:00"/>
    <x v="1"/>
    <x v="0"/>
    <x v="2"/>
    <x v="0"/>
    <x v="8"/>
    <x v="2"/>
    <x v="8"/>
    <x v="1"/>
  </r>
  <r>
    <x v="1553"/>
    <x v="10"/>
    <x v="0"/>
    <n v="24"/>
    <x v="835"/>
    <x v="57"/>
    <d v="2025-02-28T00:00:00"/>
    <x v="2"/>
    <x v="0"/>
    <x v="0"/>
    <x v="0"/>
    <x v="17"/>
    <x v="3"/>
    <x v="8"/>
    <x v="2"/>
  </r>
  <r>
    <x v="1554"/>
    <x v="14"/>
    <x v="11"/>
    <n v="18.5"/>
    <x v="1256"/>
    <x v="57"/>
    <d v="2025-03-01T00:00:00"/>
    <x v="2"/>
    <x v="0"/>
    <x v="0"/>
    <x v="0"/>
    <x v="9"/>
    <x v="1"/>
    <x v="8"/>
    <x v="2"/>
  </r>
  <r>
    <x v="1555"/>
    <x v="3"/>
    <x v="4"/>
    <n v="66.7"/>
    <x v="1257"/>
    <x v="57"/>
    <d v="2025-03-02T00:00:00"/>
    <x v="0"/>
    <x v="0"/>
    <x v="2"/>
    <x v="0"/>
    <x v="11"/>
    <x v="2"/>
    <x v="8"/>
    <x v="0"/>
  </r>
  <r>
    <x v="1556"/>
    <x v="1"/>
    <x v="12"/>
    <n v="33.1"/>
    <x v="979"/>
    <x v="57"/>
    <d v="2025-03-04T00:00:00"/>
    <x v="1"/>
    <x v="3"/>
    <x v="0"/>
    <x v="0"/>
    <x v="11"/>
    <x v="0"/>
    <x v="8"/>
    <x v="1"/>
  </r>
  <r>
    <x v="1557"/>
    <x v="19"/>
    <x v="11"/>
    <n v="42.1"/>
    <x v="1258"/>
    <x v="57"/>
    <d v="2025-03-10T00:00:00"/>
    <x v="1"/>
    <x v="1"/>
    <x v="0"/>
    <x v="0"/>
    <x v="18"/>
    <x v="11"/>
    <x v="8"/>
    <x v="1"/>
  </r>
  <r>
    <x v="1558"/>
    <x v="18"/>
    <x v="3"/>
    <n v="58.7"/>
    <x v="1259"/>
    <x v="57"/>
    <d v="2025-02-27T00:00:00"/>
    <x v="3"/>
    <x v="3"/>
    <x v="0"/>
    <x v="0"/>
    <x v="31"/>
    <x v="7"/>
    <x v="8"/>
    <x v="0"/>
  </r>
  <r>
    <x v="1559"/>
    <x v="6"/>
    <x v="12"/>
    <n v="54"/>
    <x v="760"/>
    <x v="57"/>
    <d v="2025-03-01T00:00:00"/>
    <x v="2"/>
    <x v="1"/>
    <x v="0"/>
    <x v="0"/>
    <x v="1"/>
    <x v="1"/>
    <x v="8"/>
    <x v="2"/>
  </r>
  <r>
    <x v="1560"/>
    <x v="8"/>
    <x v="0"/>
    <n v="52.1"/>
    <x v="475"/>
    <x v="57"/>
    <d v="2025-02-28T00:00:00"/>
    <x v="2"/>
    <x v="2"/>
    <x v="2"/>
    <x v="0"/>
    <x v="2"/>
    <x v="3"/>
    <x v="8"/>
    <x v="2"/>
  </r>
  <r>
    <x v="1561"/>
    <x v="19"/>
    <x v="1"/>
    <n v="27"/>
    <x v="1260"/>
    <x v="57"/>
    <d v="2025-03-02T00:00:00"/>
    <x v="3"/>
    <x v="2"/>
    <x v="0"/>
    <x v="0"/>
    <x v="22"/>
    <x v="2"/>
    <x v="8"/>
    <x v="0"/>
  </r>
  <r>
    <x v="1562"/>
    <x v="12"/>
    <x v="7"/>
    <n v="31"/>
    <x v="892"/>
    <x v="58"/>
    <d v="2025-03-01T00:00:00"/>
    <x v="2"/>
    <x v="3"/>
    <x v="2"/>
    <x v="0"/>
    <x v="22"/>
    <x v="3"/>
    <x v="8"/>
    <x v="2"/>
  </r>
  <r>
    <x v="1563"/>
    <x v="10"/>
    <x v="1"/>
    <n v="46.7"/>
    <x v="1261"/>
    <x v="58"/>
    <d v="2025-02-28T00:00:00"/>
    <x v="2"/>
    <x v="0"/>
    <x v="0"/>
    <x v="0"/>
    <x v="34"/>
    <x v="7"/>
    <x v="8"/>
    <x v="2"/>
  </r>
  <r>
    <x v="1564"/>
    <x v="6"/>
    <x v="0"/>
    <n v="144.69999999999999"/>
    <x v="1262"/>
    <x v="58"/>
    <d v="2025-03-03T00:00:00"/>
    <x v="1"/>
    <x v="0"/>
    <x v="2"/>
    <x v="0"/>
    <x v="3"/>
    <x v="2"/>
    <x v="8"/>
    <x v="1"/>
  </r>
  <r>
    <x v="1565"/>
    <x v="2"/>
    <x v="11"/>
    <n v="90.9"/>
    <x v="1263"/>
    <x v="58"/>
    <d v="2025-03-01T00:00:00"/>
    <x v="1"/>
    <x v="0"/>
    <x v="2"/>
    <x v="0"/>
    <x v="3"/>
    <x v="3"/>
    <x v="8"/>
    <x v="1"/>
  </r>
  <r>
    <x v="1566"/>
    <x v="1"/>
    <x v="1"/>
    <n v="75.8"/>
    <x v="318"/>
    <x v="58"/>
    <d v="2025-03-01T00:00:00"/>
    <x v="2"/>
    <x v="2"/>
    <x v="1"/>
    <x v="0"/>
    <x v="3"/>
    <x v="3"/>
    <x v="8"/>
    <x v="2"/>
  </r>
  <r>
    <x v="1567"/>
    <x v="7"/>
    <x v="9"/>
    <n v="57.9"/>
    <x v="1264"/>
    <x v="58"/>
    <d v="2025-03-02T00:00:00"/>
    <x v="1"/>
    <x v="2"/>
    <x v="2"/>
    <x v="0"/>
    <x v="3"/>
    <x v="1"/>
    <x v="8"/>
    <x v="1"/>
  </r>
  <r>
    <x v="1568"/>
    <x v="8"/>
    <x v="9"/>
    <n v="44.8"/>
    <x v="692"/>
    <x v="58"/>
    <d v="2025-03-01T00:00:00"/>
    <x v="2"/>
    <x v="3"/>
    <x v="2"/>
    <x v="0"/>
    <x v="3"/>
    <x v="3"/>
    <x v="8"/>
    <x v="2"/>
  </r>
  <r>
    <x v="1569"/>
    <x v="9"/>
    <x v="2"/>
    <n v="44.2"/>
    <x v="1265"/>
    <x v="58"/>
    <d v="2025-03-04T00:00:00"/>
    <x v="1"/>
    <x v="2"/>
    <x v="2"/>
    <x v="0"/>
    <x v="3"/>
    <x v="5"/>
    <x v="8"/>
    <x v="1"/>
  </r>
  <r>
    <x v="1570"/>
    <x v="5"/>
    <x v="9"/>
    <n v="53.5"/>
    <x v="1266"/>
    <x v="58"/>
    <d v="2025-03-02T00:00:00"/>
    <x v="1"/>
    <x v="0"/>
    <x v="0"/>
    <x v="0"/>
    <x v="37"/>
    <x v="1"/>
    <x v="8"/>
    <x v="1"/>
  </r>
  <r>
    <x v="1571"/>
    <x v="6"/>
    <x v="1"/>
    <n v="72.2"/>
    <x v="613"/>
    <x v="58"/>
    <d v="2025-03-01T00:00:00"/>
    <x v="1"/>
    <x v="0"/>
    <x v="2"/>
    <x v="0"/>
    <x v="25"/>
    <x v="3"/>
    <x v="8"/>
    <x v="1"/>
  </r>
  <r>
    <x v="1572"/>
    <x v="6"/>
    <x v="12"/>
    <n v="62.4"/>
    <x v="1267"/>
    <x v="58"/>
    <d v="2025-03-03T00:00:00"/>
    <x v="2"/>
    <x v="0"/>
    <x v="1"/>
    <x v="0"/>
    <x v="23"/>
    <x v="2"/>
    <x v="8"/>
    <x v="2"/>
  </r>
  <r>
    <x v="1573"/>
    <x v="10"/>
    <x v="9"/>
    <n v="24.7"/>
    <x v="1268"/>
    <x v="58"/>
    <d v="2025-03-01T00:00:00"/>
    <x v="2"/>
    <x v="0"/>
    <x v="0"/>
    <x v="0"/>
    <x v="6"/>
    <x v="3"/>
    <x v="8"/>
    <x v="2"/>
  </r>
  <r>
    <x v="1574"/>
    <x v="1"/>
    <x v="9"/>
    <n v="61.7"/>
    <x v="1269"/>
    <x v="58"/>
    <d v="2025-03-02T00:00:00"/>
    <x v="2"/>
    <x v="2"/>
    <x v="0"/>
    <x v="0"/>
    <x v="8"/>
    <x v="1"/>
    <x v="8"/>
    <x v="2"/>
  </r>
  <r>
    <x v="1575"/>
    <x v="8"/>
    <x v="9"/>
    <n v="18.2"/>
    <x v="1270"/>
    <x v="58"/>
    <d v="2025-03-02T00:00:00"/>
    <x v="2"/>
    <x v="3"/>
    <x v="0"/>
    <x v="0"/>
    <x v="8"/>
    <x v="1"/>
    <x v="8"/>
    <x v="2"/>
  </r>
  <r>
    <x v="1576"/>
    <x v="10"/>
    <x v="12"/>
    <n v="37.200000000000003"/>
    <x v="956"/>
    <x v="58"/>
    <d v="2025-03-06T00:00:00"/>
    <x v="2"/>
    <x v="0"/>
    <x v="0"/>
    <x v="0"/>
    <x v="8"/>
    <x v="4"/>
    <x v="8"/>
    <x v="2"/>
  </r>
  <r>
    <x v="1577"/>
    <x v="9"/>
    <x v="2"/>
    <n v="53.5"/>
    <x v="1271"/>
    <x v="58"/>
    <d v="2025-03-02T00:00:00"/>
    <x v="2"/>
    <x v="1"/>
    <x v="2"/>
    <x v="0"/>
    <x v="9"/>
    <x v="1"/>
    <x v="8"/>
    <x v="2"/>
  </r>
  <r>
    <x v="1578"/>
    <x v="8"/>
    <x v="2"/>
    <n v="43.6"/>
    <x v="1272"/>
    <x v="58"/>
    <d v="2025-02-28T00:00:00"/>
    <x v="2"/>
    <x v="0"/>
    <x v="0"/>
    <x v="0"/>
    <x v="9"/>
    <x v="7"/>
    <x v="8"/>
    <x v="2"/>
  </r>
  <r>
    <x v="1579"/>
    <x v="1"/>
    <x v="7"/>
    <n v="135"/>
    <x v="1273"/>
    <x v="58"/>
    <d v="2025-03-02T00:00:00"/>
    <x v="2"/>
    <x v="0"/>
    <x v="2"/>
    <x v="0"/>
    <x v="9"/>
    <x v="1"/>
    <x v="8"/>
    <x v="2"/>
  </r>
  <r>
    <x v="1580"/>
    <x v="8"/>
    <x v="9"/>
    <n v="38.5"/>
    <x v="796"/>
    <x v="58"/>
    <d v="2025-02-28T00:00:00"/>
    <x v="1"/>
    <x v="4"/>
    <x v="2"/>
    <x v="0"/>
    <x v="10"/>
    <x v="7"/>
    <x v="8"/>
    <x v="1"/>
  </r>
  <r>
    <x v="1581"/>
    <x v="9"/>
    <x v="1"/>
    <n v="24"/>
    <x v="510"/>
    <x v="58"/>
    <d v="2025-03-05T00:00:00"/>
    <x v="2"/>
    <x v="0"/>
    <x v="0"/>
    <x v="0"/>
    <x v="11"/>
    <x v="0"/>
    <x v="8"/>
    <x v="2"/>
  </r>
  <r>
    <x v="1582"/>
    <x v="4"/>
    <x v="2"/>
    <n v="28.2"/>
    <x v="1274"/>
    <x v="58"/>
    <d v="2025-03-02T00:00:00"/>
    <x v="1"/>
    <x v="0"/>
    <x v="3"/>
    <x v="0"/>
    <x v="18"/>
    <x v="1"/>
    <x v="8"/>
    <x v="1"/>
  </r>
  <r>
    <x v="1583"/>
    <x v="7"/>
    <x v="2"/>
    <n v="37.4"/>
    <x v="794"/>
    <x v="58"/>
    <d v="2025-03-01T00:00:00"/>
    <x v="2"/>
    <x v="3"/>
    <x v="0"/>
    <x v="0"/>
    <x v="1"/>
    <x v="3"/>
    <x v="8"/>
    <x v="2"/>
  </r>
  <r>
    <x v="1584"/>
    <x v="6"/>
    <x v="2"/>
    <n v="53.5"/>
    <x v="1271"/>
    <x v="58"/>
    <d v="2025-03-03T00:00:00"/>
    <x v="0"/>
    <x v="4"/>
    <x v="4"/>
    <x v="0"/>
    <x v="1"/>
    <x v="2"/>
    <x v="8"/>
    <x v="0"/>
  </r>
  <r>
    <x v="1585"/>
    <x v="11"/>
    <x v="9"/>
    <n v="36.200000000000003"/>
    <x v="1275"/>
    <x v="58"/>
    <d v="2025-03-01T00:00:00"/>
    <x v="1"/>
    <x v="1"/>
    <x v="2"/>
    <x v="0"/>
    <x v="33"/>
    <x v="3"/>
    <x v="8"/>
    <x v="1"/>
  </r>
  <r>
    <x v="1586"/>
    <x v="0"/>
    <x v="8"/>
    <n v="31.9"/>
    <x v="281"/>
    <x v="58"/>
    <d v="2025-03-01T00:00:00"/>
    <x v="2"/>
    <x v="4"/>
    <x v="0"/>
    <x v="0"/>
    <x v="3"/>
    <x v="3"/>
    <x v="8"/>
    <x v="2"/>
  </r>
  <r>
    <x v="1587"/>
    <x v="8"/>
    <x v="2"/>
    <n v="21.3"/>
    <x v="1276"/>
    <x v="58"/>
    <d v="2025-03-01T00:00:00"/>
    <x v="1"/>
    <x v="0"/>
    <x v="2"/>
    <x v="0"/>
    <x v="3"/>
    <x v="3"/>
    <x v="8"/>
    <x v="1"/>
  </r>
  <r>
    <x v="1588"/>
    <x v="8"/>
    <x v="0"/>
    <n v="36.299999999999997"/>
    <x v="1277"/>
    <x v="58"/>
    <d v="2025-03-02T00:00:00"/>
    <x v="3"/>
    <x v="4"/>
    <x v="0"/>
    <x v="0"/>
    <x v="3"/>
    <x v="1"/>
    <x v="8"/>
    <x v="0"/>
  </r>
  <r>
    <x v="1589"/>
    <x v="6"/>
    <x v="2"/>
    <n v="110.5"/>
    <x v="1278"/>
    <x v="58"/>
    <d v="2025-03-01T00:00:00"/>
    <x v="2"/>
    <x v="0"/>
    <x v="3"/>
    <x v="0"/>
    <x v="3"/>
    <x v="3"/>
    <x v="8"/>
    <x v="2"/>
  </r>
  <r>
    <x v="1590"/>
    <x v="10"/>
    <x v="3"/>
    <n v="32.6"/>
    <x v="1279"/>
    <x v="58"/>
    <d v="2025-03-02T00:00:00"/>
    <x v="2"/>
    <x v="0"/>
    <x v="1"/>
    <x v="0"/>
    <x v="3"/>
    <x v="1"/>
    <x v="8"/>
    <x v="2"/>
  </r>
  <r>
    <x v="1591"/>
    <x v="5"/>
    <x v="2"/>
    <n v="55.6"/>
    <x v="701"/>
    <x v="59"/>
    <d v="2025-03-14T00:00:00"/>
    <x v="2"/>
    <x v="0"/>
    <x v="0"/>
    <x v="0"/>
    <x v="3"/>
    <x v="10"/>
    <x v="8"/>
    <x v="2"/>
  </r>
  <r>
    <x v="1592"/>
    <x v="1"/>
    <x v="12"/>
    <n v="38"/>
    <x v="465"/>
    <x v="59"/>
    <d v="2025-03-02T00:00:00"/>
    <x v="2"/>
    <x v="3"/>
    <x v="2"/>
    <x v="0"/>
    <x v="5"/>
    <x v="3"/>
    <x v="8"/>
    <x v="2"/>
  </r>
  <r>
    <x v="1593"/>
    <x v="10"/>
    <x v="1"/>
    <n v="51.8"/>
    <x v="186"/>
    <x v="59"/>
    <d v="2025-03-07T00:00:00"/>
    <x v="1"/>
    <x v="1"/>
    <x v="4"/>
    <x v="0"/>
    <x v="6"/>
    <x v="4"/>
    <x v="8"/>
    <x v="1"/>
  </r>
  <r>
    <x v="1594"/>
    <x v="11"/>
    <x v="8"/>
    <n v="28.7"/>
    <x v="1166"/>
    <x v="59"/>
    <d v="2025-03-06T00:00:00"/>
    <x v="2"/>
    <x v="0"/>
    <x v="0"/>
    <x v="0"/>
    <x v="6"/>
    <x v="0"/>
    <x v="8"/>
    <x v="2"/>
  </r>
  <r>
    <x v="1595"/>
    <x v="6"/>
    <x v="4"/>
    <n v="52.2"/>
    <x v="1280"/>
    <x v="59"/>
    <d v="2025-03-01T00:00:00"/>
    <x v="1"/>
    <x v="0"/>
    <x v="1"/>
    <x v="0"/>
    <x v="6"/>
    <x v="7"/>
    <x v="8"/>
    <x v="1"/>
  </r>
  <r>
    <x v="1596"/>
    <x v="1"/>
    <x v="1"/>
    <n v="68.2"/>
    <x v="517"/>
    <x v="59"/>
    <d v="2025-03-02T00:00:00"/>
    <x v="0"/>
    <x v="2"/>
    <x v="0"/>
    <x v="0"/>
    <x v="7"/>
    <x v="3"/>
    <x v="8"/>
    <x v="0"/>
  </r>
  <r>
    <x v="1597"/>
    <x v="0"/>
    <x v="2"/>
    <n v="34"/>
    <x v="1062"/>
    <x v="59"/>
    <d v="2025-03-05T00:00:00"/>
    <x v="2"/>
    <x v="0"/>
    <x v="0"/>
    <x v="0"/>
    <x v="8"/>
    <x v="5"/>
    <x v="8"/>
    <x v="2"/>
  </r>
  <r>
    <x v="1598"/>
    <x v="8"/>
    <x v="2"/>
    <n v="19.100000000000001"/>
    <x v="1281"/>
    <x v="59"/>
    <d v="2025-03-02T00:00:00"/>
    <x v="2"/>
    <x v="4"/>
    <x v="0"/>
    <x v="0"/>
    <x v="8"/>
    <x v="3"/>
    <x v="8"/>
    <x v="2"/>
  </r>
  <r>
    <x v="1599"/>
    <x v="5"/>
    <x v="8"/>
    <n v="34"/>
    <x v="1123"/>
    <x v="59"/>
    <d v="2025-03-09T00:00:00"/>
    <x v="2"/>
    <x v="4"/>
    <x v="0"/>
    <x v="0"/>
    <x v="8"/>
    <x v="9"/>
    <x v="8"/>
    <x v="2"/>
  </r>
  <r>
    <x v="1600"/>
    <x v="12"/>
    <x v="1"/>
    <n v="109.1"/>
    <x v="1282"/>
    <x v="59"/>
    <d v="2025-03-03T00:00:00"/>
    <x v="1"/>
    <x v="0"/>
    <x v="2"/>
    <x v="0"/>
    <x v="8"/>
    <x v="1"/>
    <x v="8"/>
    <x v="1"/>
  </r>
  <r>
    <x v="1601"/>
    <x v="18"/>
    <x v="1"/>
    <n v="64.8"/>
    <x v="632"/>
    <x v="59"/>
    <d v="2025-03-03T00:00:00"/>
    <x v="1"/>
    <x v="0"/>
    <x v="2"/>
    <x v="0"/>
    <x v="8"/>
    <x v="1"/>
    <x v="8"/>
    <x v="1"/>
  </r>
  <r>
    <x v="1602"/>
    <x v="10"/>
    <x v="1"/>
    <n v="21.1"/>
    <x v="1283"/>
    <x v="59"/>
    <d v="2025-03-01T00:00:00"/>
    <x v="2"/>
    <x v="1"/>
    <x v="0"/>
    <x v="0"/>
    <x v="11"/>
    <x v="7"/>
    <x v="8"/>
    <x v="2"/>
  </r>
  <r>
    <x v="1603"/>
    <x v="0"/>
    <x v="8"/>
    <n v="21.3"/>
    <x v="1284"/>
    <x v="59"/>
    <d v="2025-03-03T00:00:00"/>
    <x v="1"/>
    <x v="3"/>
    <x v="1"/>
    <x v="0"/>
    <x v="18"/>
    <x v="1"/>
    <x v="8"/>
    <x v="1"/>
  </r>
  <r>
    <x v="1604"/>
    <x v="9"/>
    <x v="2"/>
    <n v="24.3"/>
    <x v="1285"/>
    <x v="59"/>
    <d v="2025-03-02T00:00:00"/>
    <x v="1"/>
    <x v="1"/>
    <x v="0"/>
    <x v="0"/>
    <x v="19"/>
    <x v="3"/>
    <x v="8"/>
    <x v="1"/>
  </r>
  <r>
    <x v="1605"/>
    <x v="8"/>
    <x v="0"/>
    <n v="43.3"/>
    <x v="1286"/>
    <x v="59"/>
    <d v="2025-03-05T00:00:00"/>
    <x v="1"/>
    <x v="1"/>
    <x v="1"/>
    <x v="0"/>
    <x v="13"/>
    <x v="5"/>
    <x v="8"/>
    <x v="1"/>
  </r>
  <r>
    <x v="1606"/>
    <x v="9"/>
    <x v="2"/>
    <n v="41"/>
    <x v="1287"/>
    <x v="59"/>
    <d v="2025-03-02T00:00:00"/>
    <x v="2"/>
    <x v="3"/>
    <x v="4"/>
    <x v="0"/>
    <x v="21"/>
    <x v="3"/>
    <x v="8"/>
    <x v="2"/>
  </r>
  <r>
    <x v="1607"/>
    <x v="16"/>
    <x v="2"/>
    <n v="54.1"/>
    <x v="1288"/>
    <x v="59"/>
    <d v="2025-03-03T00:00:00"/>
    <x v="2"/>
    <x v="4"/>
    <x v="0"/>
    <x v="0"/>
    <x v="21"/>
    <x v="1"/>
    <x v="8"/>
    <x v="2"/>
  </r>
  <r>
    <x v="1608"/>
    <x v="11"/>
    <x v="1"/>
    <n v="39"/>
    <x v="292"/>
    <x v="59"/>
    <d v="2025-03-02T00:00:00"/>
    <x v="1"/>
    <x v="1"/>
    <x v="2"/>
    <x v="0"/>
    <x v="1"/>
    <x v="3"/>
    <x v="8"/>
    <x v="1"/>
  </r>
  <r>
    <x v="1609"/>
    <x v="8"/>
    <x v="1"/>
    <n v="40.299999999999997"/>
    <x v="7"/>
    <x v="59"/>
    <d v="2025-03-03T00:00:00"/>
    <x v="1"/>
    <x v="3"/>
    <x v="0"/>
    <x v="0"/>
    <x v="27"/>
    <x v="1"/>
    <x v="8"/>
    <x v="1"/>
  </r>
  <r>
    <x v="1610"/>
    <x v="8"/>
    <x v="2"/>
    <n v="24.1"/>
    <x v="1289"/>
    <x v="59"/>
    <d v="2025-03-02T00:00:00"/>
    <x v="1"/>
    <x v="0"/>
    <x v="2"/>
    <x v="0"/>
    <x v="34"/>
    <x v="3"/>
    <x v="8"/>
    <x v="1"/>
  </r>
  <r>
    <x v="1611"/>
    <x v="6"/>
    <x v="9"/>
    <n v="52.3"/>
    <x v="1290"/>
    <x v="59"/>
    <d v="2025-03-02T00:00:00"/>
    <x v="1"/>
    <x v="2"/>
    <x v="0"/>
    <x v="0"/>
    <x v="3"/>
    <x v="3"/>
    <x v="8"/>
    <x v="1"/>
  </r>
  <r>
    <x v="1612"/>
    <x v="12"/>
    <x v="12"/>
    <n v="68.8"/>
    <x v="1291"/>
    <x v="59"/>
    <d v="2025-03-05T00:00:00"/>
    <x v="2"/>
    <x v="4"/>
    <x v="2"/>
    <x v="0"/>
    <x v="3"/>
    <x v="5"/>
    <x v="8"/>
    <x v="2"/>
  </r>
  <r>
    <x v="1613"/>
    <x v="2"/>
    <x v="1"/>
    <n v="128.80000000000001"/>
    <x v="1292"/>
    <x v="60"/>
    <d v="2025-03-05T00:00:00"/>
    <x v="2"/>
    <x v="1"/>
    <x v="1"/>
    <x v="0"/>
    <x v="3"/>
    <x v="2"/>
    <x v="9"/>
    <x v="2"/>
  </r>
  <r>
    <x v="1614"/>
    <x v="15"/>
    <x v="9"/>
    <n v="48.2"/>
    <x v="1044"/>
    <x v="60"/>
    <d v="2025-03-04T00:00:00"/>
    <x v="2"/>
    <x v="3"/>
    <x v="0"/>
    <x v="0"/>
    <x v="3"/>
    <x v="1"/>
    <x v="9"/>
    <x v="2"/>
  </r>
  <r>
    <x v="1615"/>
    <x v="10"/>
    <x v="0"/>
    <n v="39.700000000000003"/>
    <x v="144"/>
    <x v="60"/>
    <d v="2025-03-04T00:00:00"/>
    <x v="2"/>
    <x v="0"/>
    <x v="1"/>
    <x v="0"/>
    <x v="3"/>
    <x v="1"/>
    <x v="9"/>
    <x v="2"/>
  </r>
  <r>
    <x v="1616"/>
    <x v="9"/>
    <x v="0"/>
    <n v="59.7"/>
    <x v="1201"/>
    <x v="60"/>
    <d v="2025-03-05T00:00:00"/>
    <x v="2"/>
    <x v="4"/>
    <x v="0"/>
    <x v="0"/>
    <x v="3"/>
    <x v="2"/>
    <x v="9"/>
    <x v="2"/>
  </r>
  <r>
    <x v="1617"/>
    <x v="6"/>
    <x v="0"/>
    <n v="48.3"/>
    <x v="1293"/>
    <x v="60"/>
    <d v="2025-03-16T00:00:00"/>
    <x v="3"/>
    <x v="0"/>
    <x v="2"/>
    <x v="0"/>
    <x v="3"/>
    <x v="12"/>
    <x v="9"/>
    <x v="0"/>
  </r>
  <r>
    <x v="1618"/>
    <x v="8"/>
    <x v="2"/>
    <n v="45.5"/>
    <x v="1294"/>
    <x v="60"/>
    <d v="2025-03-04T00:00:00"/>
    <x v="1"/>
    <x v="2"/>
    <x v="1"/>
    <x v="0"/>
    <x v="3"/>
    <x v="1"/>
    <x v="9"/>
    <x v="1"/>
  </r>
  <r>
    <x v="1619"/>
    <x v="9"/>
    <x v="6"/>
    <n v="51"/>
    <x v="1295"/>
    <x v="60"/>
    <d v="2025-03-02T00:00:00"/>
    <x v="2"/>
    <x v="2"/>
    <x v="0"/>
    <x v="0"/>
    <x v="3"/>
    <x v="7"/>
    <x v="9"/>
    <x v="2"/>
  </r>
  <r>
    <x v="1620"/>
    <x v="4"/>
    <x v="13"/>
    <n v="20.399999999999999"/>
    <x v="1296"/>
    <x v="60"/>
    <d v="2025-03-03T00:00:00"/>
    <x v="1"/>
    <x v="2"/>
    <x v="0"/>
    <x v="0"/>
    <x v="3"/>
    <x v="3"/>
    <x v="9"/>
    <x v="1"/>
  </r>
  <r>
    <x v="1621"/>
    <x v="10"/>
    <x v="1"/>
    <n v="30.4"/>
    <x v="1297"/>
    <x v="60"/>
    <d v="2025-03-04T00:00:00"/>
    <x v="1"/>
    <x v="2"/>
    <x v="0"/>
    <x v="0"/>
    <x v="3"/>
    <x v="1"/>
    <x v="9"/>
    <x v="1"/>
  </r>
  <r>
    <x v="1622"/>
    <x v="7"/>
    <x v="1"/>
    <n v="71.5"/>
    <x v="1298"/>
    <x v="60"/>
    <d v="2025-03-06T00:00:00"/>
    <x v="2"/>
    <x v="0"/>
    <x v="0"/>
    <x v="0"/>
    <x v="3"/>
    <x v="5"/>
    <x v="9"/>
    <x v="2"/>
  </r>
  <r>
    <x v="1623"/>
    <x v="8"/>
    <x v="13"/>
    <n v="18"/>
    <x v="807"/>
    <x v="60"/>
    <d v="2025-03-03T00:00:00"/>
    <x v="3"/>
    <x v="1"/>
    <x v="2"/>
    <x v="0"/>
    <x v="6"/>
    <x v="3"/>
    <x v="9"/>
    <x v="0"/>
  </r>
  <r>
    <x v="1624"/>
    <x v="15"/>
    <x v="5"/>
    <n v="45.6"/>
    <x v="1299"/>
    <x v="60"/>
    <d v="2025-03-03T00:00:00"/>
    <x v="3"/>
    <x v="1"/>
    <x v="1"/>
    <x v="0"/>
    <x v="7"/>
    <x v="3"/>
    <x v="9"/>
    <x v="0"/>
  </r>
  <r>
    <x v="1625"/>
    <x v="9"/>
    <x v="0"/>
    <n v="31.8"/>
    <x v="627"/>
    <x v="60"/>
    <d v="2025-03-06T00:00:00"/>
    <x v="2"/>
    <x v="0"/>
    <x v="2"/>
    <x v="0"/>
    <x v="7"/>
    <x v="5"/>
    <x v="9"/>
    <x v="2"/>
  </r>
  <r>
    <x v="1626"/>
    <x v="8"/>
    <x v="9"/>
    <n v="19.899999999999999"/>
    <x v="1300"/>
    <x v="60"/>
    <d v="2025-03-03T00:00:00"/>
    <x v="2"/>
    <x v="1"/>
    <x v="0"/>
    <x v="0"/>
    <x v="7"/>
    <x v="3"/>
    <x v="9"/>
    <x v="2"/>
  </r>
  <r>
    <x v="1627"/>
    <x v="12"/>
    <x v="11"/>
    <n v="52.1"/>
    <x v="1301"/>
    <x v="60"/>
    <d v="2025-03-04T00:00:00"/>
    <x v="1"/>
    <x v="0"/>
    <x v="0"/>
    <x v="0"/>
    <x v="8"/>
    <x v="1"/>
    <x v="9"/>
    <x v="1"/>
  </r>
  <r>
    <x v="1628"/>
    <x v="1"/>
    <x v="3"/>
    <n v="45.9"/>
    <x v="1198"/>
    <x v="60"/>
    <d v="2025-03-03T00:00:00"/>
    <x v="1"/>
    <x v="0"/>
    <x v="1"/>
    <x v="0"/>
    <x v="8"/>
    <x v="3"/>
    <x v="9"/>
    <x v="1"/>
  </r>
  <r>
    <x v="1629"/>
    <x v="1"/>
    <x v="7"/>
    <n v="115.9"/>
    <x v="1302"/>
    <x v="60"/>
    <d v="2025-03-05T00:00:00"/>
    <x v="2"/>
    <x v="1"/>
    <x v="0"/>
    <x v="0"/>
    <x v="8"/>
    <x v="2"/>
    <x v="9"/>
    <x v="2"/>
  </r>
  <r>
    <x v="1630"/>
    <x v="6"/>
    <x v="11"/>
    <n v="86"/>
    <x v="1303"/>
    <x v="60"/>
    <d v="2025-03-07T00:00:00"/>
    <x v="2"/>
    <x v="0"/>
    <x v="1"/>
    <x v="0"/>
    <x v="8"/>
    <x v="0"/>
    <x v="9"/>
    <x v="2"/>
  </r>
  <r>
    <x v="1631"/>
    <x v="7"/>
    <x v="3"/>
    <n v="73.599999999999994"/>
    <x v="1304"/>
    <x v="60"/>
    <d v="2025-03-04T00:00:00"/>
    <x v="2"/>
    <x v="0"/>
    <x v="0"/>
    <x v="0"/>
    <x v="17"/>
    <x v="1"/>
    <x v="9"/>
    <x v="2"/>
  </r>
  <r>
    <x v="1632"/>
    <x v="10"/>
    <x v="2"/>
    <n v="26.7"/>
    <x v="1133"/>
    <x v="60"/>
    <d v="2025-03-06T00:00:00"/>
    <x v="2"/>
    <x v="0"/>
    <x v="0"/>
    <x v="0"/>
    <x v="11"/>
    <x v="5"/>
    <x v="9"/>
    <x v="2"/>
  </r>
  <r>
    <x v="1633"/>
    <x v="8"/>
    <x v="3"/>
    <n v="46.6"/>
    <x v="1305"/>
    <x v="60"/>
    <d v="2025-03-04T00:00:00"/>
    <x v="0"/>
    <x v="3"/>
    <x v="0"/>
    <x v="0"/>
    <x v="11"/>
    <x v="1"/>
    <x v="9"/>
    <x v="0"/>
  </r>
  <r>
    <x v="1634"/>
    <x v="3"/>
    <x v="2"/>
    <n v="84.6"/>
    <x v="1306"/>
    <x v="60"/>
    <d v="2025-03-04T00:00:00"/>
    <x v="1"/>
    <x v="4"/>
    <x v="0"/>
    <x v="0"/>
    <x v="11"/>
    <x v="1"/>
    <x v="9"/>
    <x v="1"/>
  </r>
  <r>
    <x v="1635"/>
    <x v="7"/>
    <x v="21"/>
    <n v="41.5"/>
    <x v="1307"/>
    <x v="60"/>
    <d v="2025-03-16T00:00:00"/>
    <x v="1"/>
    <x v="1"/>
    <x v="0"/>
    <x v="0"/>
    <x v="53"/>
    <x v="12"/>
    <x v="9"/>
    <x v="1"/>
  </r>
  <r>
    <x v="1636"/>
    <x v="8"/>
    <x v="0"/>
    <n v="32.799999999999997"/>
    <x v="944"/>
    <x v="60"/>
    <d v="2025-03-05T00:00:00"/>
    <x v="1"/>
    <x v="0"/>
    <x v="2"/>
    <x v="0"/>
    <x v="30"/>
    <x v="2"/>
    <x v="9"/>
    <x v="1"/>
  </r>
  <r>
    <x v="1637"/>
    <x v="4"/>
    <x v="3"/>
    <n v="46.7"/>
    <x v="1308"/>
    <x v="60"/>
    <d v="2025-03-04T00:00:00"/>
    <x v="3"/>
    <x v="0"/>
    <x v="2"/>
    <x v="0"/>
    <x v="18"/>
    <x v="1"/>
    <x v="9"/>
    <x v="0"/>
  </r>
  <r>
    <x v="1638"/>
    <x v="15"/>
    <x v="3"/>
    <n v="21"/>
    <x v="926"/>
    <x v="60"/>
    <d v="2025-03-05T00:00:00"/>
    <x v="1"/>
    <x v="2"/>
    <x v="1"/>
    <x v="0"/>
    <x v="21"/>
    <x v="2"/>
    <x v="9"/>
    <x v="1"/>
  </r>
  <r>
    <x v="1639"/>
    <x v="5"/>
    <x v="3"/>
    <n v="29.4"/>
    <x v="43"/>
    <x v="60"/>
    <d v="2025-03-02T00:00:00"/>
    <x v="1"/>
    <x v="3"/>
    <x v="2"/>
    <x v="0"/>
    <x v="21"/>
    <x v="7"/>
    <x v="9"/>
    <x v="1"/>
  </r>
  <r>
    <x v="1640"/>
    <x v="15"/>
    <x v="1"/>
    <n v="32.299999999999997"/>
    <x v="1099"/>
    <x v="60"/>
    <d v="2025-03-03T00:00:00"/>
    <x v="1"/>
    <x v="0"/>
    <x v="2"/>
    <x v="0"/>
    <x v="21"/>
    <x v="3"/>
    <x v="9"/>
    <x v="1"/>
  </r>
  <r>
    <x v="1641"/>
    <x v="6"/>
    <x v="0"/>
    <n v="42.2"/>
    <x v="1283"/>
    <x v="61"/>
    <d v="2025-03-05T00:00:00"/>
    <x v="2"/>
    <x v="0"/>
    <x v="2"/>
    <x v="0"/>
    <x v="21"/>
    <x v="1"/>
    <x v="9"/>
    <x v="2"/>
  </r>
  <r>
    <x v="1642"/>
    <x v="6"/>
    <x v="0"/>
    <n v="53.7"/>
    <x v="1309"/>
    <x v="61"/>
    <d v="2025-03-05T00:00:00"/>
    <x v="1"/>
    <x v="1"/>
    <x v="1"/>
    <x v="0"/>
    <x v="1"/>
    <x v="1"/>
    <x v="9"/>
    <x v="1"/>
  </r>
  <r>
    <x v="1643"/>
    <x v="2"/>
    <x v="1"/>
    <n v="123.9"/>
    <x v="1310"/>
    <x v="61"/>
    <d v="2025-03-06T00:00:00"/>
    <x v="1"/>
    <x v="2"/>
    <x v="0"/>
    <x v="0"/>
    <x v="1"/>
    <x v="2"/>
    <x v="9"/>
    <x v="1"/>
  </r>
  <r>
    <x v="1644"/>
    <x v="4"/>
    <x v="2"/>
    <n v="35.9"/>
    <x v="1311"/>
    <x v="61"/>
    <d v="2025-03-05T00:00:00"/>
    <x v="1"/>
    <x v="2"/>
    <x v="0"/>
    <x v="0"/>
    <x v="22"/>
    <x v="1"/>
    <x v="9"/>
    <x v="1"/>
  </r>
  <r>
    <x v="1645"/>
    <x v="4"/>
    <x v="1"/>
    <n v="23.6"/>
    <x v="828"/>
    <x v="61"/>
    <d v="2025-03-06T00:00:00"/>
    <x v="1"/>
    <x v="0"/>
    <x v="2"/>
    <x v="0"/>
    <x v="3"/>
    <x v="2"/>
    <x v="9"/>
    <x v="1"/>
  </r>
  <r>
    <x v="1646"/>
    <x v="15"/>
    <x v="36"/>
    <n v="45.7"/>
    <x v="1312"/>
    <x v="61"/>
    <d v="2025-03-04T00:00:00"/>
    <x v="1"/>
    <x v="0"/>
    <x v="1"/>
    <x v="0"/>
    <x v="3"/>
    <x v="3"/>
    <x v="9"/>
    <x v="1"/>
  </r>
  <r>
    <x v="1647"/>
    <x v="6"/>
    <x v="5"/>
    <n v="118.3"/>
    <x v="1313"/>
    <x v="61"/>
    <d v="2025-03-05T00:00:00"/>
    <x v="1"/>
    <x v="4"/>
    <x v="2"/>
    <x v="0"/>
    <x v="3"/>
    <x v="1"/>
    <x v="9"/>
    <x v="1"/>
  </r>
  <r>
    <x v="1648"/>
    <x v="19"/>
    <x v="0"/>
    <n v="36"/>
    <x v="53"/>
    <x v="61"/>
    <d v="2025-03-04T00:00:00"/>
    <x v="2"/>
    <x v="0"/>
    <x v="1"/>
    <x v="0"/>
    <x v="3"/>
    <x v="3"/>
    <x v="9"/>
    <x v="2"/>
  </r>
  <r>
    <x v="1649"/>
    <x v="8"/>
    <x v="1"/>
    <n v="37.1"/>
    <x v="1314"/>
    <x v="61"/>
    <d v="2025-03-06T00:00:00"/>
    <x v="2"/>
    <x v="2"/>
    <x v="0"/>
    <x v="0"/>
    <x v="3"/>
    <x v="2"/>
    <x v="9"/>
    <x v="2"/>
  </r>
  <r>
    <x v="1650"/>
    <x v="18"/>
    <x v="2"/>
    <n v="45.1"/>
    <x v="246"/>
    <x v="61"/>
    <d v="2025-03-05T00:00:00"/>
    <x v="2"/>
    <x v="1"/>
    <x v="2"/>
    <x v="0"/>
    <x v="3"/>
    <x v="1"/>
    <x v="9"/>
    <x v="2"/>
  </r>
  <r>
    <x v="1651"/>
    <x v="5"/>
    <x v="27"/>
    <n v="37.9"/>
    <x v="1315"/>
    <x v="61"/>
    <d v="2025-03-04T00:00:00"/>
    <x v="2"/>
    <x v="3"/>
    <x v="2"/>
    <x v="0"/>
    <x v="3"/>
    <x v="3"/>
    <x v="9"/>
    <x v="2"/>
  </r>
  <r>
    <x v="1652"/>
    <x v="2"/>
    <x v="1"/>
    <n v="121.6"/>
    <x v="1316"/>
    <x v="61"/>
    <d v="2025-03-06T00:00:00"/>
    <x v="1"/>
    <x v="3"/>
    <x v="2"/>
    <x v="0"/>
    <x v="3"/>
    <x v="2"/>
    <x v="9"/>
    <x v="1"/>
  </r>
  <r>
    <x v="1653"/>
    <x v="5"/>
    <x v="3"/>
    <n v="38.200000000000003"/>
    <x v="1317"/>
    <x v="61"/>
    <d v="2025-03-06T00:00:00"/>
    <x v="2"/>
    <x v="0"/>
    <x v="0"/>
    <x v="0"/>
    <x v="3"/>
    <x v="2"/>
    <x v="9"/>
    <x v="2"/>
  </r>
  <r>
    <x v="1654"/>
    <x v="17"/>
    <x v="1"/>
    <n v="37.200000000000003"/>
    <x v="610"/>
    <x v="61"/>
    <d v="2025-03-06T00:00:00"/>
    <x v="1"/>
    <x v="4"/>
    <x v="0"/>
    <x v="0"/>
    <x v="3"/>
    <x v="2"/>
    <x v="9"/>
    <x v="1"/>
  </r>
  <r>
    <x v="1655"/>
    <x v="2"/>
    <x v="12"/>
    <n v="115.7"/>
    <x v="1318"/>
    <x v="61"/>
    <d v="2025-03-06T00:00:00"/>
    <x v="2"/>
    <x v="1"/>
    <x v="0"/>
    <x v="0"/>
    <x v="3"/>
    <x v="2"/>
    <x v="9"/>
    <x v="2"/>
  </r>
  <r>
    <x v="1656"/>
    <x v="2"/>
    <x v="13"/>
    <n v="99.4"/>
    <x v="1319"/>
    <x v="61"/>
    <d v="2025-03-06T00:00:00"/>
    <x v="1"/>
    <x v="0"/>
    <x v="2"/>
    <x v="0"/>
    <x v="3"/>
    <x v="2"/>
    <x v="9"/>
    <x v="1"/>
  </r>
  <r>
    <x v="1657"/>
    <x v="11"/>
    <x v="0"/>
    <n v="38.700000000000003"/>
    <x v="1320"/>
    <x v="61"/>
    <d v="2025-03-04T00:00:00"/>
    <x v="2"/>
    <x v="2"/>
    <x v="0"/>
    <x v="0"/>
    <x v="25"/>
    <x v="3"/>
    <x v="9"/>
    <x v="2"/>
  </r>
  <r>
    <x v="1658"/>
    <x v="4"/>
    <x v="1"/>
    <n v="35.5"/>
    <x v="1321"/>
    <x v="61"/>
    <d v="2025-03-06T00:00:00"/>
    <x v="1"/>
    <x v="0"/>
    <x v="2"/>
    <x v="0"/>
    <x v="25"/>
    <x v="2"/>
    <x v="9"/>
    <x v="1"/>
  </r>
  <r>
    <x v="1659"/>
    <x v="2"/>
    <x v="12"/>
    <n v="93.3"/>
    <x v="1322"/>
    <x v="61"/>
    <d v="2025-03-06T00:00:00"/>
    <x v="2"/>
    <x v="0"/>
    <x v="2"/>
    <x v="0"/>
    <x v="6"/>
    <x v="2"/>
    <x v="9"/>
    <x v="2"/>
  </r>
  <r>
    <x v="1660"/>
    <x v="16"/>
    <x v="0"/>
    <n v="31.4"/>
    <x v="1323"/>
    <x v="61"/>
    <d v="2025-03-08T00:00:00"/>
    <x v="2"/>
    <x v="2"/>
    <x v="2"/>
    <x v="0"/>
    <x v="6"/>
    <x v="0"/>
    <x v="9"/>
    <x v="2"/>
  </r>
  <r>
    <x v="1661"/>
    <x v="1"/>
    <x v="0"/>
    <n v="85.9"/>
    <x v="1324"/>
    <x v="61"/>
    <d v="2025-03-06T00:00:00"/>
    <x v="1"/>
    <x v="1"/>
    <x v="0"/>
    <x v="0"/>
    <x v="6"/>
    <x v="2"/>
    <x v="9"/>
    <x v="1"/>
  </r>
  <r>
    <x v="1662"/>
    <x v="6"/>
    <x v="8"/>
    <n v="41.7"/>
    <x v="335"/>
    <x v="61"/>
    <d v="2025-03-11T00:00:00"/>
    <x v="1"/>
    <x v="0"/>
    <x v="2"/>
    <x v="0"/>
    <x v="7"/>
    <x v="9"/>
    <x v="9"/>
    <x v="1"/>
  </r>
  <r>
    <x v="1663"/>
    <x v="8"/>
    <x v="12"/>
    <n v="31.5"/>
    <x v="624"/>
    <x v="61"/>
    <d v="2025-03-04T00:00:00"/>
    <x v="2"/>
    <x v="0"/>
    <x v="0"/>
    <x v="0"/>
    <x v="7"/>
    <x v="3"/>
    <x v="9"/>
    <x v="2"/>
  </r>
  <r>
    <x v="1664"/>
    <x v="8"/>
    <x v="1"/>
    <n v="36.299999999999997"/>
    <x v="1325"/>
    <x v="61"/>
    <d v="2025-03-04T00:00:00"/>
    <x v="2"/>
    <x v="0"/>
    <x v="4"/>
    <x v="0"/>
    <x v="8"/>
    <x v="3"/>
    <x v="9"/>
    <x v="2"/>
  </r>
  <r>
    <x v="1665"/>
    <x v="8"/>
    <x v="2"/>
    <n v="33.4"/>
    <x v="1326"/>
    <x v="61"/>
    <d v="2025-03-04T00:00:00"/>
    <x v="2"/>
    <x v="3"/>
    <x v="0"/>
    <x v="0"/>
    <x v="17"/>
    <x v="3"/>
    <x v="9"/>
    <x v="2"/>
  </r>
  <r>
    <x v="1666"/>
    <x v="2"/>
    <x v="2"/>
    <n v="65.2"/>
    <x v="1327"/>
    <x v="61"/>
    <d v="2025-03-04T00:00:00"/>
    <x v="2"/>
    <x v="2"/>
    <x v="2"/>
    <x v="0"/>
    <x v="26"/>
    <x v="3"/>
    <x v="9"/>
    <x v="2"/>
  </r>
  <r>
    <x v="1667"/>
    <x v="8"/>
    <x v="11"/>
    <n v="65.5"/>
    <x v="1328"/>
    <x v="61"/>
    <d v="2025-03-06T00:00:00"/>
    <x v="2"/>
    <x v="0"/>
    <x v="2"/>
    <x v="0"/>
    <x v="9"/>
    <x v="2"/>
    <x v="9"/>
    <x v="2"/>
  </r>
  <r>
    <x v="1668"/>
    <x v="6"/>
    <x v="2"/>
    <n v="52.8"/>
    <x v="1329"/>
    <x v="61"/>
    <d v="2025-03-06T00:00:00"/>
    <x v="1"/>
    <x v="2"/>
    <x v="0"/>
    <x v="0"/>
    <x v="9"/>
    <x v="2"/>
    <x v="9"/>
    <x v="1"/>
  </r>
  <r>
    <x v="1669"/>
    <x v="9"/>
    <x v="9"/>
    <n v="24"/>
    <x v="160"/>
    <x v="61"/>
    <d v="2025-03-07T00:00:00"/>
    <x v="1"/>
    <x v="0"/>
    <x v="1"/>
    <x v="0"/>
    <x v="11"/>
    <x v="5"/>
    <x v="9"/>
    <x v="1"/>
  </r>
  <r>
    <x v="1670"/>
    <x v="3"/>
    <x v="2"/>
    <n v="51.2"/>
    <x v="1330"/>
    <x v="61"/>
    <d v="2025-03-04T00:00:00"/>
    <x v="2"/>
    <x v="0"/>
    <x v="0"/>
    <x v="0"/>
    <x v="32"/>
    <x v="3"/>
    <x v="9"/>
    <x v="2"/>
  </r>
  <r>
    <x v="1671"/>
    <x v="5"/>
    <x v="2"/>
    <n v="28.3"/>
    <x v="1331"/>
    <x v="61"/>
    <d v="2025-03-05T00:00:00"/>
    <x v="1"/>
    <x v="4"/>
    <x v="0"/>
    <x v="0"/>
    <x v="19"/>
    <x v="1"/>
    <x v="9"/>
    <x v="1"/>
  </r>
  <r>
    <x v="1672"/>
    <x v="6"/>
    <x v="2"/>
    <n v="42.3"/>
    <x v="1332"/>
    <x v="61"/>
    <d v="2025-03-03T00:00:00"/>
    <x v="2"/>
    <x v="2"/>
    <x v="1"/>
    <x v="0"/>
    <x v="19"/>
    <x v="7"/>
    <x v="9"/>
    <x v="2"/>
  </r>
  <r>
    <x v="1673"/>
    <x v="2"/>
    <x v="8"/>
    <n v="163.30000000000001"/>
    <x v="1333"/>
    <x v="62"/>
    <d v="2025-03-05T00:00:00"/>
    <x v="2"/>
    <x v="1"/>
    <x v="0"/>
    <x v="0"/>
    <x v="13"/>
    <x v="3"/>
    <x v="9"/>
    <x v="2"/>
  </r>
  <r>
    <x v="1674"/>
    <x v="6"/>
    <x v="3"/>
    <n v="47.3"/>
    <x v="1334"/>
    <x v="62"/>
    <d v="2025-03-07T00:00:00"/>
    <x v="2"/>
    <x v="4"/>
    <x v="1"/>
    <x v="0"/>
    <x v="21"/>
    <x v="2"/>
    <x v="9"/>
    <x v="2"/>
  </r>
  <r>
    <x v="1675"/>
    <x v="8"/>
    <x v="27"/>
    <n v="27.3"/>
    <x v="1335"/>
    <x v="62"/>
    <d v="2025-03-05T00:00:00"/>
    <x v="2"/>
    <x v="2"/>
    <x v="0"/>
    <x v="0"/>
    <x v="21"/>
    <x v="3"/>
    <x v="9"/>
    <x v="2"/>
  </r>
  <r>
    <x v="1676"/>
    <x v="10"/>
    <x v="13"/>
    <n v="34.9"/>
    <x v="1336"/>
    <x v="62"/>
    <d v="2025-03-15T00:00:00"/>
    <x v="2"/>
    <x v="0"/>
    <x v="0"/>
    <x v="0"/>
    <x v="21"/>
    <x v="11"/>
    <x v="9"/>
    <x v="2"/>
  </r>
  <r>
    <x v="1677"/>
    <x v="6"/>
    <x v="1"/>
    <n v="53.9"/>
    <x v="215"/>
    <x v="62"/>
    <d v="2025-03-07T00:00:00"/>
    <x v="3"/>
    <x v="0"/>
    <x v="4"/>
    <x v="0"/>
    <x v="1"/>
    <x v="2"/>
    <x v="9"/>
    <x v="0"/>
  </r>
  <r>
    <x v="1678"/>
    <x v="2"/>
    <x v="1"/>
    <n v="87.2"/>
    <x v="1337"/>
    <x v="62"/>
    <d v="2025-03-05T00:00:00"/>
    <x v="2"/>
    <x v="0"/>
    <x v="1"/>
    <x v="0"/>
    <x v="1"/>
    <x v="3"/>
    <x v="9"/>
    <x v="2"/>
  </r>
  <r>
    <x v="1679"/>
    <x v="15"/>
    <x v="0"/>
    <n v="58.8"/>
    <x v="572"/>
    <x v="62"/>
    <d v="2025-03-06T00:00:00"/>
    <x v="2"/>
    <x v="2"/>
    <x v="0"/>
    <x v="0"/>
    <x v="44"/>
    <x v="1"/>
    <x v="9"/>
    <x v="2"/>
  </r>
  <r>
    <x v="1680"/>
    <x v="2"/>
    <x v="3"/>
    <n v="125.5"/>
    <x v="1338"/>
    <x v="62"/>
    <d v="2025-03-05T00:00:00"/>
    <x v="1"/>
    <x v="2"/>
    <x v="4"/>
    <x v="0"/>
    <x v="22"/>
    <x v="3"/>
    <x v="9"/>
    <x v="1"/>
  </r>
  <r>
    <x v="1681"/>
    <x v="1"/>
    <x v="12"/>
    <n v="124.6"/>
    <x v="1339"/>
    <x v="62"/>
    <d v="2025-03-06T00:00:00"/>
    <x v="2"/>
    <x v="0"/>
    <x v="1"/>
    <x v="0"/>
    <x v="22"/>
    <x v="1"/>
    <x v="9"/>
    <x v="2"/>
  </r>
  <r>
    <x v="1682"/>
    <x v="1"/>
    <x v="3"/>
    <n v="39.9"/>
    <x v="1340"/>
    <x v="62"/>
    <d v="2025-03-05T00:00:00"/>
    <x v="1"/>
    <x v="2"/>
    <x v="1"/>
    <x v="0"/>
    <x v="3"/>
    <x v="3"/>
    <x v="9"/>
    <x v="1"/>
  </r>
  <r>
    <x v="1683"/>
    <x v="6"/>
    <x v="0"/>
    <n v="94.6"/>
    <x v="422"/>
    <x v="62"/>
    <d v="2025-03-18T00:00:00"/>
    <x v="2"/>
    <x v="0"/>
    <x v="1"/>
    <x v="0"/>
    <x v="3"/>
    <x v="12"/>
    <x v="9"/>
    <x v="2"/>
  </r>
  <r>
    <x v="1684"/>
    <x v="2"/>
    <x v="1"/>
    <n v="149.6"/>
    <x v="1341"/>
    <x v="62"/>
    <d v="2025-03-05T00:00:00"/>
    <x v="2"/>
    <x v="0"/>
    <x v="0"/>
    <x v="0"/>
    <x v="3"/>
    <x v="3"/>
    <x v="9"/>
    <x v="2"/>
  </r>
  <r>
    <x v="1685"/>
    <x v="8"/>
    <x v="0"/>
    <n v="52.2"/>
    <x v="1342"/>
    <x v="62"/>
    <d v="2025-03-05T00:00:00"/>
    <x v="0"/>
    <x v="1"/>
    <x v="0"/>
    <x v="0"/>
    <x v="3"/>
    <x v="3"/>
    <x v="9"/>
    <x v="0"/>
  </r>
  <r>
    <x v="1686"/>
    <x v="6"/>
    <x v="1"/>
    <n v="96.5"/>
    <x v="1343"/>
    <x v="62"/>
    <d v="2025-03-05T00:00:00"/>
    <x v="2"/>
    <x v="1"/>
    <x v="1"/>
    <x v="0"/>
    <x v="3"/>
    <x v="3"/>
    <x v="9"/>
    <x v="2"/>
  </r>
  <r>
    <x v="1687"/>
    <x v="8"/>
    <x v="1"/>
    <n v="79.8"/>
    <x v="1344"/>
    <x v="62"/>
    <d v="2025-03-06T00:00:00"/>
    <x v="2"/>
    <x v="0"/>
    <x v="1"/>
    <x v="0"/>
    <x v="3"/>
    <x v="1"/>
    <x v="9"/>
    <x v="2"/>
  </r>
  <r>
    <x v="1688"/>
    <x v="8"/>
    <x v="2"/>
    <n v="35.6"/>
    <x v="694"/>
    <x v="62"/>
    <d v="2025-03-05T00:00:00"/>
    <x v="2"/>
    <x v="2"/>
    <x v="0"/>
    <x v="0"/>
    <x v="3"/>
    <x v="3"/>
    <x v="9"/>
    <x v="2"/>
  </r>
  <r>
    <x v="1689"/>
    <x v="16"/>
    <x v="0"/>
    <n v="50.2"/>
    <x v="486"/>
    <x v="62"/>
    <d v="2025-03-05T00:00:00"/>
    <x v="2"/>
    <x v="1"/>
    <x v="2"/>
    <x v="0"/>
    <x v="3"/>
    <x v="3"/>
    <x v="9"/>
    <x v="2"/>
  </r>
  <r>
    <x v="1690"/>
    <x v="1"/>
    <x v="2"/>
    <n v="55.3"/>
    <x v="1345"/>
    <x v="62"/>
    <d v="2025-03-07T00:00:00"/>
    <x v="2"/>
    <x v="0"/>
    <x v="4"/>
    <x v="0"/>
    <x v="40"/>
    <x v="2"/>
    <x v="9"/>
    <x v="2"/>
  </r>
  <r>
    <x v="1691"/>
    <x v="6"/>
    <x v="3"/>
    <n v="104.5"/>
    <x v="1346"/>
    <x v="62"/>
    <d v="2025-03-08T00:00:00"/>
    <x v="2"/>
    <x v="1"/>
    <x v="0"/>
    <x v="0"/>
    <x v="7"/>
    <x v="5"/>
    <x v="9"/>
    <x v="2"/>
  </r>
  <r>
    <x v="1692"/>
    <x v="6"/>
    <x v="12"/>
    <n v="66.5"/>
    <x v="751"/>
    <x v="62"/>
    <d v="2025-03-06T00:00:00"/>
    <x v="1"/>
    <x v="1"/>
    <x v="0"/>
    <x v="0"/>
    <x v="7"/>
    <x v="1"/>
    <x v="9"/>
    <x v="1"/>
  </r>
  <r>
    <x v="1693"/>
    <x v="10"/>
    <x v="8"/>
    <n v="38.299999999999997"/>
    <x v="1347"/>
    <x v="62"/>
    <d v="2025-03-05T00:00:00"/>
    <x v="2"/>
    <x v="0"/>
    <x v="0"/>
    <x v="0"/>
    <x v="7"/>
    <x v="3"/>
    <x v="9"/>
    <x v="2"/>
  </r>
  <r>
    <x v="1694"/>
    <x v="6"/>
    <x v="2"/>
    <n v="63.8"/>
    <x v="1348"/>
    <x v="62"/>
    <d v="2025-03-07T00:00:00"/>
    <x v="2"/>
    <x v="1"/>
    <x v="0"/>
    <x v="0"/>
    <x v="8"/>
    <x v="2"/>
    <x v="9"/>
    <x v="2"/>
  </r>
  <r>
    <x v="1695"/>
    <x v="15"/>
    <x v="0"/>
    <n v="21.4"/>
    <x v="1349"/>
    <x v="62"/>
    <d v="2025-03-04T00:00:00"/>
    <x v="1"/>
    <x v="4"/>
    <x v="0"/>
    <x v="0"/>
    <x v="8"/>
    <x v="7"/>
    <x v="9"/>
    <x v="1"/>
  </r>
  <r>
    <x v="1696"/>
    <x v="8"/>
    <x v="12"/>
    <n v="44.1"/>
    <x v="1350"/>
    <x v="62"/>
    <d v="2025-03-06T00:00:00"/>
    <x v="2"/>
    <x v="2"/>
    <x v="0"/>
    <x v="0"/>
    <x v="8"/>
    <x v="1"/>
    <x v="9"/>
    <x v="2"/>
  </r>
  <r>
    <x v="1697"/>
    <x v="5"/>
    <x v="8"/>
    <n v="57.6"/>
    <x v="1351"/>
    <x v="62"/>
    <d v="2025-03-06T00:00:00"/>
    <x v="1"/>
    <x v="1"/>
    <x v="2"/>
    <x v="0"/>
    <x v="8"/>
    <x v="1"/>
    <x v="9"/>
    <x v="1"/>
  </r>
  <r>
    <x v="1698"/>
    <x v="9"/>
    <x v="1"/>
    <n v="20.3"/>
    <x v="1352"/>
    <x v="62"/>
    <d v="2025-03-10T00:00:00"/>
    <x v="2"/>
    <x v="3"/>
    <x v="0"/>
    <x v="0"/>
    <x v="8"/>
    <x v="4"/>
    <x v="9"/>
    <x v="2"/>
  </r>
  <r>
    <x v="1699"/>
    <x v="8"/>
    <x v="0"/>
    <n v="22.9"/>
    <x v="1246"/>
    <x v="62"/>
    <d v="2025-03-06T00:00:00"/>
    <x v="2"/>
    <x v="2"/>
    <x v="2"/>
    <x v="0"/>
    <x v="8"/>
    <x v="1"/>
    <x v="9"/>
    <x v="2"/>
  </r>
  <r>
    <x v="1700"/>
    <x v="6"/>
    <x v="12"/>
    <n v="105.9"/>
    <x v="1353"/>
    <x v="62"/>
    <d v="2025-03-05T00:00:00"/>
    <x v="2"/>
    <x v="1"/>
    <x v="2"/>
    <x v="0"/>
    <x v="17"/>
    <x v="3"/>
    <x v="9"/>
    <x v="2"/>
  </r>
  <r>
    <x v="1701"/>
    <x v="1"/>
    <x v="11"/>
    <n v="37.4"/>
    <x v="1354"/>
    <x v="62"/>
    <d v="2025-03-08T00:00:00"/>
    <x v="1"/>
    <x v="1"/>
    <x v="0"/>
    <x v="0"/>
    <x v="11"/>
    <x v="5"/>
    <x v="9"/>
    <x v="1"/>
  </r>
  <r>
    <x v="1702"/>
    <x v="18"/>
    <x v="1"/>
    <n v="79"/>
    <x v="1355"/>
    <x v="62"/>
    <d v="2025-03-05T00:00:00"/>
    <x v="1"/>
    <x v="2"/>
    <x v="0"/>
    <x v="0"/>
    <x v="28"/>
    <x v="3"/>
    <x v="9"/>
    <x v="1"/>
  </r>
  <r>
    <x v="1703"/>
    <x v="0"/>
    <x v="2"/>
    <n v="19.3"/>
    <x v="1356"/>
    <x v="62"/>
    <d v="2025-03-05T00:00:00"/>
    <x v="2"/>
    <x v="4"/>
    <x v="0"/>
    <x v="0"/>
    <x v="21"/>
    <x v="3"/>
    <x v="9"/>
    <x v="2"/>
  </r>
  <r>
    <x v="1704"/>
    <x v="0"/>
    <x v="0"/>
    <n v="24"/>
    <x v="835"/>
    <x v="62"/>
    <d v="2025-03-05T00:00:00"/>
    <x v="2"/>
    <x v="1"/>
    <x v="0"/>
    <x v="0"/>
    <x v="1"/>
    <x v="3"/>
    <x v="9"/>
    <x v="2"/>
  </r>
  <r>
    <x v="1705"/>
    <x v="6"/>
    <x v="9"/>
    <n v="71.3"/>
    <x v="1357"/>
    <x v="62"/>
    <d v="2025-03-07T00:00:00"/>
    <x v="2"/>
    <x v="2"/>
    <x v="0"/>
    <x v="0"/>
    <x v="2"/>
    <x v="2"/>
    <x v="9"/>
    <x v="2"/>
  </r>
  <r>
    <x v="1706"/>
    <x v="5"/>
    <x v="1"/>
    <n v="166.2"/>
    <x v="1358"/>
    <x v="62"/>
    <d v="2025-03-05T00:00:00"/>
    <x v="1"/>
    <x v="0"/>
    <x v="2"/>
    <x v="0"/>
    <x v="50"/>
    <x v="3"/>
    <x v="9"/>
    <x v="1"/>
  </r>
  <r>
    <x v="1707"/>
    <x v="6"/>
    <x v="0"/>
    <n v="81"/>
    <x v="969"/>
    <x v="62"/>
    <d v="2025-03-05T00:00:00"/>
    <x v="2"/>
    <x v="2"/>
    <x v="1"/>
    <x v="0"/>
    <x v="3"/>
    <x v="3"/>
    <x v="9"/>
    <x v="2"/>
  </r>
  <r>
    <x v="1708"/>
    <x v="10"/>
    <x v="13"/>
    <n v="38.5"/>
    <x v="1359"/>
    <x v="62"/>
    <d v="2025-03-08T00:00:00"/>
    <x v="2"/>
    <x v="0"/>
    <x v="0"/>
    <x v="0"/>
    <x v="3"/>
    <x v="5"/>
    <x v="9"/>
    <x v="2"/>
  </r>
  <r>
    <x v="1709"/>
    <x v="6"/>
    <x v="0"/>
    <n v="86.1"/>
    <x v="1360"/>
    <x v="62"/>
    <d v="2025-03-06T00:00:00"/>
    <x v="2"/>
    <x v="3"/>
    <x v="0"/>
    <x v="0"/>
    <x v="3"/>
    <x v="1"/>
    <x v="9"/>
    <x v="2"/>
  </r>
  <r>
    <x v="1710"/>
    <x v="2"/>
    <x v="9"/>
    <n v="51"/>
    <x v="951"/>
    <x v="62"/>
    <d v="2025-03-05T00:00:00"/>
    <x v="1"/>
    <x v="0"/>
    <x v="1"/>
    <x v="0"/>
    <x v="3"/>
    <x v="3"/>
    <x v="9"/>
    <x v="1"/>
  </r>
  <r>
    <x v="1711"/>
    <x v="3"/>
    <x v="9"/>
    <n v="115.4"/>
    <x v="1361"/>
    <x v="62"/>
    <d v="2025-03-05T00:00:00"/>
    <x v="1"/>
    <x v="0"/>
    <x v="0"/>
    <x v="0"/>
    <x v="3"/>
    <x v="3"/>
    <x v="9"/>
    <x v="1"/>
  </r>
  <r>
    <x v="1712"/>
    <x v="6"/>
    <x v="12"/>
    <n v="176.5"/>
    <x v="1362"/>
    <x v="62"/>
    <d v="2025-03-05T00:00:00"/>
    <x v="2"/>
    <x v="2"/>
    <x v="2"/>
    <x v="0"/>
    <x v="3"/>
    <x v="3"/>
    <x v="9"/>
    <x v="2"/>
  </r>
  <r>
    <x v="1713"/>
    <x v="7"/>
    <x v="2"/>
    <n v="48.9"/>
    <x v="1363"/>
    <x v="62"/>
    <d v="2025-03-05T00:00:00"/>
    <x v="1"/>
    <x v="4"/>
    <x v="0"/>
    <x v="0"/>
    <x v="3"/>
    <x v="3"/>
    <x v="9"/>
    <x v="1"/>
  </r>
  <r>
    <x v="1714"/>
    <x v="8"/>
    <x v="2"/>
    <n v="18.100000000000001"/>
    <x v="1364"/>
    <x v="62"/>
    <d v="2025-03-11T00:00:00"/>
    <x v="2"/>
    <x v="1"/>
    <x v="2"/>
    <x v="0"/>
    <x v="29"/>
    <x v="6"/>
    <x v="9"/>
    <x v="2"/>
  </r>
  <r>
    <x v="1715"/>
    <x v="2"/>
    <x v="1"/>
    <n v="118.5"/>
    <x v="1365"/>
    <x v="62"/>
    <d v="2025-03-07T00:00:00"/>
    <x v="1"/>
    <x v="1"/>
    <x v="2"/>
    <x v="0"/>
    <x v="16"/>
    <x v="2"/>
    <x v="9"/>
    <x v="1"/>
  </r>
  <r>
    <x v="1716"/>
    <x v="15"/>
    <x v="3"/>
    <n v="59.1"/>
    <x v="1366"/>
    <x v="62"/>
    <d v="2025-03-05T00:00:00"/>
    <x v="2"/>
    <x v="3"/>
    <x v="0"/>
    <x v="0"/>
    <x v="25"/>
    <x v="3"/>
    <x v="9"/>
    <x v="2"/>
  </r>
  <r>
    <x v="1717"/>
    <x v="4"/>
    <x v="0"/>
    <n v="21.2"/>
    <x v="333"/>
    <x v="62"/>
    <d v="2025-03-05T00:00:00"/>
    <x v="2"/>
    <x v="0"/>
    <x v="1"/>
    <x v="0"/>
    <x v="6"/>
    <x v="3"/>
    <x v="9"/>
    <x v="2"/>
  </r>
  <r>
    <x v="1718"/>
    <x v="6"/>
    <x v="1"/>
    <n v="68.8"/>
    <x v="1367"/>
    <x v="62"/>
    <d v="2025-03-09T00:00:00"/>
    <x v="2"/>
    <x v="3"/>
    <x v="2"/>
    <x v="0"/>
    <x v="6"/>
    <x v="0"/>
    <x v="9"/>
    <x v="2"/>
  </r>
  <r>
    <x v="1719"/>
    <x v="6"/>
    <x v="1"/>
    <n v="65.400000000000006"/>
    <x v="1272"/>
    <x v="62"/>
    <d v="2025-03-08T00:00:00"/>
    <x v="2"/>
    <x v="0"/>
    <x v="0"/>
    <x v="0"/>
    <x v="6"/>
    <x v="5"/>
    <x v="9"/>
    <x v="2"/>
  </r>
  <r>
    <x v="1720"/>
    <x v="12"/>
    <x v="9"/>
    <n v="66.3"/>
    <x v="1278"/>
    <x v="63"/>
    <d v="2025-03-08T00:00:00"/>
    <x v="2"/>
    <x v="4"/>
    <x v="0"/>
    <x v="0"/>
    <x v="6"/>
    <x v="2"/>
    <x v="9"/>
    <x v="2"/>
  </r>
  <r>
    <x v="1721"/>
    <x v="6"/>
    <x v="2"/>
    <n v="97.5"/>
    <x v="1368"/>
    <x v="63"/>
    <d v="2025-03-05T00:00:00"/>
    <x v="1"/>
    <x v="3"/>
    <x v="0"/>
    <x v="0"/>
    <x v="8"/>
    <x v="7"/>
    <x v="9"/>
    <x v="1"/>
  </r>
  <r>
    <x v="1722"/>
    <x v="1"/>
    <x v="1"/>
    <n v="44"/>
    <x v="1155"/>
    <x v="63"/>
    <d v="2025-03-08T00:00:00"/>
    <x v="2"/>
    <x v="1"/>
    <x v="2"/>
    <x v="0"/>
    <x v="8"/>
    <x v="2"/>
    <x v="9"/>
    <x v="2"/>
  </r>
  <r>
    <x v="1723"/>
    <x v="0"/>
    <x v="0"/>
    <n v="21.9"/>
    <x v="731"/>
    <x v="63"/>
    <d v="2025-03-06T00:00:00"/>
    <x v="1"/>
    <x v="0"/>
    <x v="0"/>
    <x v="0"/>
    <x v="8"/>
    <x v="3"/>
    <x v="9"/>
    <x v="1"/>
  </r>
  <r>
    <x v="1724"/>
    <x v="4"/>
    <x v="3"/>
    <n v="21.5"/>
    <x v="379"/>
    <x v="63"/>
    <d v="2025-03-07T00:00:00"/>
    <x v="2"/>
    <x v="1"/>
    <x v="2"/>
    <x v="0"/>
    <x v="9"/>
    <x v="1"/>
    <x v="9"/>
    <x v="2"/>
  </r>
  <r>
    <x v="1725"/>
    <x v="12"/>
    <x v="13"/>
    <n v="133"/>
    <x v="1369"/>
    <x v="63"/>
    <d v="2025-03-06T00:00:00"/>
    <x v="3"/>
    <x v="0"/>
    <x v="2"/>
    <x v="0"/>
    <x v="10"/>
    <x v="3"/>
    <x v="9"/>
    <x v="0"/>
  </r>
  <r>
    <x v="1726"/>
    <x v="8"/>
    <x v="1"/>
    <n v="47.7"/>
    <x v="233"/>
    <x v="63"/>
    <d v="2025-03-09T00:00:00"/>
    <x v="1"/>
    <x v="0"/>
    <x v="2"/>
    <x v="0"/>
    <x v="10"/>
    <x v="5"/>
    <x v="9"/>
    <x v="1"/>
  </r>
  <r>
    <x v="1727"/>
    <x v="16"/>
    <x v="2"/>
    <n v="58.1"/>
    <x v="889"/>
    <x v="63"/>
    <d v="2025-03-06T00:00:00"/>
    <x v="2"/>
    <x v="0"/>
    <x v="0"/>
    <x v="0"/>
    <x v="11"/>
    <x v="3"/>
    <x v="9"/>
    <x v="2"/>
  </r>
  <r>
    <x v="1728"/>
    <x v="12"/>
    <x v="12"/>
    <n v="66.599999999999994"/>
    <x v="1370"/>
    <x v="63"/>
    <d v="2025-03-06T00:00:00"/>
    <x v="0"/>
    <x v="0"/>
    <x v="0"/>
    <x v="0"/>
    <x v="11"/>
    <x v="3"/>
    <x v="9"/>
    <x v="0"/>
  </r>
  <r>
    <x v="1729"/>
    <x v="9"/>
    <x v="0"/>
    <n v="24.1"/>
    <x v="1057"/>
    <x v="63"/>
    <d v="2025-03-08T00:00:00"/>
    <x v="1"/>
    <x v="2"/>
    <x v="1"/>
    <x v="0"/>
    <x v="19"/>
    <x v="2"/>
    <x v="9"/>
    <x v="1"/>
  </r>
  <r>
    <x v="1730"/>
    <x v="10"/>
    <x v="9"/>
    <n v="51.5"/>
    <x v="1371"/>
    <x v="63"/>
    <d v="2025-03-10T00:00:00"/>
    <x v="2"/>
    <x v="0"/>
    <x v="0"/>
    <x v="0"/>
    <x v="13"/>
    <x v="0"/>
    <x v="9"/>
    <x v="2"/>
  </r>
  <r>
    <x v="1731"/>
    <x v="0"/>
    <x v="5"/>
    <n v="25.8"/>
    <x v="674"/>
    <x v="63"/>
    <d v="2025-03-09T00:00:00"/>
    <x v="2"/>
    <x v="3"/>
    <x v="4"/>
    <x v="0"/>
    <x v="21"/>
    <x v="5"/>
    <x v="9"/>
    <x v="2"/>
  </r>
  <r>
    <x v="1732"/>
    <x v="9"/>
    <x v="12"/>
    <n v="47.7"/>
    <x v="1372"/>
    <x v="63"/>
    <d v="2025-03-05T00:00:00"/>
    <x v="2"/>
    <x v="0"/>
    <x v="1"/>
    <x v="0"/>
    <x v="21"/>
    <x v="7"/>
    <x v="9"/>
    <x v="2"/>
  </r>
  <r>
    <x v="1733"/>
    <x v="7"/>
    <x v="9"/>
    <n v="73.599999999999994"/>
    <x v="1373"/>
    <x v="63"/>
    <d v="2025-03-09T00:00:00"/>
    <x v="1"/>
    <x v="1"/>
    <x v="0"/>
    <x v="0"/>
    <x v="21"/>
    <x v="5"/>
    <x v="9"/>
    <x v="1"/>
  </r>
  <r>
    <x v="1734"/>
    <x v="5"/>
    <x v="3"/>
    <n v="91.2"/>
    <x v="1374"/>
    <x v="63"/>
    <d v="2025-03-06T00:00:00"/>
    <x v="1"/>
    <x v="1"/>
    <x v="2"/>
    <x v="0"/>
    <x v="21"/>
    <x v="3"/>
    <x v="9"/>
    <x v="1"/>
  </r>
  <r>
    <x v="1735"/>
    <x v="1"/>
    <x v="8"/>
    <n v="36.200000000000003"/>
    <x v="1375"/>
    <x v="63"/>
    <d v="2025-03-05T00:00:00"/>
    <x v="1"/>
    <x v="2"/>
    <x v="2"/>
    <x v="0"/>
    <x v="1"/>
    <x v="7"/>
    <x v="9"/>
    <x v="1"/>
  </r>
  <r>
    <x v="1736"/>
    <x v="9"/>
    <x v="8"/>
    <n v="98"/>
    <x v="1376"/>
    <x v="63"/>
    <d v="2025-03-09T00:00:00"/>
    <x v="2"/>
    <x v="2"/>
    <x v="0"/>
    <x v="0"/>
    <x v="2"/>
    <x v="5"/>
    <x v="9"/>
    <x v="2"/>
  </r>
  <r>
    <x v="1737"/>
    <x v="1"/>
    <x v="8"/>
    <n v="43.6"/>
    <x v="1377"/>
    <x v="63"/>
    <d v="2025-03-06T00:00:00"/>
    <x v="2"/>
    <x v="2"/>
    <x v="0"/>
    <x v="0"/>
    <x v="22"/>
    <x v="3"/>
    <x v="9"/>
    <x v="2"/>
  </r>
  <r>
    <x v="1738"/>
    <x v="8"/>
    <x v="7"/>
    <n v="37.799999999999997"/>
    <x v="1378"/>
    <x v="63"/>
    <d v="2025-03-05T00:00:00"/>
    <x v="3"/>
    <x v="0"/>
    <x v="0"/>
    <x v="0"/>
    <x v="50"/>
    <x v="7"/>
    <x v="9"/>
    <x v="0"/>
  </r>
  <r>
    <x v="1739"/>
    <x v="17"/>
    <x v="9"/>
    <n v="63.7"/>
    <x v="46"/>
    <x v="63"/>
    <d v="2025-03-08T00:00:00"/>
    <x v="2"/>
    <x v="2"/>
    <x v="1"/>
    <x v="0"/>
    <x v="3"/>
    <x v="2"/>
    <x v="9"/>
    <x v="2"/>
  </r>
  <r>
    <x v="1740"/>
    <x v="5"/>
    <x v="11"/>
    <n v="62.9"/>
    <x v="1379"/>
    <x v="63"/>
    <d v="2025-03-10T00:00:00"/>
    <x v="1"/>
    <x v="3"/>
    <x v="2"/>
    <x v="0"/>
    <x v="3"/>
    <x v="0"/>
    <x v="9"/>
    <x v="1"/>
  </r>
  <r>
    <x v="1741"/>
    <x v="6"/>
    <x v="3"/>
    <n v="61.7"/>
    <x v="245"/>
    <x v="63"/>
    <d v="2025-03-08T00:00:00"/>
    <x v="2"/>
    <x v="2"/>
    <x v="2"/>
    <x v="0"/>
    <x v="3"/>
    <x v="2"/>
    <x v="9"/>
    <x v="2"/>
  </r>
  <r>
    <x v="1742"/>
    <x v="18"/>
    <x v="21"/>
    <n v="36.5"/>
    <x v="1380"/>
    <x v="63"/>
    <d v="2025-03-06T00:00:00"/>
    <x v="1"/>
    <x v="0"/>
    <x v="2"/>
    <x v="0"/>
    <x v="3"/>
    <x v="3"/>
    <x v="9"/>
    <x v="1"/>
  </r>
  <r>
    <x v="1743"/>
    <x v="11"/>
    <x v="2"/>
    <n v="98.6"/>
    <x v="1381"/>
    <x v="63"/>
    <d v="2025-03-08T00:00:00"/>
    <x v="3"/>
    <x v="0"/>
    <x v="4"/>
    <x v="0"/>
    <x v="3"/>
    <x v="2"/>
    <x v="9"/>
    <x v="0"/>
  </r>
  <r>
    <x v="1744"/>
    <x v="8"/>
    <x v="1"/>
    <n v="19.2"/>
    <x v="1139"/>
    <x v="63"/>
    <d v="2025-03-15T00:00:00"/>
    <x v="1"/>
    <x v="0"/>
    <x v="0"/>
    <x v="0"/>
    <x v="3"/>
    <x v="14"/>
    <x v="9"/>
    <x v="1"/>
  </r>
  <r>
    <x v="1745"/>
    <x v="3"/>
    <x v="13"/>
    <n v="55.6"/>
    <x v="335"/>
    <x v="63"/>
    <d v="2025-03-09T00:00:00"/>
    <x v="2"/>
    <x v="0"/>
    <x v="2"/>
    <x v="0"/>
    <x v="3"/>
    <x v="5"/>
    <x v="9"/>
    <x v="2"/>
  </r>
  <r>
    <x v="1746"/>
    <x v="5"/>
    <x v="13"/>
    <n v="56.4"/>
    <x v="1382"/>
    <x v="63"/>
    <d v="2025-03-06T00:00:00"/>
    <x v="2"/>
    <x v="1"/>
    <x v="0"/>
    <x v="0"/>
    <x v="3"/>
    <x v="3"/>
    <x v="9"/>
    <x v="2"/>
  </r>
  <r>
    <x v="1747"/>
    <x v="4"/>
    <x v="8"/>
    <n v="43.1"/>
    <x v="1383"/>
    <x v="63"/>
    <d v="2025-03-09T00:00:00"/>
    <x v="2"/>
    <x v="4"/>
    <x v="0"/>
    <x v="0"/>
    <x v="3"/>
    <x v="5"/>
    <x v="9"/>
    <x v="2"/>
  </r>
  <r>
    <x v="1748"/>
    <x v="1"/>
    <x v="1"/>
    <n v="77.3"/>
    <x v="1384"/>
    <x v="63"/>
    <d v="2025-03-07T00:00:00"/>
    <x v="1"/>
    <x v="0"/>
    <x v="0"/>
    <x v="0"/>
    <x v="6"/>
    <x v="1"/>
    <x v="9"/>
    <x v="1"/>
  </r>
  <r>
    <x v="1749"/>
    <x v="9"/>
    <x v="8"/>
    <n v="38.299999999999997"/>
    <x v="1347"/>
    <x v="63"/>
    <d v="2025-03-06T00:00:00"/>
    <x v="1"/>
    <x v="0"/>
    <x v="0"/>
    <x v="0"/>
    <x v="7"/>
    <x v="3"/>
    <x v="9"/>
    <x v="1"/>
  </r>
  <r>
    <x v="1750"/>
    <x v="0"/>
    <x v="3"/>
    <n v="16.8"/>
    <x v="557"/>
    <x v="63"/>
    <d v="2025-03-08T00:00:00"/>
    <x v="1"/>
    <x v="2"/>
    <x v="1"/>
    <x v="0"/>
    <x v="8"/>
    <x v="2"/>
    <x v="9"/>
    <x v="1"/>
  </r>
  <r>
    <x v="1751"/>
    <x v="2"/>
    <x v="2"/>
    <n v="63.2"/>
    <x v="1385"/>
    <x v="63"/>
    <d v="2025-03-06T00:00:00"/>
    <x v="2"/>
    <x v="0"/>
    <x v="2"/>
    <x v="0"/>
    <x v="8"/>
    <x v="3"/>
    <x v="9"/>
    <x v="2"/>
  </r>
  <r>
    <x v="1752"/>
    <x v="14"/>
    <x v="44"/>
    <n v="39.700000000000003"/>
    <x v="1386"/>
    <x v="63"/>
    <d v="2025-03-06T00:00:00"/>
    <x v="1"/>
    <x v="0"/>
    <x v="0"/>
    <x v="0"/>
    <x v="8"/>
    <x v="3"/>
    <x v="9"/>
    <x v="1"/>
  </r>
  <r>
    <x v="1753"/>
    <x v="10"/>
    <x v="2"/>
    <n v="45.8"/>
    <x v="1387"/>
    <x v="63"/>
    <d v="2025-03-06T00:00:00"/>
    <x v="2"/>
    <x v="1"/>
    <x v="2"/>
    <x v="0"/>
    <x v="8"/>
    <x v="3"/>
    <x v="9"/>
    <x v="2"/>
  </r>
  <r>
    <x v="1754"/>
    <x v="0"/>
    <x v="13"/>
    <n v="12.4"/>
    <x v="610"/>
    <x v="63"/>
    <d v="2025-03-08T00:00:00"/>
    <x v="1"/>
    <x v="0"/>
    <x v="0"/>
    <x v="0"/>
    <x v="8"/>
    <x v="2"/>
    <x v="9"/>
    <x v="1"/>
  </r>
  <r>
    <x v="1755"/>
    <x v="14"/>
    <x v="2"/>
    <n v="50.8"/>
    <x v="1388"/>
    <x v="64"/>
    <d v="2025-03-06T00:00:00"/>
    <x v="2"/>
    <x v="4"/>
    <x v="0"/>
    <x v="0"/>
    <x v="17"/>
    <x v="7"/>
    <x v="9"/>
    <x v="2"/>
  </r>
  <r>
    <x v="1756"/>
    <x v="9"/>
    <x v="0"/>
    <n v="76"/>
    <x v="998"/>
    <x v="64"/>
    <d v="2025-03-10T00:00:00"/>
    <x v="3"/>
    <x v="2"/>
    <x v="2"/>
    <x v="0"/>
    <x v="17"/>
    <x v="5"/>
    <x v="9"/>
    <x v="0"/>
  </r>
  <r>
    <x v="1757"/>
    <x v="1"/>
    <x v="1"/>
    <n v="51.9"/>
    <x v="1389"/>
    <x v="64"/>
    <d v="2025-03-07T00:00:00"/>
    <x v="1"/>
    <x v="1"/>
    <x v="2"/>
    <x v="0"/>
    <x v="26"/>
    <x v="3"/>
    <x v="9"/>
    <x v="1"/>
  </r>
  <r>
    <x v="1758"/>
    <x v="2"/>
    <x v="1"/>
    <n v="93.4"/>
    <x v="1390"/>
    <x v="64"/>
    <d v="2025-03-13T00:00:00"/>
    <x v="1"/>
    <x v="0"/>
    <x v="3"/>
    <x v="0"/>
    <x v="11"/>
    <x v="6"/>
    <x v="9"/>
    <x v="1"/>
  </r>
  <r>
    <x v="1759"/>
    <x v="7"/>
    <x v="13"/>
    <n v="30.8"/>
    <x v="827"/>
    <x v="64"/>
    <d v="2025-03-09T00:00:00"/>
    <x v="2"/>
    <x v="1"/>
    <x v="0"/>
    <x v="0"/>
    <x v="11"/>
    <x v="2"/>
    <x v="9"/>
    <x v="2"/>
  </r>
  <r>
    <x v="1760"/>
    <x v="2"/>
    <x v="0"/>
    <n v="143.19999999999999"/>
    <x v="1391"/>
    <x v="64"/>
    <d v="2025-03-09T00:00:00"/>
    <x v="1"/>
    <x v="2"/>
    <x v="0"/>
    <x v="0"/>
    <x v="11"/>
    <x v="2"/>
    <x v="9"/>
    <x v="1"/>
  </r>
  <r>
    <x v="1761"/>
    <x v="6"/>
    <x v="5"/>
    <n v="40.4"/>
    <x v="1392"/>
    <x v="64"/>
    <d v="2025-03-08T00:00:00"/>
    <x v="1"/>
    <x v="2"/>
    <x v="2"/>
    <x v="0"/>
    <x v="18"/>
    <x v="1"/>
    <x v="9"/>
    <x v="1"/>
  </r>
  <r>
    <x v="1762"/>
    <x v="2"/>
    <x v="10"/>
    <n v="131.5"/>
    <x v="1393"/>
    <x v="64"/>
    <d v="2025-03-08T00:00:00"/>
    <x v="1"/>
    <x v="1"/>
    <x v="1"/>
    <x v="0"/>
    <x v="18"/>
    <x v="1"/>
    <x v="9"/>
    <x v="1"/>
  </r>
  <r>
    <x v="1763"/>
    <x v="18"/>
    <x v="3"/>
    <n v="61.6"/>
    <x v="348"/>
    <x v="64"/>
    <d v="2025-03-07T00:00:00"/>
    <x v="1"/>
    <x v="2"/>
    <x v="0"/>
    <x v="0"/>
    <x v="21"/>
    <x v="3"/>
    <x v="9"/>
    <x v="1"/>
  </r>
  <r>
    <x v="1764"/>
    <x v="9"/>
    <x v="9"/>
    <n v="32.700000000000003"/>
    <x v="838"/>
    <x v="64"/>
    <d v="2025-03-08T00:00:00"/>
    <x v="1"/>
    <x v="2"/>
    <x v="0"/>
    <x v="0"/>
    <x v="1"/>
    <x v="1"/>
    <x v="9"/>
    <x v="1"/>
  </r>
  <r>
    <x v="1765"/>
    <x v="0"/>
    <x v="7"/>
    <n v="13.7"/>
    <x v="383"/>
    <x v="64"/>
    <d v="2025-03-07T00:00:00"/>
    <x v="1"/>
    <x v="0"/>
    <x v="2"/>
    <x v="0"/>
    <x v="3"/>
    <x v="3"/>
    <x v="9"/>
    <x v="1"/>
  </r>
  <r>
    <x v="1766"/>
    <x v="0"/>
    <x v="12"/>
    <n v="32.1"/>
    <x v="58"/>
    <x v="64"/>
    <d v="2025-03-07T00:00:00"/>
    <x v="1"/>
    <x v="4"/>
    <x v="1"/>
    <x v="0"/>
    <x v="3"/>
    <x v="3"/>
    <x v="9"/>
    <x v="1"/>
  </r>
  <r>
    <x v="1767"/>
    <x v="14"/>
    <x v="8"/>
    <n v="12"/>
    <x v="854"/>
    <x v="64"/>
    <d v="2025-03-07T00:00:00"/>
    <x v="1"/>
    <x v="1"/>
    <x v="0"/>
    <x v="0"/>
    <x v="24"/>
    <x v="3"/>
    <x v="9"/>
    <x v="1"/>
  </r>
  <r>
    <x v="1768"/>
    <x v="12"/>
    <x v="0"/>
    <n v="64.3"/>
    <x v="1394"/>
    <x v="64"/>
    <d v="2025-03-08T00:00:00"/>
    <x v="2"/>
    <x v="2"/>
    <x v="2"/>
    <x v="0"/>
    <x v="6"/>
    <x v="1"/>
    <x v="9"/>
    <x v="2"/>
  </r>
  <r>
    <x v="1769"/>
    <x v="1"/>
    <x v="2"/>
    <n v="58.2"/>
    <x v="1395"/>
    <x v="64"/>
    <d v="2025-03-08T00:00:00"/>
    <x v="2"/>
    <x v="1"/>
    <x v="2"/>
    <x v="0"/>
    <x v="6"/>
    <x v="1"/>
    <x v="9"/>
    <x v="2"/>
  </r>
  <r>
    <x v="1770"/>
    <x v="6"/>
    <x v="12"/>
    <n v="59.2"/>
    <x v="1396"/>
    <x v="64"/>
    <d v="2025-03-06T00:00:00"/>
    <x v="1"/>
    <x v="1"/>
    <x v="2"/>
    <x v="0"/>
    <x v="6"/>
    <x v="7"/>
    <x v="9"/>
    <x v="1"/>
  </r>
  <r>
    <x v="1771"/>
    <x v="10"/>
    <x v="5"/>
    <n v="35.6"/>
    <x v="590"/>
    <x v="64"/>
    <d v="2025-03-13T00:00:00"/>
    <x v="1"/>
    <x v="0"/>
    <x v="2"/>
    <x v="0"/>
    <x v="8"/>
    <x v="6"/>
    <x v="9"/>
    <x v="1"/>
  </r>
  <r>
    <x v="1772"/>
    <x v="16"/>
    <x v="8"/>
    <n v="37"/>
    <x v="1397"/>
    <x v="64"/>
    <d v="2025-03-10T00:00:00"/>
    <x v="2"/>
    <x v="2"/>
    <x v="1"/>
    <x v="0"/>
    <x v="8"/>
    <x v="5"/>
    <x v="9"/>
    <x v="2"/>
  </r>
  <r>
    <x v="1773"/>
    <x v="1"/>
    <x v="15"/>
    <n v="80.8"/>
    <x v="1398"/>
    <x v="64"/>
    <d v="2025-03-08T00:00:00"/>
    <x v="2"/>
    <x v="0"/>
    <x v="0"/>
    <x v="0"/>
    <x v="8"/>
    <x v="1"/>
    <x v="9"/>
    <x v="2"/>
  </r>
  <r>
    <x v="1774"/>
    <x v="8"/>
    <x v="1"/>
    <n v="63.2"/>
    <x v="628"/>
    <x v="64"/>
    <d v="2025-03-07T00:00:00"/>
    <x v="1"/>
    <x v="0"/>
    <x v="1"/>
    <x v="0"/>
    <x v="8"/>
    <x v="3"/>
    <x v="9"/>
    <x v="1"/>
  </r>
  <r>
    <x v="1775"/>
    <x v="3"/>
    <x v="1"/>
    <n v="40.799999999999997"/>
    <x v="330"/>
    <x v="64"/>
    <d v="2025-03-08T00:00:00"/>
    <x v="1"/>
    <x v="0"/>
    <x v="1"/>
    <x v="0"/>
    <x v="17"/>
    <x v="1"/>
    <x v="9"/>
    <x v="1"/>
  </r>
  <r>
    <x v="1776"/>
    <x v="13"/>
    <x v="13"/>
    <n v="25.7"/>
    <x v="1399"/>
    <x v="64"/>
    <d v="2025-03-08T00:00:00"/>
    <x v="1"/>
    <x v="4"/>
    <x v="0"/>
    <x v="0"/>
    <x v="18"/>
    <x v="1"/>
    <x v="9"/>
    <x v="1"/>
  </r>
  <r>
    <x v="1777"/>
    <x v="16"/>
    <x v="1"/>
    <n v="49.9"/>
    <x v="350"/>
    <x v="64"/>
    <d v="2025-03-09T00:00:00"/>
    <x v="1"/>
    <x v="0"/>
    <x v="0"/>
    <x v="0"/>
    <x v="20"/>
    <x v="2"/>
    <x v="9"/>
    <x v="1"/>
  </r>
  <r>
    <x v="1778"/>
    <x v="8"/>
    <x v="1"/>
    <n v="20.2"/>
    <x v="1400"/>
    <x v="64"/>
    <d v="2025-03-08T00:00:00"/>
    <x v="2"/>
    <x v="3"/>
    <x v="0"/>
    <x v="0"/>
    <x v="21"/>
    <x v="1"/>
    <x v="9"/>
    <x v="2"/>
  </r>
  <r>
    <x v="1779"/>
    <x v="6"/>
    <x v="2"/>
    <n v="48.4"/>
    <x v="1401"/>
    <x v="64"/>
    <d v="2025-03-11T00:00:00"/>
    <x v="2"/>
    <x v="0"/>
    <x v="2"/>
    <x v="0"/>
    <x v="21"/>
    <x v="0"/>
    <x v="9"/>
    <x v="2"/>
  </r>
  <r>
    <x v="1780"/>
    <x v="6"/>
    <x v="1"/>
    <n v="81"/>
    <x v="915"/>
    <x v="64"/>
    <d v="2025-03-07T00:00:00"/>
    <x v="2"/>
    <x v="1"/>
    <x v="2"/>
    <x v="0"/>
    <x v="21"/>
    <x v="3"/>
    <x v="9"/>
    <x v="2"/>
  </r>
  <r>
    <x v="1781"/>
    <x v="8"/>
    <x v="13"/>
    <n v="19.899999999999999"/>
    <x v="1402"/>
    <x v="64"/>
    <d v="2025-03-09T00:00:00"/>
    <x v="2"/>
    <x v="0"/>
    <x v="1"/>
    <x v="0"/>
    <x v="22"/>
    <x v="2"/>
    <x v="9"/>
    <x v="2"/>
  </r>
  <r>
    <x v="1782"/>
    <x v="4"/>
    <x v="12"/>
    <n v="32.200000000000003"/>
    <x v="1403"/>
    <x v="64"/>
    <d v="2025-03-16T00:00:00"/>
    <x v="1"/>
    <x v="0"/>
    <x v="0"/>
    <x v="0"/>
    <x v="22"/>
    <x v="14"/>
    <x v="9"/>
    <x v="1"/>
  </r>
  <r>
    <x v="1783"/>
    <x v="5"/>
    <x v="2"/>
    <n v="76.8"/>
    <x v="1404"/>
    <x v="64"/>
    <d v="2025-03-07T00:00:00"/>
    <x v="2"/>
    <x v="0"/>
    <x v="1"/>
    <x v="0"/>
    <x v="3"/>
    <x v="3"/>
    <x v="9"/>
    <x v="2"/>
  </r>
  <r>
    <x v="1784"/>
    <x v="6"/>
    <x v="1"/>
    <n v="41.9"/>
    <x v="1405"/>
    <x v="64"/>
    <d v="2025-03-08T00:00:00"/>
    <x v="2"/>
    <x v="0"/>
    <x v="0"/>
    <x v="0"/>
    <x v="3"/>
    <x v="1"/>
    <x v="9"/>
    <x v="2"/>
  </r>
  <r>
    <x v="1785"/>
    <x v="0"/>
    <x v="3"/>
    <n v="34"/>
    <x v="1248"/>
    <x v="64"/>
    <d v="2025-03-08T00:00:00"/>
    <x v="2"/>
    <x v="1"/>
    <x v="2"/>
    <x v="0"/>
    <x v="3"/>
    <x v="1"/>
    <x v="9"/>
    <x v="2"/>
  </r>
  <r>
    <x v="1786"/>
    <x v="7"/>
    <x v="3"/>
    <n v="61.3"/>
    <x v="1406"/>
    <x v="64"/>
    <d v="2025-03-06T00:00:00"/>
    <x v="2"/>
    <x v="4"/>
    <x v="2"/>
    <x v="0"/>
    <x v="3"/>
    <x v="7"/>
    <x v="9"/>
    <x v="2"/>
  </r>
  <r>
    <x v="1787"/>
    <x v="9"/>
    <x v="0"/>
    <n v="54.7"/>
    <x v="1407"/>
    <x v="65"/>
    <d v="2025-03-08T00:00:00"/>
    <x v="1"/>
    <x v="0"/>
    <x v="1"/>
    <x v="0"/>
    <x v="3"/>
    <x v="3"/>
    <x v="9"/>
    <x v="1"/>
  </r>
  <r>
    <x v="1788"/>
    <x v="6"/>
    <x v="7"/>
    <n v="84.7"/>
    <x v="1408"/>
    <x v="65"/>
    <d v="2025-03-11T00:00:00"/>
    <x v="2"/>
    <x v="0"/>
    <x v="0"/>
    <x v="0"/>
    <x v="3"/>
    <x v="5"/>
    <x v="9"/>
    <x v="2"/>
  </r>
  <r>
    <x v="1789"/>
    <x v="1"/>
    <x v="2"/>
    <n v="93.4"/>
    <x v="1409"/>
    <x v="65"/>
    <d v="2025-03-11T00:00:00"/>
    <x v="2"/>
    <x v="3"/>
    <x v="0"/>
    <x v="0"/>
    <x v="3"/>
    <x v="5"/>
    <x v="9"/>
    <x v="2"/>
  </r>
  <r>
    <x v="1790"/>
    <x v="8"/>
    <x v="9"/>
    <n v="27"/>
    <x v="340"/>
    <x v="65"/>
    <d v="2025-03-10T00:00:00"/>
    <x v="1"/>
    <x v="0"/>
    <x v="1"/>
    <x v="0"/>
    <x v="3"/>
    <x v="2"/>
    <x v="9"/>
    <x v="1"/>
  </r>
  <r>
    <x v="1791"/>
    <x v="0"/>
    <x v="12"/>
    <n v="10.9"/>
    <x v="1195"/>
    <x v="65"/>
    <d v="2025-03-08T00:00:00"/>
    <x v="1"/>
    <x v="2"/>
    <x v="0"/>
    <x v="0"/>
    <x v="3"/>
    <x v="3"/>
    <x v="9"/>
    <x v="1"/>
  </r>
  <r>
    <x v="1792"/>
    <x v="16"/>
    <x v="2"/>
    <n v="48"/>
    <x v="1410"/>
    <x v="65"/>
    <d v="2025-03-12T00:00:00"/>
    <x v="2"/>
    <x v="4"/>
    <x v="0"/>
    <x v="0"/>
    <x v="3"/>
    <x v="0"/>
    <x v="9"/>
    <x v="2"/>
  </r>
  <r>
    <x v="1793"/>
    <x v="5"/>
    <x v="1"/>
    <n v="67.900000000000006"/>
    <x v="1411"/>
    <x v="65"/>
    <d v="2025-03-08T00:00:00"/>
    <x v="1"/>
    <x v="0"/>
    <x v="2"/>
    <x v="0"/>
    <x v="23"/>
    <x v="3"/>
    <x v="9"/>
    <x v="1"/>
  </r>
  <r>
    <x v="1794"/>
    <x v="4"/>
    <x v="2"/>
    <n v="36"/>
    <x v="807"/>
    <x v="65"/>
    <d v="2025-03-08T00:00:00"/>
    <x v="1"/>
    <x v="1"/>
    <x v="0"/>
    <x v="0"/>
    <x v="6"/>
    <x v="3"/>
    <x v="9"/>
    <x v="1"/>
  </r>
  <r>
    <x v="1795"/>
    <x v="2"/>
    <x v="0"/>
    <n v="128.80000000000001"/>
    <x v="1403"/>
    <x v="65"/>
    <d v="2025-03-08T00:00:00"/>
    <x v="1"/>
    <x v="4"/>
    <x v="2"/>
    <x v="0"/>
    <x v="6"/>
    <x v="3"/>
    <x v="9"/>
    <x v="1"/>
  </r>
  <r>
    <x v="1796"/>
    <x v="18"/>
    <x v="3"/>
    <n v="33.299999999999997"/>
    <x v="1412"/>
    <x v="65"/>
    <d v="2025-03-08T00:00:00"/>
    <x v="2"/>
    <x v="3"/>
    <x v="0"/>
    <x v="0"/>
    <x v="8"/>
    <x v="3"/>
    <x v="9"/>
    <x v="2"/>
  </r>
  <r>
    <x v="1797"/>
    <x v="10"/>
    <x v="2"/>
    <n v="37.799999999999997"/>
    <x v="1413"/>
    <x v="65"/>
    <d v="2025-03-09T00:00:00"/>
    <x v="1"/>
    <x v="1"/>
    <x v="2"/>
    <x v="0"/>
    <x v="8"/>
    <x v="1"/>
    <x v="9"/>
    <x v="1"/>
  </r>
  <r>
    <x v="1798"/>
    <x v="5"/>
    <x v="2"/>
    <n v="26"/>
    <x v="292"/>
    <x v="65"/>
    <d v="2025-03-12T00:00:00"/>
    <x v="2"/>
    <x v="0"/>
    <x v="0"/>
    <x v="0"/>
    <x v="8"/>
    <x v="0"/>
    <x v="9"/>
    <x v="2"/>
  </r>
  <r>
    <x v="1799"/>
    <x v="8"/>
    <x v="10"/>
    <n v="28.3"/>
    <x v="1414"/>
    <x v="65"/>
    <d v="2025-03-08T00:00:00"/>
    <x v="2"/>
    <x v="3"/>
    <x v="4"/>
    <x v="0"/>
    <x v="8"/>
    <x v="3"/>
    <x v="9"/>
    <x v="2"/>
  </r>
  <r>
    <x v="1800"/>
    <x v="8"/>
    <x v="12"/>
    <n v="31.3"/>
    <x v="1415"/>
    <x v="65"/>
    <d v="2025-03-07T00:00:00"/>
    <x v="2"/>
    <x v="0"/>
    <x v="0"/>
    <x v="0"/>
    <x v="8"/>
    <x v="7"/>
    <x v="9"/>
    <x v="2"/>
  </r>
  <r>
    <x v="1801"/>
    <x v="7"/>
    <x v="2"/>
    <n v="69.5"/>
    <x v="1416"/>
    <x v="65"/>
    <d v="2025-03-08T00:00:00"/>
    <x v="2"/>
    <x v="3"/>
    <x v="2"/>
    <x v="0"/>
    <x v="8"/>
    <x v="3"/>
    <x v="9"/>
    <x v="2"/>
  </r>
  <r>
    <x v="1802"/>
    <x v="0"/>
    <x v="1"/>
    <n v="16.7"/>
    <x v="1417"/>
    <x v="65"/>
    <d v="2025-03-08T00:00:00"/>
    <x v="2"/>
    <x v="3"/>
    <x v="1"/>
    <x v="0"/>
    <x v="8"/>
    <x v="3"/>
    <x v="9"/>
    <x v="2"/>
  </r>
  <r>
    <x v="1803"/>
    <x v="9"/>
    <x v="1"/>
    <n v="62.6"/>
    <x v="1415"/>
    <x v="65"/>
    <d v="2025-03-08T00:00:00"/>
    <x v="1"/>
    <x v="2"/>
    <x v="2"/>
    <x v="0"/>
    <x v="9"/>
    <x v="3"/>
    <x v="9"/>
    <x v="1"/>
  </r>
  <r>
    <x v="1804"/>
    <x v="7"/>
    <x v="0"/>
    <n v="81.2"/>
    <x v="1101"/>
    <x v="65"/>
    <d v="2025-03-13T00:00:00"/>
    <x v="1"/>
    <x v="4"/>
    <x v="4"/>
    <x v="0"/>
    <x v="9"/>
    <x v="4"/>
    <x v="9"/>
    <x v="1"/>
  </r>
  <r>
    <x v="1805"/>
    <x v="0"/>
    <x v="7"/>
    <n v="12.7"/>
    <x v="520"/>
    <x v="65"/>
    <d v="2025-03-08T00:00:00"/>
    <x v="2"/>
    <x v="0"/>
    <x v="2"/>
    <x v="0"/>
    <x v="9"/>
    <x v="3"/>
    <x v="9"/>
    <x v="2"/>
  </r>
  <r>
    <x v="1806"/>
    <x v="7"/>
    <x v="12"/>
    <n v="77.7"/>
    <x v="1418"/>
    <x v="66"/>
    <d v="2025-03-12T00:00:00"/>
    <x v="1"/>
    <x v="1"/>
    <x v="0"/>
    <x v="0"/>
    <x v="11"/>
    <x v="5"/>
    <x v="9"/>
    <x v="1"/>
  </r>
  <r>
    <x v="1807"/>
    <x v="5"/>
    <x v="1"/>
    <n v="37.299999999999997"/>
    <x v="110"/>
    <x v="66"/>
    <d v="2025-03-09T00:00:00"/>
    <x v="2"/>
    <x v="0"/>
    <x v="2"/>
    <x v="0"/>
    <x v="18"/>
    <x v="3"/>
    <x v="9"/>
    <x v="2"/>
  </r>
  <r>
    <x v="1808"/>
    <x v="10"/>
    <x v="12"/>
    <n v="35.6"/>
    <x v="1419"/>
    <x v="66"/>
    <d v="2025-03-10T00:00:00"/>
    <x v="2"/>
    <x v="1"/>
    <x v="1"/>
    <x v="0"/>
    <x v="19"/>
    <x v="1"/>
    <x v="9"/>
    <x v="2"/>
  </r>
  <r>
    <x v="1809"/>
    <x v="2"/>
    <x v="2"/>
    <n v="95"/>
    <x v="1420"/>
    <x v="66"/>
    <d v="2025-03-12T00:00:00"/>
    <x v="2"/>
    <x v="2"/>
    <x v="2"/>
    <x v="0"/>
    <x v="56"/>
    <x v="5"/>
    <x v="9"/>
    <x v="2"/>
  </r>
  <r>
    <x v="1810"/>
    <x v="2"/>
    <x v="12"/>
    <n v="172.1"/>
    <x v="1421"/>
    <x v="66"/>
    <d v="2025-03-12T00:00:00"/>
    <x v="3"/>
    <x v="2"/>
    <x v="2"/>
    <x v="0"/>
    <x v="21"/>
    <x v="5"/>
    <x v="9"/>
    <x v="0"/>
  </r>
  <r>
    <x v="1811"/>
    <x v="2"/>
    <x v="1"/>
    <n v="233"/>
    <x v="1147"/>
    <x v="66"/>
    <d v="2025-03-11T00:00:00"/>
    <x v="2"/>
    <x v="1"/>
    <x v="0"/>
    <x v="0"/>
    <x v="21"/>
    <x v="2"/>
    <x v="9"/>
    <x v="2"/>
  </r>
  <r>
    <x v="1812"/>
    <x v="0"/>
    <x v="0"/>
    <n v="43.5"/>
    <x v="1422"/>
    <x v="66"/>
    <d v="2025-03-09T00:00:00"/>
    <x v="2"/>
    <x v="2"/>
    <x v="2"/>
    <x v="0"/>
    <x v="21"/>
    <x v="3"/>
    <x v="9"/>
    <x v="2"/>
  </r>
  <r>
    <x v="1813"/>
    <x v="9"/>
    <x v="1"/>
    <n v="47.8"/>
    <x v="139"/>
    <x v="66"/>
    <d v="2025-03-11T00:00:00"/>
    <x v="1"/>
    <x v="4"/>
    <x v="2"/>
    <x v="0"/>
    <x v="1"/>
    <x v="2"/>
    <x v="9"/>
    <x v="1"/>
  </r>
  <r>
    <x v="1814"/>
    <x v="12"/>
    <x v="1"/>
    <n v="65.8"/>
    <x v="1423"/>
    <x v="66"/>
    <d v="2025-03-10T00:00:00"/>
    <x v="2"/>
    <x v="0"/>
    <x v="3"/>
    <x v="0"/>
    <x v="33"/>
    <x v="1"/>
    <x v="9"/>
    <x v="2"/>
  </r>
  <r>
    <x v="1815"/>
    <x v="15"/>
    <x v="5"/>
    <n v="38.700000000000003"/>
    <x v="1424"/>
    <x v="66"/>
    <d v="2025-03-08T00:00:00"/>
    <x v="1"/>
    <x v="0"/>
    <x v="0"/>
    <x v="0"/>
    <x v="22"/>
    <x v="7"/>
    <x v="9"/>
    <x v="1"/>
  </r>
  <r>
    <x v="1816"/>
    <x v="3"/>
    <x v="12"/>
    <n v="55.7"/>
    <x v="839"/>
    <x v="66"/>
    <d v="2025-03-10T00:00:00"/>
    <x v="3"/>
    <x v="0"/>
    <x v="1"/>
    <x v="0"/>
    <x v="22"/>
    <x v="1"/>
    <x v="9"/>
    <x v="0"/>
  </r>
  <r>
    <x v="1817"/>
    <x v="7"/>
    <x v="1"/>
    <n v="102.4"/>
    <x v="403"/>
    <x v="66"/>
    <d v="2025-03-08T00:00:00"/>
    <x v="2"/>
    <x v="1"/>
    <x v="0"/>
    <x v="0"/>
    <x v="3"/>
    <x v="7"/>
    <x v="9"/>
    <x v="2"/>
  </r>
  <r>
    <x v="1818"/>
    <x v="1"/>
    <x v="0"/>
    <n v="92"/>
    <x v="988"/>
    <x v="66"/>
    <d v="2025-03-12T00:00:00"/>
    <x v="0"/>
    <x v="2"/>
    <x v="0"/>
    <x v="0"/>
    <x v="3"/>
    <x v="5"/>
    <x v="9"/>
    <x v="0"/>
  </r>
  <r>
    <x v="1819"/>
    <x v="6"/>
    <x v="12"/>
    <n v="75.900000000000006"/>
    <x v="80"/>
    <x v="66"/>
    <d v="2025-03-10T00:00:00"/>
    <x v="2"/>
    <x v="1"/>
    <x v="0"/>
    <x v="0"/>
    <x v="3"/>
    <x v="1"/>
    <x v="9"/>
    <x v="2"/>
  </r>
  <r>
    <x v="1820"/>
    <x v="1"/>
    <x v="12"/>
    <n v="36.200000000000003"/>
    <x v="353"/>
    <x v="66"/>
    <d v="2025-03-09T00:00:00"/>
    <x v="2"/>
    <x v="1"/>
    <x v="0"/>
    <x v="0"/>
    <x v="3"/>
    <x v="3"/>
    <x v="9"/>
    <x v="2"/>
  </r>
  <r>
    <x v="1821"/>
    <x v="6"/>
    <x v="45"/>
    <n v="83.5"/>
    <x v="1425"/>
    <x v="66"/>
    <d v="2025-03-10T00:00:00"/>
    <x v="0"/>
    <x v="3"/>
    <x v="0"/>
    <x v="0"/>
    <x v="3"/>
    <x v="1"/>
    <x v="9"/>
    <x v="0"/>
  </r>
  <r>
    <x v="1822"/>
    <x v="19"/>
    <x v="4"/>
    <n v="52.4"/>
    <x v="1092"/>
    <x v="66"/>
    <d v="2025-03-08T00:00:00"/>
    <x v="1"/>
    <x v="2"/>
    <x v="0"/>
    <x v="0"/>
    <x v="3"/>
    <x v="7"/>
    <x v="9"/>
    <x v="1"/>
  </r>
  <r>
    <x v="1823"/>
    <x v="12"/>
    <x v="2"/>
    <n v="69.5"/>
    <x v="1416"/>
    <x v="66"/>
    <d v="2025-03-09T00:00:00"/>
    <x v="3"/>
    <x v="4"/>
    <x v="0"/>
    <x v="0"/>
    <x v="3"/>
    <x v="3"/>
    <x v="9"/>
    <x v="0"/>
  </r>
  <r>
    <x v="1824"/>
    <x v="0"/>
    <x v="0"/>
    <n v="15.5"/>
    <x v="1426"/>
    <x v="66"/>
    <d v="2025-03-10T00:00:00"/>
    <x v="1"/>
    <x v="0"/>
    <x v="0"/>
    <x v="0"/>
    <x v="3"/>
    <x v="1"/>
    <x v="9"/>
    <x v="1"/>
  </r>
  <r>
    <x v="1825"/>
    <x v="4"/>
    <x v="12"/>
    <n v="35.200000000000003"/>
    <x v="1427"/>
    <x v="66"/>
    <d v="2025-03-09T00:00:00"/>
    <x v="2"/>
    <x v="2"/>
    <x v="2"/>
    <x v="0"/>
    <x v="3"/>
    <x v="3"/>
    <x v="9"/>
    <x v="2"/>
  </r>
  <r>
    <x v="1826"/>
    <x v="8"/>
    <x v="13"/>
    <n v="34.6"/>
    <x v="1428"/>
    <x v="66"/>
    <d v="2025-03-09T00:00:00"/>
    <x v="0"/>
    <x v="0"/>
    <x v="1"/>
    <x v="0"/>
    <x v="3"/>
    <x v="3"/>
    <x v="9"/>
    <x v="0"/>
  </r>
  <r>
    <x v="1827"/>
    <x v="4"/>
    <x v="0"/>
    <n v="21.3"/>
    <x v="1429"/>
    <x v="67"/>
    <d v="2025-03-10T00:00:00"/>
    <x v="1"/>
    <x v="2"/>
    <x v="1"/>
    <x v="0"/>
    <x v="3"/>
    <x v="3"/>
    <x v="10"/>
    <x v="1"/>
  </r>
  <r>
    <x v="1828"/>
    <x v="6"/>
    <x v="1"/>
    <n v="136.5"/>
    <x v="1430"/>
    <x v="67"/>
    <d v="2025-03-15T00:00:00"/>
    <x v="2"/>
    <x v="0"/>
    <x v="0"/>
    <x v="0"/>
    <x v="37"/>
    <x v="4"/>
    <x v="10"/>
    <x v="2"/>
  </r>
  <r>
    <x v="1829"/>
    <x v="9"/>
    <x v="3"/>
    <n v="30.7"/>
    <x v="1431"/>
    <x v="67"/>
    <d v="2025-03-10T00:00:00"/>
    <x v="1"/>
    <x v="2"/>
    <x v="2"/>
    <x v="0"/>
    <x v="25"/>
    <x v="3"/>
    <x v="10"/>
    <x v="1"/>
  </r>
  <r>
    <x v="1830"/>
    <x v="1"/>
    <x v="1"/>
    <n v="61.6"/>
    <x v="1432"/>
    <x v="67"/>
    <d v="2025-03-10T00:00:00"/>
    <x v="2"/>
    <x v="2"/>
    <x v="2"/>
    <x v="0"/>
    <x v="23"/>
    <x v="3"/>
    <x v="10"/>
    <x v="2"/>
  </r>
  <r>
    <x v="1831"/>
    <x v="6"/>
    <x v="12"/>
    <n v="54.3"/>
    <x v="1433"/>
    <x v="67"/>
    <d v="2025-03-11T00:00:00"/>
    <x v="0"/>
    <x v="4"/>
    <x v="0"/>
    <x v="0"/>
    <x v="7"/>
    <x v="1"/>
    <x v="10"/>
    <x v="0"/>
  </r>
  <r>
    <x v="1832"/>
    <x v="1"/>
    <x v="1"/>
    <n v="44.1"/>
    <x v="1047"/>
    <x v="67"/>
    <d v="2025-03-21T00:00:00"/>
    <x v="2"/>
    <x v="0"/>
    <x v="2"/>
    <x v="0"/>
    <x v="8"/>
    <x v="13"/>
    <x v="10"/>
    <x v="2"/>
  </r>
  <r>
    <x v="1833"/>
    <x v="8"/>
    <x v="12"/>
    <n v="43.5"/>
    <x v="1434"/>
    <x v="67"/>
    <d v="2025-03-15T00:00:00"/>
    <x v="1"/>
    <x v="3"/>
    <x v="0"/>
    <x v="0"/>
    <x v="8"/>
    <x v="4"/>
    <x v="10"/>
    <x v="1"/>
  </r>
  <r>
    <x v="1834"/>
    <x v="8"/>
    <x v="2"/>
    <n v="48.2"/>
    <x v="1435"/>
    <x v="67"/>
    <d v="2025-03-13T00:00:00"/>
    <x v="1"/>
    <x v="3"/>
    <x v="1"/>
    <x v="0"/>
    <x v="8"/>
    <x v="5"/>
    <x v="10"/>
    <x v="1"/>
  </r>
  <r>
    <x v="1835"/>
    <x v="19"/>
    <x v="0"/>
    <n v="13.7"/>
    <x v="1436"/>
    <x v="67"/>
    <d v="2025-03-10T00:00:00"/>
    <x v="2"/>
    <x v="2"/>
    <x v="2"/>
    <x v="0"/>
    <x v="8"/>
    <x v="3"/>
    <x v="10"/>
    <x v="2"/>
  </r>
  <r>
    <x v="1836"/>
    <x v="2"/>
    <x v="1"/>
    <n v="110.5"/>
    <x v="1437"/>
    <x v="67"/>
    <d v="2025-03-10T00:00:00"/>
    <x v="2"/>
    <x v="0"/>
    <x v="1"/>
    <x v="0"/>
    <x v="8"/>
    <x v="3"/>
    <x v="10"/>
    <x v="2"/>
  </r>
  <r>
    <x v="1837"/>
    <x v="8"/>
    <x v="2"/>
    <n v="26"/>
    <x v="292"/>
    <x v="67"/>
    <d v="2025-03-14T00:00:00"/>
    <x v="2"/>
    <x v="1"/>
    <x v="1"/>
    <x v="0"/>
    <x v="8"/>
    <x v="0"/>
    <x v="10"/>
    <x v="2"/>
  </r>
  <r>
    <x v="1838"/>
    <x v="2"/>
    <x v="7"/>
    <n v="140.69999999999999"/>
    <x v="1438"/>
    <x v="67"/>
    <d v="2025-03-15T00:00:00"/>
    <x v="1"/>
    <x v="3"/>
    <x v="1"/>
    <x v="0"/>
    <x v="8"/>
    <x v="4"/>
    <x v="10"/>
    <x v="1"/>
  </r>
  <r>
    <x v="1839"/>
    <x v="17"/>
    <x v="1"/>
    <n v="41.7"/>
    <x v="925"/>
    <x v="67"/>
    <d v="2025-03-17T00:00:00"/>
    <x v="2"/>
    <x v="0"/>
    <x v="4"/>
    <x v="0"/>
    <x v="8"/>
    <x v="9"/>
    <x v="10"/>
    <x v="2"/>
  </r>
  <r>
    <x v="1840"/>
    <x v="2"/>
    <x v="1"/>
    <n v="135.1"/>
    <x v="1439"/>
    <x v="67"/>
    <d v="2025-03-10T00:00:00"/>
    <x v="1"/>
    <x v="0"/>
    <x v="2"/>
    <x v="0"/>
    <x v="17"/>
    <x v="3"/>
    <x v="10"/>
    <x v="1"/>
  </r>
  <r>
    <x v="1841"/>
    <x v="12"/>
    <x v="32"/>
    <n v="95.5"/>
    <x v="1440"/>
    <x v="67"/>
    <d v="2025-03-10T00:00:00"/>
    <x v="2"/>
    <x v="4"/>
    <x v="4"/>
    <x v="0"/>
    <x v="26"/>
    <x v="3"/>
    <x v="10"/>
    <x v="2"/>
  </r>
  <r>
    <x v="1842"/>
    <x v="15"/>
    <x v="0"/>
    <n v="25.5"/>
    <x v="1441"/>
    <x v="67"/>
    <d v="2025-03-12T00:00:00"/>
    <x v="0"/>
    <x v="2"/>
    <x v="2"/>
    <x v="0"/>
    <x v="11"/>
    <x v="2"/>
    <x v="10"/>
    <x v="0"/>
  </r>
  <r>
    <x v="1843"/>
    <x v="1"/>
    <x v="0"/>
    <n v="42.6"/>
    <x v="440"/>
    <x v="67"/>
    <d v="2025-03-13T00:00:00"/>
    <x v="2"/>
    <x v="0"/>
    <x v="0"/>
    <x v="0"/>
    <x v="11"/>
    <x v="5"/>
    <x v="10"/>
    <x v="2"/>
  </r>
  <r>
    <x v="1844"/>
    <x v="8"/>
    <x v="20"/>
    <n v="32.4"/>
    <x v="1442"/>
    <x v="67"/>
    <d v="2025-03-10T00:00:00"/>
    <x v="1"/>
    <x v="1"/>
    <x v="1"/>
    <x v="0"/>
    <x v="11"/>
    <x v="3"/>
    <x v="10"/>
    <x v="1"/>
  </r>
  <r>
    <x v="1845"/>
    <x v="4"/>
    <x v="12"/>
    <n v="20.2"/>
    <x v="1443"/>
    <x v="67"/>
    <d v="2025-03-10T00:00:00"/>
    <x v="3"/>
    <x v="2"/>
    <x v="0"/>
    <x v="0"/>
    <x v="11"/>
    <x v="3"/>
    <x v="10"/>
    <x v="0"/>
  </r>
  <r>
    <x v="1846"/>
    <x v="16"/>
    <x v="2"/>
    <n v="52.5"/>
    <x v="905"/>
    <x v="67"/>
    <d v="2025-03-14T00:00:00"/>
    <x v="2"/>
    <x v="4"/>
    <x v="0"/>
    <x v="0"/>
    <x v="18"/>
    <x v="0"/>
    <x v="10"/>
    <x v="2"/>
  </r>
  <r>
    <x v="1847"/>
    <x v="2"/>
    <x v="9"/>
    <n v="59.9"/>
    <x v="1444"/>
    <x v="67"/>
    <d v="2025-03-11T00:00:00"/>
    <x v="2"/>
    <x v="2"/>
    <x v="0"/>
    <x v="0"/>
    <x v="19"/>
    <x v="1"/>
    <x v="10"/>
    <x v="2"/>
  </r>
  <r>
    <x v="1848"/>
    <x v="4"/>
    <x v="1"/>
    <n v="53.2"/>
    <x v="793"/>
    <x v="67"/>
    <d v="2025-03-10T00:00:00"/>
    <x v="2"/>
    <x v="1"/>
    <x v="3"/>
    <x v="0"/>
    <x v="20"/>
    <x v="3"/>
    <x v="10"/>
    <x v="2"/>
  </r>
  <r>
    <x v="1849"/>
    <x v="2"/>
    <x v="1"/>
    <n v="60"/>
    <x v="160"/>
    <x v="67"/>
    <d v="2025-03-15T00:00:00"/>
    <x v="1"/>
    <x v="1"/>
    <x v="2"/>
    <x v="0"/>
    <x v="20"/>
    <x v="4"/>
    <x v="10"/>
    <x v="1"/>
  </r>
  <r>
    <x v="1850"/>
    <x v="8"/>
    <x v="2"/>
    <n v="29.3"/>
    <x v="1205"/>
    <x v="67"/>
    <d v="2025-03-10T00:00:00"/>
    <x v="2"/>
    <x v="4"/>
    <x v="0"/>
    <x v="0"/>
    <x v="13"/>
    <x v="3"/>
    <x v="10"/>
    <x v="2"/>
  </r>
  <r>
    <x v="1851"/>
    <x v="12"/>
    <x v="1"/>
    <n v="55.4"/>
    <x v="806"/>
    <x v="67"/>
    <d v="2025-03-10T00:00:00"/>
    <x v="2"/>
    <x v="0"/>
    <x v="2"/>
    <x v="0"/>
    <x v="21"/>
    <x v="3"/>
    <x v="10"/>
    <x v="2"/>
  </r>
  <r>
    <x v="1852"/>
    <x v="0"/>
    <x v="9"/>
    <n v="20.100000000000001"/>
    <x v="427"/>
    <x v="67"/>
    <d v="2025-03-11T00:00:00"/>
    <x v="2"/>
    <x v="1"/>
    <x v="2"/>
    <x v="0"/>
    <x v="21"/>
    <x v="1"/>
    <x v="10"/>
    <x v="2"/>
  </r>
  <r>
    <x v="1853"/>
    <x v="14"/>
    <x v="9"/>
    <n v="24"/>
    <x v="160"/>
    <x v="67"/>
    <d v="2025-03-12T00:00:00"/>
    <x v="1"/>
    <x v="2"/>
    <x v="0"/>
    <x v="0"/>
    <x v="1"/>
    <x v="2"/>
    <x v="10"/>
    <x v="1"/>
  </r>
  <r>
    <x v="1854"/>
    <x v="8"/>
    <x v="1"/>
    <n v="30.6"/>
    <x v="1"/>
    <x v="68"/>
    <d v="2025-03-12T00:00:00"/>
    <x v="2"/>
    <x v="0"/>
    <x v="0"/>
    <x v="0"/>
    <x v="1"/>
    <x v="1"/>
    <x v="10"/>
    <x v="2"/>
  </r>
  <r>
    <x v="1855"/>
    <x v="10"/>
    <x v="9"/>
    <n v="33"/>
    <x v="1445"/>
    <x v="68"/>
    <d v="2025-03-11T00:00:00"/>
    <x v="1"/>
    <x v="1"/>
    <x v="1"/>
    <x v="0"/>
    <x v="27"/>
    <x v="3"/>
    <x v="10"/>
    <x v="1"/>
  </r>
  <r>
    <x v="1856"/>
    <x v="17"/>
    <x v="11"/>
    <n v="42.1"/>
    <x v="1258"/>
    <x v="68"/>
    <d v="2025-03-16T00:00:00"/>
    <x v="2"/>
    <x v="2"/>
    <x v="0"/>
    <x v="0"/>
    <x v="44"/>
    <x v="4"/>
    <x v="10"/>
    <x v="2"/>
  </r>
  <r>
    <x v="1857"/>
    <x v="6"/>
    <x v="3"/>
    <n v="77.7"/>
    <x v="1446"/>
    <x v="68"/>
    <d v="2025-03-15T00:00:00"/>
    <x v="2"/>
    <x v="1"/>
    <x v="2"/>
    <x v="0"/>
    <x v="50"/>
    <x v="0"/>
    <x v="10"/>
    <x v="2"/>
  </r>
  <r>
    <x v="1858"/>
    <x v="17"/>
    <x v="13"/>
    <n v="22.7"/>
    <x v="1134"/>
    <x v="68"/>
    <d v="2025-03-13T00:00:00"/>
    <x v="2"/>
    <x v="2"/>
    <x v="0"/>
    <x v="0"/>
    <x v="3"/>
    <x v="2"/>
    <x v="10"/>
    <x v="2"/>
  </r>
  <r>
    <x v="1859"/>
    <x v="2"/>
    <x v="1"/>
    <n v="133"/>
    <x v="751"/>
    <x v="68"/>
    <d v="2025-03-10T00:00:00"/>
    <x v="1"/>
    <x v="2"/>
    <x v="2"/>
    <x v="0"/>
    <x v="3"/>
    <x v="7"/>
    <x v="10"/>
    <x v="1"/>
  </r>
  <r>
    <x v="1860"/>
    <x v="0"/>
    <x v="1"/>
    <n v="23.3"/>
    <x v="1447"/>
    <x v="68"/>
    <d v="2025-03-11T00:00:00"/>
    <x v="1"/>
    <x v="1"/>
    <x v="2"/>
    <x v="0"/>
    <x v="3"/>
    <x v="3"/>
    <x v="10"/>
    <x v="1"/>
  </r>
  <r>
    <x v="1861"/>
    <x v="8"/>
    <x v="2"/>
    <n v="20.7"/>
    <x v="1448"/>
    <x v="68"/>
    <d v="2025-03-12T00:00:00"/>
    <x v="3"/>
    <x v="0"/>
    <x v="2"/>
    <x v="0"/>
    <x v="3"/>
    <x v="1"/>
    <x v="10"/>
    <x v="0"/>
  </r>
  <r>
    <x v="1862"/>
    <x v="12"/>
    <x v="1"/>
    <n v="47"/>
    <x v="255"/>
    <x v="68"/>
    <d v="2025-03-11T00:00:00"/>
    <x v="1"/>
    <x v="1"/>
    <x v="2"/>
    <x v="0"/>
    <x v="3"/>
    <x v="3"/>
    <x v="10"/>
    <x v="1"/>
  </r>
  <r>
    <x v="1863"/>
    <x v="12"/>
    <x v="2"/>
    <n v="38.200000000000003"/>
    <x v="1449"/>
    <x v="68"/>
    <d v="2025-03-12T00:00:00"/>
    <x v="2"/>
    <x v="2"/>
    <x v="4"/>
    <x v="0"/>
    <x v="3"/>
    <x v="1"/>
    <x v="10"/>
    <x v="2"/>
  </r>
  <r>
    <x v="1864"/>
    <x v="9"/>
    <x v="0"/>
    <n v="39.1"/>
    <x v="923"/>
    <x v="68"/>
    <d v="2025-03-12T00:00:00"/>
    <x v="2"/>
    <x v="0"/>
    <x v="0"/>
    <x v="0"/>
    <x v="3"/>
    <x v="1"/>
    <x v="10"/>
    <x v="2"/>
  </r>
  <r>
    <x v="1865"/>
    <x v="7"/>
    <x v="30"/>
    <n v="55.6"/>
    <x v="1450"/>
    <x v="68"/>
    <d v="2025-03-12T00:00:00"/>
    <x v="1"/>
    <x v="0"/>
    <x v="2"/>
    <x v="0"/>
    <x v="3"/>
    <x v="1"/>
    <x v="10"/>
    <x v="1"/>
  </r>
  <r>
    <x v="1866"/>
    <x v="15"/>
    <x v="0"/>
    <n v="43.1"/>
    <x v="39"/>
    <x v="68"/>
    <d v="2025-03-10T00:00:00"/>
    <x v="3"/>
    <x v="1"/>
    <x v="2"/>
    <x v="0"/>
    <x v="3"/>
    <x v="7"/>
    <x v="10"/>
    <x v="0"/>
  </r>
  <r>
    <x v="1867"/>
    <x v="6"/>
    <x v="12"/>
    <n v="48.1"/>
    <x v="1451"/>
    <x v="68"/>
    <d v="2025-03-11T00:00:00"/>
    <x v="2"/>
    <x v="4"/>
    <x v="2"/>
    <x v="0"/>
    <x v="3"/>
    <x v="3"/>
    <x v="10"/>
    <x v="2"/>
  </r>
  <r>
    <x v="1868"/>
    <x v="4"/>
    <x v="0"/>
    <n v="42"/>
    <x v="337"/>
    <x v="68"/>
    <d v="2025-03-11T00:00:00"/>
    <x v="3"/>
    <x v="0"/>
    <x v="0"/>
    <x v="0"/>
    <x v="3"/>
    <x v="3"/>
    <x v="10"/>
    <x v="0"/>
  </r>
  <r>
    <x v="1869"/>
    <x v="8"/>
    <x v="9"/>
    <n v="18.3"/>
    <x v="1058"/>
    <x v="68"/>
    <d v="2025-03-10T00:00:00"/>
    <x v="2"/>
    <x v="2"/>
    <x v="0"/>
    <x v="0"/>
    <x v="3"/>
    <x v="7"/>
    <x v="10"/>
    <x v="2"/>
  </r>
  <r>
    <x v="1870"/>
    <x v="10"/>
    <x v="12"/>
    <n v="45.3"/>
    <x v="1452"/>
    <x v="68"/>
    <d v="2025-03-13T00:00:00"/>
    <x v="2"/>
    <x v="0"/>
    <x v="2"/>
    <x v="0"/>
    <x v="3"/>
    <x v="2"/>
    <x v="10"/>
    <x v="2"/>
  </r>
  <r>
    <x v="1871"/>
    <x v="0"/>
    <x v="1"/>
    <n v="27.6"/>
    <x v="291"/>
    <x v="68"/>
    <d v="2025-03-12T00:00:00"/>
    <x v="1"/>
    <x v="0"/>
    <x v="2"/>
    <x v="0"/>
    <x v="37"/>
    <x v="1"/>
    <x v="10"/>
    <x v="1"/>
  </r>
  <r>
    <x v="1872"/>
    <x v="4"/>
    <x v="9"/>
    <n v="26.9"/>
    <x v="531"/>
    <x v="68"/>
    <d v="2025-03-11T00:00:00"/>
    <x v="2"/>
    <x v="2"/>
    <x v="0"/>
    <x v="0"/>
    <x v="25"/>
    <x v="3"/>
    <x v="10"/>
    <x v="2"/>
  </r>
  <r>
    <x v="1873"/>
    <x v="2"/>
    <x v="11"/>
    <n v="82.4"/>
    <x v="1453"/>
    <x v="68"/>
    <d v="2025-03-12T00:00:00"/>
    <x v="3"/>
    <x v="2"/>
    <x v="0"/>
    <x v="0"/>
    <x v="5"/>
    <x v="1"/>
    <x v="10"/>
    <x v="0"/>
  </r>
  <r>
    <x v="1874"/>
    <x v="6"/>
    <x v="0"/>
    <n v="103.7"/>
    <x v="1454"/>
    <x v="68"/>
    <d v="2025-03-12T00:00:00"/>
    <x v="2"/>
    <x v="1"/>
    <x v="0"/>
    <x v="0"/>
    <x v="5"/>
    <x v="1"/>
    <x v="10"/>
    <x v="2"/>
  </r>
  <r>
    <x v="1875"/>
    <x v="2"/>
    <x v="1"/>
    <n v="58.8"/>
    <x v="833"/>
    <x v="68"/>
    <d v="2025-03-15T00:00:00"/>
    <x v="2"/>
    <x v="1"/>
    <x v="2"/>
    <x v="0"/>
    <x v="6"/>
    <x v="0"/>
    <x v="10"/>
    <x v="2"/>
  </r>
  <r>
    <x v="1876"/>
    <x v="13"/>
    <x v="0"/>
    <n v="31.5"/>
    <x v="1455"/>
    <x v="68"/>
    <d v="2025-03-11T00:00:00"/>
    <x v="2"/>
    <x v="1"/>
    <x v="1"/>
    <x v="0"/>
    <x v="6"/>
    <x v="3"/>
    <x v="10"/>
    <x v="2"/>
  </r>
  <r>
    <x v="1877"/>
    <x v="7"/>
    <x v="9"/>
    <n v="36.799999999999997"/>
    <x v="79"/>
    <x v="68"/>
    <d v="2025-03-12T00:00:00"/>
    <x v="2"/>
    <x v="0"/>
    <x v="0"/>
    <x v="0"/>
    <x v="8"/>
    <x v="1"/>
    <x v="10"/>
    <x v="2"/>
  </r>
  <r>
    <x v="1878"/>
    <x v="3"/>
    <x v="0"/>
    <n v="84.4"/>
    <x v="533"/>
    <x v="68"/>
    <d v="2025-03-11T00:00:00"/>
    <x v="2"/>
    <x v="0"/>
    <x v="0"/>
    <x v="0"/>
    <x v="8"/>
    <x v="3"/>
    <x v="10"/>
    <x v="2"/>
  </r>
  <r>
    <x v="1879"/>
    <x v="14"/>
    <x v="0"/>
    <n v="44.7"/>
    <x v="1456"/>
    <x v="68"/>
    <d v="2025-03-11T00:00:00"/>
    <x v="1"/>
    <x v="0"/>
    <x v="1"/>
    <x v="0"/>
    <x v="8"/>
    <x v="3"/>
    <x v="10"/>
    <x v="1"/>
  </r>
  <r>
    <x v="1880"/>
    <x v="9"/>
    <x v="8"/>
    <n v="39.4"/>
    <x v="895"/>
    <x v="68"/>
    <d v="2025-03-11T00:00:00"/>
    <x v="2"/>
    <x v="1"/>
    <x v="2"/>
    <x v="0"/>
    <x v="8"/>
    <x v="3"/>
    <x v="10"/>
    <x v="2"/>
  </r>
  <r>
    <x v="1881"/>
    <x v="11"/>
    <x v="12"/>
    <n v="34.9"/>
    <x v="1457"/>
    <x v="68"/>
    <d v="2025-03-12T00:00:00"/>
    <x v="2"/>
    <x v="0"/>
    <x v="2"/>
    <x v="0"/>
    <x v="8"/>
    <x v="1"/>
    <x v="10"/>
    <x v="2"/>
  </r>
  <r>
    <x v="1882"/>
    <x v="1"/>
    <x v="2"/>
    <n v="62.3"/>
    <x v="1458"/>
    <x v="68"/>
    <d v="2025-03-12T00:00:00"/>
    <x v="1"/>
    <x v="4"/>
    <x v="2"/>
    <x v="0"/>
    <x v="8"/>
    <x v="1"/>
    <x v="10"/>
    <x v="1"/>
  </r>
  <r>
    <x v="1883"/>
    <x v="8"/>
    <x v="12"/>
    <n v="21.1"/>
    <x v="533"/>
    <x v="68"/>
    <d v="2025-03-13T00:00:00"/>
    <x v="1"/>
    <x v="3"/>
    <x v="0"/>
    <x v="0"/>
    <x v="8"/>
    <x v="2"/>
    <x v="10"/>
    <x v="1"/>
  </r>
  <r>
    <x v="1884"/>
    <x v="8"/>
    <x v="2"/>
    <n v="33.200000000000003"/>
    <x v="1459"/>
    <x v="68"/>
    <d v="2025-03-24T00:00:00"/>
    <x v="0"/>
    <x v="0"/>
    <x v="4"/>
    <x v="0"/>
    <x v="8"/>
    <x v="12"/>
    <x v="10"/>
    <x v="0"/>
  </r>
  <r>
    <x v="1885"/>
    <x v="1"/>
    <x v="12"/>
    <n v="74.5"/>
    <x v="1460"/>
    <x v="68"/>
    <d v="2025-03-11T00:00:00"/>
    <x v="1"/>
    <x v="4"/>
    <x v="0"/>
    <x v="0"/>
    <x v="8"/>
    <x v="3"/>
    <x v="10"/>
    <x v="1"/>
  </r>
  <r>
    <x v="1886"/>
    <x v="10"/>
    <x v="4"/>
    <n v="68.599999999999994"/>
    <x v="1461"/>
    <x v="68"/>
    <d v="2025-03-13T00:00:00"/>
    <x v="2"/>
    <x v="0"/>
    <x v="2"/>
    <x v="0"/>
    <x v="8"/>
    <x v="2"/>
    <x v="10"/>
    <x v="2"/>
  </r>
  <r>
    <x v="1887"/>
    <x v="5"/>
    <x v="21"/>
    <n v="36.4"/>
    <x v="1462"/>
    <x v="68"/>
    <d v="2025-03-12T00:00:00"/>
    <x v="2"/>
    <x v="0"/>
    <x v="1"/>
    <x v="0"/>
    <x v="9"/>
    <x v="1"/>
    <x v="10"/>
    <x v="2"/>
  </r>
  <r>
    <x v="1888"/>
    <x v="16"/>
    <x v="9"/>
    <n v="67.599999999999994"/>
    <x v="1463"/>
    <x v="69"/>
    <d v="2025-03-14T00:00:00"/>
    <x v="2"/>
    <x v="4"/>
    <x v="1"/>
    <x v="0"/>
    <x v="9"/>
    <x v="2"/>
    <x v="10"/>
    <x v="2"/>
  </r>
  <r>
    <x v="1889"/>
    <x v="15"/>
    <x v="0"/>
    <n v="46.3"/>
    <x v="516"/>
    <x v="69"/>
    <d v="2025-03-12T00:00:00"/>
    <x v="1"/>
    <x v="2"/>
    <x v="0"/>
    <x v="0"/>
    <x v="9"/>
    <x v="3"/>
    <x v="10"/>
    <x v="1"/>
  </r>
  <r>
    <x v="1890"/>
    <x v="1"/>
    <x v="2"/>
    <n v="124.2"/>
    <x v="1464"/>
    <x v="69"/>
    <d v="2025-03-13T00:00:00"/>
    <x v="2"/>
    <x v="1"/>
    <x v="2"/>
    <x v="0"/>
    <x v="11"/>
    <x v="1"/>
    <x v="10"/>
    <x v="2"/>
  </r>
  <r>
    <x v="1891"/>
    <x v="10"/>
    <x v="1"/>
    <n v="37"/>
    <x v="372"/>
    <x v="69"/>
    <d v="2025-03-17T00:00:00"/>
    <x v="1"/>
    <x v="0"/>
    <x v="0"/>
    <x v="0"/>
    <x v="11"/>
    <x v="4"/>
    <x v="10"/>
    <x v="1"/>
  </r>
  <r>
    <x v="1892"/>
    <x v="5"/>
    <x v="0"/>
    <n v="41.8"/>
    <x v="1465"/>
    <x v="69"/>
    <d v="2025-03-12T00:00:00"/>
    <x v="1"/>
    <x v="2"/>
    <x v="0"/>
    <x v="0"/>
    <x v="31"/>
    <x v="3"/>
    <x v="10"/>
    <x v="1"/>
  </r>
  <r>
    <x v="1893"/>
    <x v="9"/>
    <x v="1"/>
    <n v="57.2"/>
    <x v="1466"/>
    <x v="69"/>
    <d v="2025-03-13T00:00:00"/>
    <x v="1"/>
    <x v="2"/>
    <x v="1"/>
    <x v="0"/>
    <x v="20"/>
    <x v="1"/>
    <x v="10"/>
    <x v="1"/>
  </r>
  <r>
    <x v="1894"/>
    <x v="6"/>
    <x v="1"/>
    <n v="47.1"/>
    <x v="1467"/>
    <x v="69"/>
    <d v="2025-03-13T00:00:00"/>
    <x v="2"/>
    <x v="0"/>
    <x v="4"/>
    <x v="0"/>
    <x v="20"/>
    <x v="1"/>
    <x v="10"/>
    <x v="2"/>
  </r>
  <r>
    <x v="1895"/>
    <x v="5"/>
    <x v="2"/>
    <n v="86.4"/>
    <x v="1468"/>
    <x v="69"/>
    <d v="2025-03-12T00:00:00"/>
    <x v="1"/>
    <x v="2"/>
    <x v="1"/>
    <x v="0"/>
    <x v="52"/>
    <x v="3"/>
    <x v="10"/>
    <x v="1"/>
  </r>
  <r>
    <x v="1896"/>
    <x v="6"/>
    <x v="9"/>
    <n v="105"/>
    <x v="1469"/>
    <x v="69"/>
    <d v="2025-03-14T00:00:00"/>
    <x v="1"/>
    <x v="0"/>
    <x v="0"/>
    <x v="0"/>
    <x v="13"/>
    <x v="2"/>
    <x v="10"/>
    <x v="1"/>
  </r>
  <r>
    <x v="1897"/>
    <x v="18"/>
    <x v="0"/>
    <n v="33"/>
    <x v="940"/>
    <x v="69"/>
    <d v="2025-03-14T00:00:00"/>
    <x v="1"/>
    <x v="4"/>
    <x v="0"/>
    <x v="0"/>
    <x v="21"/>
    <x v="2"/>
    <x v="10"/>
    <x v="1"/>
  </r>
  <r>
    <x v="1898"/>
    <x v="6"/>
    <x v="9"/>
    <n v="106.6"/>
    <x v="1470"/>
    <x v="69"/>
    <d v="2025-03-24T00:00:00"/>
    <x v="2"/>
    <x v="2"/>
    <x v="0"/>
    <x v="0"/>
    <x v="1"/>
    <x v="10"/>
    <x v="10"/>
    <x v="2"/>
  </r>
  <r>
    <x v="1899"/>
    <x v="10"/>
    <x v="46"/>
    <n v="26.8"/>
    <x v="1471"/>
    <x v="69"/>
    <d v="2025-03-12T00:00:00"/>
    <x v="2"/>
    <x v="2"/>
    <x v="0"/>
    <x v="0"/>
    <x v="1"/>
    <x v="3"/>
    <x v="10"/>
    <x v="2"/>
  </r>
  <r>
    <x v="1900"/>
    <x v="17"/>
    <x v="9"/>
    <n v="25.8"/>
    <x v="309"/>
    <x v="69"/>
    <d v="2025-03-11T00:00:00"/>
    <x v="2"/>
    <x v="1"/>
    <x v="2"/>
    <x v="0"/>
    <x v="3"/>
    <x v="7"/>
    <x v="10"/>
    <x v="2"/>
  </r>
  <r>
    <x v="1901"/>
    <x v="2"/>
    <x v="2"/>
    <n v="217"/>
    <x v="1472"/>
    <x v="69"/>
    <d v="2025-03-12T00:00:00"/>
    <x v="2"/>
    <x v="1"/>
    <x v="1"/>
    <x v="0"/>
    <x v="3"/>
    <x v="3"/>
    <x v="10"/>
    <x v="2"/>
  </r>
  <r>
    <x v="1902"/>
    <x v="2"/>
    <x v="1"/>
    <n v="97.3"/>
    <x v="1473"/>
    <x v="69"/>
    <d v="2025-03-12T00:00:00"/>
    <x v="1"/>
    <x v="2"/>
    <x v="4"/>
    <x v="0"/>
    <x v="3"/>
    <x v="3"/>
    <x v="10"/>
    <x v="1"/>
  </r>
  <r>
    <x v="1903"/>
    <x v="1"/>
    <x v="0"/>
    <n v="49.8"/>
    <x v="1474"/>
    <x v="69"/>
    <d v="2025-03-12T00:00:00"/>
    <x v="2"/>
    <x v="0"/>
    <x v="0"/>
    <x v="0"/>
    <x v="3"/>
    <x v="3"/>
    <x v="10"/>
    <x v="2"/>
  </r>
  <r>
    <x v="1904"/>
    <x v="12"/>
    <x v="9"/>
    <n v="32.6"/>
    <x v="1475"/>
    <x v="69"/>
    <d v="2025-03-12T00:00:00"/>
    <x v="2"/>
    <x v="0"/>
    <x v="0"/>
    <x v="0"/>
    <x v="3"/>
    <x v="3"/>
    <x v="10"/>
    <x v="2"/>
  </r>
  <r>
    <x v="1905"/>
    <x v="9"/>
    <x v="1"/>
    <n v="40.1"/>
    <x v="556"/>
    <x v="69"/>
    <d v="2025-03-14T00:00:00"/>
    <x v="1"/>
    <x v="1"/>
    <x v="2"/>
    <x v="0"/>
    <x v="3"/>
    <x v="2"/>
    <x v="10"/>
    <x v="1"/>
  </r>
  <r>
    <x v="1906"/>
    <x v="10"/>
    <x v="1"/>
    <n v="49.4"/>
    <x v="197"/>
    <x v="69"/>
    <d v="2025-03-13T00:00:00"/>
    <x v="1"/>
    <x v="1"/>
    <x v="0"/>
    <x v="0"/>
    <x v="3"/>
    <x v="1"/>
    <x v="10"/>
    <x v="1"/>
  </r>
  <r>
    <x v="1907"/>
    <x v="2"/>
    <x v="0"/>
    <n v="67.3"/>
    <x v="1476"/>
    <x v="69"/>
    <d v="2025-03-12T00:00:00"/>
    <x v="2"/>
    <x v="0"/>
    <x v="2"/>
    <x v="0"/>
    <x v="3"/>
    <x v="3"/>
    <x v="10"/>
    <x v="2"/>
  </r>
  <r>
    <x v="1908"/>
    <x v="18"/>
    <x v="12"/>
    <n v="44.5"/>
    <x v="394"/>
    <x v="69"/>
    <d v="2025-03-14T00:00:00"/>
    <x v="0"/>
    <x v="1"/>
    <x v="0"/>
    <x v="0"/>
    <x v="3"/>
    <x v="2"/>
    <x v="10"/>
    <x v="0"/>
  </r>
  <r>
    <x v="1909"/>
    <x v="6"/>
    <x v="5"/>
    <n v="111.1"/>
    <x v="1477"/>
    <x v="69"/>
    <d v="2025-03-12T00:00:00"/>
    <x v="2"/>
    <x v="4"/>
    <x v="0"/>
    <x v="0"/>
    <x v="3"/>
    <x v="3"/>
    <x v="10"/>
    <x v="2"/>
  </r>
  <r>
    <x v="1910"/>
    <x v="8"/>
    <x v="2"/>
    <n v="19.7"/>
    <x v="1478"/>
    <x v="69"/>
    <d v="2025-03-12T00:00:00"/>
    <x v="2"/>
    <x v="4"/>
    <x v="4"/>
    <x v="0"/>
    <x v="3"/>
    <x v="3"/>
    <x v="10"/>
    <x v="2"/>
  </r>
  <r>
    <x v="1911"/>
    <x v="1"/>
    <x v="0"/>
    <n v="40.299999999999997"/>
    <x v="518"/>
    <x v="69"/>
    <d v="2025-03-12T00:00:00"/>
    <x v="3"/>
    <x v="1"/>
    <x v="0"/>
    <x v="0"/>
    <x v="3"/>
    <x v="3"/>
    <x v="10"/>
    <x v="0"/>
  </r>
  <r>
    <x v="1912"/>
    <x v="6"/>
    <x v="1"/>
    <n v="108.8"/>
    <x v="1479"/>
    <x v="69"/>
    <d v="2025-03-16T00:00:00"/>
    <x v="1"/>
    <x v="0"/>
    <x v="2"/>
    <x v="0"/>
    <x v="6"/>
    <x v="0"/>
    <x v="10"/>
    <x v="1"/>
  </r>
  <r>
    <x v="1913"/>
    <x v="8"/>
    <x v="2"/>
    <n v="48.2"/>
    <x v="1435"/>
    <x v="69"/>
    <d v="2025-03-16T00:00:00"/>
    <x v="2"/>
    <x v="4"/>
    <x v="0"/>
    <x v="0"/>
    <x v="7"/>
    <x v="0"/>
    <x v="10"/>
    <x v="2"/>
  </r>
  <r>
    <x v="1914"/>
    <x v="2"/>
    <x v="2"/>
    <n v="104.7"/>
    <x v="1480"/>
    <x v="69"/>
    <d v="2025-03-13T00:00:00"/>
    <x v="2"/>
    <x v="0"/>
    <x v="1"/>
    <x v="0"/>
    <x v="7"/>
    <x v="1"/>
    <x v="10"/>
    <x v="2"/>
  </r>
  <r>
    <x v="1915"/>
    <x v="1"/>
    <x v="1"/>
    <n v="80.599999999999994"/>
    <x v="154"/>
    <x v="69"/>
    <d v="2025-03-11T00:00:00"/>
    <x v="2"/>
    <x v="1"/>
    <x v="0"/>
    <x v="0"/>
    <x v="8"/>
    <x v="7"/>
    <x v="10"/>
    <x v="2"/>
  </r>
  <r>
    <x v="1916"/>
    <x v="6"/>
    <x v="0"/>
    <n v="65.5"/>
    <x v="1481"/>
    <x v="69"/>
    <d v="2025-03-13T00:00:00"/>
    <x v="3"/>
    <x v="1"/>
    <x v="0"/>
    <x v="0"/>
    <x v="8"/>
    <x v="1"/>
    <x v="10"/>
    <x v="0"/>
  </r>
  <r>
    <x v="1917"/>
    <x v="9"/>
    <x v="2"/>
    <n v="61.4"/>
    <x v="1173"/>
    <x v="69"/>
    <d v="2025-03-13T00:00:00"/>
    <x v="2"/>
    <x v="4"/>
    <x v="2"/>
    <x v="0"/>
    <x v="8"/>
    <x v="1"/>
    <x v="10"/>
    <x v="2"/>
  </r>
  <r>
    <x v="1918"/>
    <x v="0"/>
    <x v="0"/>
    <n v="12.5"/>
    <x v="1482"/>
    <x v="70"/>
    <d v="2025-03-15T00:00:00"/>
    <x v="2"/>
    <x v="0"/>
    <x v="1"/>
    <x v="0"/>
    <x v="8"/>
    <x v="2"/>
    <x v="10"/>
    <x v="2"/>
  </r>
  <r>
    <x v="1919"/>
    <x v="4"/>
    <x v="12"/>
    <n v="35.1"/>
    <x v="381"/>
    <x v="70"/>
    <d v="2025-03-13T00:00:00"/>
    <x v="1"/>
    <x v="2"/>
    <x v="1"/>
    <x v="0"/>
    <x v="17"/>
    <x v="3"/>
    <x v="10"/>
    <x v="1"/>
  </r>
  <r>
    <x v="1920"/>
    <x v="5"/>
    <x v="1"/>
    <n v="55.7"/>
    <x v="1483"/>
    <x v="70"/>
    <d v="2025-03-13T00:00:00"/>
    <x v="1"/>
    <x v="0"/>
    <x v="1"/>
    <x v="0"/>
    <x v="26"/>
    <x v="3"/>
    <x v="10"/>
    <x v="1"/>
  </r>
  <r>
    <x v="1921"/>
    <x v="7"/>
    <x v="1"/>
    <n v="57.7"/>
    <x v="1484"/>
    <x v="70"/>
    <d v="2025-03-14T00:00:00"/>
    <x v="1"/>
    <x v="4"/>
    <x v="1"/>
    <x v="0"/>
    <x v="9"/>
    <x v="1"/>
    <x v="10"/>
    <x v="1"/>
  </r>
  <r>
    <x v="1922"/>
    <x v="2"/>
    <x v="13"/>
    <n v="85.7"/>
    <x v="1485"/>
    <x v="70"/>
    <d v="2025-03-13T00:00:00"/>
    <x v="1"/>
    <x v="3"/>
    <x v="2"/>
    <x v="0"/>
    <x v="9"/>
    <x v="3"/>
    <x v="10"/>
    <x v="1"/>
  </r>
  <r>
    <x v="1923"/>
    <x v="2"/>
    <x v="2"/>
    <n v="86.9"/>
    <x v="1486"/>
    <x v="70"/>
    <d v="2025-03-14T00:00:00"/>
    <x v="2"/>
    <x v="1"/>
    <x v="0"/>
    <x v="0"/>
    <x v="11"/>
    <x v="1"/>
    <x v="10"/>
    <x v="2"/>
  </r>
  <r>
    <x v="1924"/>
    <x v="18"/>
    <x v="1"/>
    <n v="46.4"/>
    <x v="1487"/>
    <x v="70"/>
    <d v="2025-03-15T00:00:00"/>
    <x v="2"/>
    <x v="4"/>
    <x v="0"/>
    <x v="0"/>
    <x v="11"/>
    <x v="2"/>
    <x v="10"/>
    <x v="2"/>
  </r>
  <r>
    <x v="1925"/>
    <x v="5"/>
    <x v="2"/>
    <n v="25.4"/>
    <x v="1488"/>
    <x v="70"/>
    <d v="2025-03-12T00:00:00"/>
    <x v="2"/>
    <x v="2"/>
    <x v="2"/>
    <x v="0"/>
    <x v="18"/>
    <x v="7"/>
    <x v="10"/>
    <x v="2"/>
  </r>
  <r>
    <x v="1926"/>
    <x v="10"/>
    <x v="2"/>
    <n v="47.8"/>
    <x v="1489"/>
    <x v="70"/>
    <d v="2025-03-12T00:00:00"/>
    <x v="0"/>
    <x v="2"/>
    <x v="2"/>
    <x v="0"/>
    <x v="19"/>
    <x v="7"/>
    <x v="10"/>
    <x v="0"/>
  </r>
  <r>
    <x v="1927"/>
    <x v="8"/>
    <x v="10"/>
    <n v="18.399999999999999"/>
    <x v="1490"/>
    <x v="70"/>
    <d v="2025-03-14T00:00:00"/>
    <x v="3"/>
    <x v="2"/>
    <x v="0"/>
    <x v="0"/>
    <x v="20"/>
    <x v="1"/>
    <x v="10"/>
    <x v="0"/>
  </r>
  <r>
    <x v="1928"/>
    <x v="12"/>
    <x v="2"/>
    <n v="65.5"/>
    <x v="756"/>
    <x v="70"/>
    <d v="2025-03-20T00:00:00"/>
    <x v="2"/>
    <x v="0"/>
    <x v="0"/>
    <x v="0"/>
    <x v="21"/>
    <x v="9"/>
    <x v="10"/>
    <x v="2"/>
  </r>
  <r>
    <x v="1929"/>
    <x v="10"/>
    <x v="1"/>
    <n v="50.6"/>
    <x v="855"/>
    <x v="70"/>
    <d v="2025-03-15T00:00:00"/>
    <x v="1"/>
    <x v="2"/>
    <x v="4"/>
    <x v="0"/>
    <x v="21"/>
    <x v="2"/>
    <x v="10"/>
    <x v="1"/>
  </r>
  <r>
    <x v="1930"/>
    <x v="3"/>
    <x v="9"/>
    <n v="69"/>
    <x v="1491"/>
    <x v="70"/>
    <d v="2025-03-16T00:00:00"/>
    <x v="1"/>
    <x v="3"/>
    <x v="0"/>
    <x v="0"/>
    <x v="21"/>
    <x v="5"/>
    <x v="10"/>
    <x v="1"/>
  </r>
  <r>
    <x v="1931"/>
    <x v="9"/>
    <x v="8"/>
    <n v="51.1"/>
    <x v="18"/>
    <x v="70"/>
    <d v="2025-03-14T00:00:00"/>
    <x v="2"/>
    <x v="0"/>
    <x v="0"/>
    <x v="0"/>
    <x v="1"/>
    <x v="1"/>
    <x v="10"/>
    <x v="2"/>
  </r>
  <r>
    <x v="1932"/>
    <x v="9"/>
    <x v="0"/>
    <n v="36.1"/>
    <x v="168"/>
    <x v="70"/>
    <d v="2025-03-13T00:00:00"/>
    <x v="2"/>
    <x v="0"/>
    <x v="2"/>
    <x v="0"/>
    <x v="34"/>
    <x v="3"/>
    <x v="10"/>
    <x v="2"/>
  </r>
  <r>
    <x v="1933"/>
    <x v="14"/>
    <x v="0"/>
    <n v="18.7"/>
    <x v="1492"/>
    <x v="70"/>
    <d v="2025-03-13T00:00:00"/>
    <x v="1"/>
    <x v="0"/>
    <x v="0"/>
    <x v="0"/>
    <x v="3"/>
    <x v="3"/>
    <x v="10"/>
    <x v="1"/>
  </r>
  <r>
    <x v="1934"/>
    <x v="17"/>
    <x v="0"/>
    <n v="30.1"/>
    <x v="1493"/>
    <x v="70"/>
    <d v="2025-03-15T00:00:00"/>
    <x v="2"/>
    <x v="3"/>
    <x v="1"/>
    <x v="0"/>
    <x v="3"/>
    <x v="2"/>
    <x v="10"/>
    <x v="2"/>
  </r>
  <r>
    <x v="1935"/>
    <x v="8"/>
    <x v="0"/>
    <n v="16.3"/>
    <x v="1494"/>
    <x v="70"/>
    <d v="2025-03-13T00:00:00"/>
    <x v="1"/>
    <x v="3"/>
    <x v="0"/>
    <x v="0"/>
    <x v="3"/>
    <x v="3"/>
    <x v="10"/>
    <x v="1"/>
  </r>
  <r>
    <x v="1936"/>
    <x v="1"/>
    <x v="2"/>
    <n v="63.8"/>
    <x v="1348"/>
    <x v="70"/>
    <d v="2025-03-17T00:00:00"/>
    <x v="2"/>
    <x v="2"/>
    <x v="1"/>
    <x v="0"/>
    <x v="3"/>
    <x v="0"/>
    <x v="10"/>
    <x v="2"/>
  </r>
  <r>
    <x v="1937"/>
    <x v="1"/>
    <x v="3"/>
    <n v="73.900000000000006"/>
    <x v="1495"/>
    <x v="70"/>
    <d v="2025-03-12T00:00:00"/>
    <x v="2"/>
    <x v="0"/>
    <x v="1"/>
    <x v="0"/>
    <x v="3"/>
    <x v="7"/>
    <x v="10"/>
    <x v="2"/>
  </r>
  <r>
    <x v="1938"/>
    <x v="0"/>
    <x v="1"/>
    <n v="20.2"/>
    <x v="1400"/>
    <x v="70"/>
    <d v="2025-03-13T00:00:00"/>
    <x v="1"/>
    <x v="0"/>
    <x v="1"/>
    <x v="0"/>
    <x v="3"/>
    <x v="3"/>
    <x v="10"/>
    <x v="1"/>
  </r>
  <r>
    <x v="1939"/>
    <x v="11"/>
    <x v="5"/>
    <n v="29.5"/>
    <x v="1496"/>
    <x v="70"/>
    <d v="2025-03-13T00:00:00"/>
    <x v="1"/>
    <x v="0"/>
    <x v="0"/>
    <x v="0"/>
    <x v="3"/>
    <x v="3"/>
    <x v="10"/>
    <x v="1"/>
  </r>
  <r>
    <x v="1940"/>
    <x v="15"/>
    <x v="3"/>
    <n v="37.9"/>
    <x v="1497"/>
    <x v="70"/>
    <d v="2025-03-13T00:00:00"/>
    <x v="1"/>
    <x v="1"/>
    <x v="0"/>
    <x v="0"/>
    <x v="3"/>
    <x v="3"/>
    <x v="10"/>
    <x v="1"/>
  </r>
  <r>
    <x v="1941"/>
    <x v="2"/>
    <x v="0"/>
    <n v="56.5"/>
    <x v="1498"/>
    <x v="70"/>
    <d v="2025-03-13T00:00:00"/>
    <x v="2"/>
    <x v="2"/>
    <x v="1"/>
    <x v="0"/>
    <x v="3"/>
    <x v="3"/>
    <x v="10"/>
    <x v="2"/>
  </r>
  <r>
    <x v="1942"/>
    <x v="2"/>
    <x v="1"/>
    <n v="66.900000000000006"/>
    <x v="981"/>
    <x v="70"/>
    <d v="2025-03-18T00:00:00"/>
    <x v="1"/>
    <x v="1"/>
    <x v="4"/>
    <x v="0"/>
    <x v="25"/>
    <x v="4"/>
    <x v="10"/>
    <x v="1"/>
  </r>
  <r>
    <x v="1943"/>
    <x v="2"/>
    <x v="9"/>
    <n v="51.9"/>
    <x v="1499"/>
    <x v="70"/>
    <d v="2025-03-15T00:00:00"/>
    <x v="1"/>
    <x v="1"/>
    <x v="0"/>
    <x v="0"/>
    <x v="7"/>
    <x v="2"/>
    <x v="10"/>
    <x v="1"/>
  </r>
  <r>
    <x v="1944"/>
    <x v="2"/>
    <x v="1"/>
    <n v="75.599999999999994"/>
    <x v="277"/>
    <x v="70"/>
    <d v="2025-03-15T00:00:00"/>
    <x v="1"/>
    <x v="1"/>
    <x v="0"/>
    <x v="0"/>
    <x v="8"/>
    <x v="2"/>
    <x v="10"/>
    <x v="1"/>
  </r>
  <r>
    <x v="1945"/>
    <x v="12"/>
    <x v="13"/>
    <n v="47.3"/>
    <x v="592"/>
    <x v="70"/>
    <d v="2025-03-23T00:00:00"/>
    <x v="1"/>
    <x v="0"/>
    <x v="0"/>
    <x v="0"/>
    <x v="8"/>
    <x v="11"/>
    <x v="10"/>
    <x v="1"/>
  </r>
  <r>
    <x v="1946"/>
    <x v="4"/>
    <x v="0"/>
    <n v="20.6"/>
    <x v="1500"/>
    <x v="70"/>
    <d v="2025-03-13T00:00:00"/>
    <x v="0"/>
    <x v="0"/>
    <x v="1"/>
    <x v="0"/>
    <x v="8"/>
    <x v="3"/>
    <x v="10"/>
    <x v="0"/>
  </r>
  <r>
    <x v="1947"/>
    <x v="6"/>
    <x v="2"/>
    <n v="49.7"/>
    <x v="1501"/>
    <x v="70"/>
    <d v="2025-03-14T00:00:00"/>
    <x v="1"/>
    <x v="0"/>
    <x v="1"/>
    <x v="0"/>
    <x v="8"/>
    <x v="1"/>
    <x v="10"/>
    <x v="1"/>
  </r>
  <r>
    <x v="1948"/>
    <x v="3"/>
    <x v="0"/>
    <n v="37.9"/>
    <x v="853"/>
    <x v="70"/>
    <d v="2025-03-14T00:00:00"/>
    <x v="2"/>
    <x v="0"/>
    <x v="0"/>
    <x v="0"/>
    <x v="8"/>
    <x v="1"/>
    <x v="10"/>
    <x v="2"/>
  </r>
  <r>
    <x v="1949"/>
    <x v="13"/>
    <x v="20"/>
    <n v="32"/>
    <x v="1502"/>
    <x v="70"/>
    <d v="2025-03-14T00:00:00"/>
    <x v="2"/>
    <x v="4"/>
    <x v="0"/>
    <x v="0"/>
    <x v="11"/>
    <x v="1"/>
    <x v="10"/>
    <x v="2"/>
  </r>
  <r>
    <x v="1950"/>
    <x v="10"/>
    <x v="16"/>
    <n v="38.5"/>
    <x v="1503"/>
    <x v="71"/>
    <d v="2025-03-14T00:00:00"/>
    <x v="1"/>
    <x v="0"/>
    <x v="2"/>
    <x v="0"/>
    <x v="11"/>
    <x v="3"/>
    <x v="10"/>
    <x v="1"/>
  </r>
  <r>
    <x v="1951"/>
    <x v="0"/>
    <x v="12"/>
    <n v="11.7"/>
    <x v="86"/>
    <x v="71"/>
    <d v="2025-03-15T00:00:00"/>
    <x v="2"/>
    <x v="1"/>
    <x v="0"/>
    <x v="0"/>
    <x v="20"/>
    <x v="1"/>
    <x v="10"/>
    <x v="2"/>
  </r>
  <r>
    <x v="1952"/>
    <x v="3"/>
    <x v="13"/>
    <n v="83.8"/>
    <x v="1504"/>
    <x v="71"/>
    <d v="2025-03-14T00:00:00"/>
    <x v="1"/>
    <x v="0"/>
    <x v="0"/>
    <x v="0"/>
    <x v="21"/>
    <x v="3"/>
    <x v="10"/>
    <x v="1"/>
  </r>
  <r>
    <x v="1953"/>
    <x v="0"/>
    <x v="3"/>
    <n v="14"/>
    <x v="11"/>
    <x v="71"/>
    <d v="2025-03-16T00:00:00"/>
    <x v="1"/>
    <x v="0"/>
    <x v="1"/>
    <x v="0"/>
    <x v="22"/>
    <x v="2"/>
    <x v="10"/>
    <x v="1"/>
  </r>
  <r>
    <x v="1954"/>
    <x v="16"/>
    <x v="12"/>
    <n v="77.3"/>
    <x v="1505"/>
    <x v="71"/>
    <d v="2025-03-15T00:00:00"/>
    <x v="2"/>
    <x v="4"/>
    <x v="2"/>
    <x v="0"/>
    <x v="3"/>
    <x v="1"/>
    <x v="10"/>
    <x v="2"/>
  </r>
  <r>
    <x v="1955"/>
    <x v="2"/>
    <x v="1"/>
    <n v="76.900000000000006"/>
    <x v="1506"/>
    <x v="71"/>
    <d v="2025-03-17T00:00:00"/>
    <x v="2"/>
    <x v="0"/>
    <x v="1"/>
    <x v="0"/>
    <x v="3"/>
    <x v="5"/>
    <x v="10"/>
    <x v="2"/>
  </r>
  <r>
    <x v="1956"/>
    <x v="1"/>
    <x v="0"/>
    <n v="48"/>
    <x v="510"/>
    <x v="71"/>
    <d v="2025-03-15T00:00:00"/>
    <x v="2"/>
    <x v="1"/>
    <x v="2"/>
    <x v="0"/>
    <x v="3"/>
    <x v="1"/>
    <x v="10"/>
    <x v="2"/>
  </r>
  <r>
    <x v="1957"/>
    <x v="2"/>
    <x v="0"/>
    <n v="94.5"/>
    <x v="234"/>
    <x v="71"/>
    <d v="2025-03-16T00:00:00"/>
    <x v="1"/>
    <x v="1"/>
    <x v="1"/>
    <x v="0"/>
    <x v="3"/>
    <x v="2"/>
    <x v="10"/>
    <x v="1"/>
  </r>
  <r>
    <x v="1958"/>
    <x v="10"/>
    <x v="2"/>
    <n v="58.4"/>
    <x v="122"/>
    <x v="71"/>
    <d v="2025-03-15T00:00:00"/>
    <x v="2"/>
    <x v="1"/>
    <x v="2"/>
    <x v="0"/>
    <x v="3"/>
    <x v="1"/>
    <x v="10"/>
    <x v="2"/>
  </r>
  <r>
    <x v="1959"/>
    <x v="7"/>
    <x v="15"/>
    <n v="42.2"/>
    <x v="1507"/>
    <x v="71"/>
    <d v="2025-03-13T00:00:00"/>
    <x v="1"/>
    <x v="0"/>
    <x v="0"/>
    <x v="0"/>
    <x v="25"/>
    <x v="7"/>
    <x v="10"/>
    <x v="1"/>
  </r>
  <r>
    <x v="1960"/>
    <x v="6"/>
    <x v="1"/>
    <n v="152.19999999999999"/>
    <x v="1508"/>
    <x v="71"/>
    <d v="2025-03-14T00:00:00"/>
    <x v="1"/>
    <x v="4"/>
    <x v="1"/>
    <x v="0"/>
    <x v="25"/>
    <x v="3"/>
    <x v="10"/>
    <x v="1"/>
  </r>
  <r>
    <x v="1961"/>
    <x v="6"/>
    <x v="25"/>
    <n v="72"/>
    <x v="1509"/>
    <x v="71"/>
    <d v="2025-03-14T00:00:00"/>
    <x v="1"/>
    <x v="0"/>
    <x v="1"/>
    <x v="0"/>
    <x v="6"/>
    <x v="3"/>
    <x v="10"/>
    <x v="1"/>
  </r>
  <r>
    <x v="1962"/>
    <x v="1"/>
    <x v="44"/>
    <n v="70.900000000000006"/>
    <x v="1510"/>
    <x v="71"/>
    <d v="2025-03-14T00:00:00"/>
    <x v="2"/>
    <x v="2"/>
    <x v="0"/>
    <x v="0"/>
    <x v="8"/>
    <x v="3"/>
    <x v="10"/>
    <x v="2"/>
  </r>
  <r>
    <x v="1963"/>
    <x v="2"/>
    <x v="1"/>
    <n v="53.7"/>
    <x v="1511"/>
    <x v="71"/>
    <d v="2025-03-14T00:00:00"/>
    <x v="1"/>
    <x v="2"/>
    <x v="2"/>
    <x v="0"/>
    <x v="8"/>
    <x v="3"/>
    <x v="10"/>
    <x v="1"/>
  </r>
  <r>
    <x v="1964"/>
    <x v="9"/>
    <x v="12"/>
    <n v="42.9"/>
    <x v="1512"/>
    <x v="71"/>
    <d v="2025-03-14T00:00:00"/>
    <x v="2"/>
    <x v="2"/>
    <x v="4"/>
    <x v="0"/>
    <x v="9"/>
    <x v="3"/>
    <x v="10"/>
    <x v="2"/>
  </r>
  <r>
    <x v="1965"/>
    <x v="2"/>
    <x v="3"/>
    <n v="107.5"/>
    <x v="1513"/>
    <x v="71"/>
    <d v="2025-03-14T00:00:00"/>
    <x v="1"/>
    <x v="1"/>
    <x v="0"/>
    <x v="0"/>
    <x v="11"/>
    <x v="3"/>
    <x v="10"/>
    <x v="1"/>
  </r>
  <r>
    <x v="1966"/>
    <x v="17"/>
    <x v="27"/>
    <n v="21.5"/>
    <x v="1213"/>
    <x v="71"/>
    <d v="2025-03-14T00:00:00"/>
    <x v="1"/>
    <x v="1"/>
    <x v="1"/>
    <x v="0"/>
    <x v="32"/>
    <x v="3"/>
    <x v="10"/>
    <x v="1"/>
  </r>
  <r>
    <x v="1967"/>
    <x v="3"/>
    <x v="9"/>
    <n v="85.3"/>
    <x v="1514"/>
    <x v="71"/>
    <d v="2025-03-15T00:00:00"/>
    <x v="2"/>
    <x v="3"/>
    <x v="0"/>
    <x v="0"/>
    <x v="18"/>
    <x v="1"/>
    <x v="10"/>
    <x v="2"/>
  </r>
  <r>
    <x v="1968"/>
    <x v="7"/>
    <x v="9"/>
    <n v="80.8"/>
    <x v="1515"/>
    <x v="71"/>
    <d v="2025-03-21T00:00:00"/>
    <x v="3"/>
    <x v="1"/>
    <x v="1"/>
    <x v="0"/>
    <x v="19"/>
    <x v="9"/>
    <x v="10"/>
    <x v="0"/>
  </r>
  <r>
    <x v="1969"/>
    <x v="2"/>
    <x v="2"/>
    <n v="123.1"/>
    <x v="1516"/>
    <x v="71"/>
    <d v="2025-03-15T00:00:00"/>
    <x v="0"/>
    <x v="2"/>
    <x v="0"/>
    <x v="0"/>
    <x v="21"/>
    <x v="1"/>
    <x v="10"/>
    <x v="0"/>
  </r>
  <r>
    <x v="1970"/>
    <x v="8"/>
    <x v="1"/>
    <n v="36.9"/>
    <x v="1517"/>
    <x v="71"/>
    <d v="2025-03-15T00:00:00"/>
    <x v="2"/>
    <x v="2"/>
    <x v="4"/>
    <x v="0"/>
    <x v="51"/>
    <x v="1"/>
    <x v="10"/>
    <x v="2"/>
  </r>
  <r>
    <x v="1971"/>
    <x v="11"/>
    <x v="9"/>
    <n v="40"/>
    <x v="308"/>
    <x v="71"/>
    <d v="2025-03-14T00:00:00"/>
    <x v="1"/>
    <x v="0"/>
    <x v="0"/>
    <x v="0"/>
    <x v="1"/>
    <x v="3"/>
    <x v="10"/>
    <x v="1"/>
  </r>
  <r>
    <x v="1972"/>
    <x v="6"/>
    <x v="2"/>
    <n v="55.5"/>
    <x v="1256"/>
    <x v="71"/>
    <d v="2025-03-14T00:00:00"/>
    <x v="1"/>
    <x v="4"/>
    <x v="2"/>
    <x v="0"/>
    <x v="1"/>
    <x v="3"/>
    <x v="10"/>
    <x v="1"/>
  </r>
  <r>
    <x v="1973"/>
    <x v="0"/>
    <x v="12"/>
    <n v="20.5"/>
    <x v="1518"/>
    <x v="71"/>
    <d v="2025-03-17T00:00:00"/>
    <x v="2"/>
    <x v="4"/>
    <x v="0"/>
    <x v="0"/>
    <x v="1"/>
    <x v="5"/>
    <x v="10"/>
    <x v="2"/>
  </r>
  <r>
    <x v="1974"/>
    <x v="18"/>
    <x v="12"/>
    <n v="50.1"/>
    <x v="1519"/>
    <x v="71"/>
    <d v="2025-03-14T00:00:00"/>
    <x v="2"/>
    <x v="4"/>
    <x v="0"/>
    <x v="0"/>
    <x v="1"/>
    <x v="3"/>
    <x v="10"/>
    <x v="2"/>
  </r>
  <r>
    <x v="1975"/>
    <x v="9"/>
    <x v="0"/>
    <n v="35.9"/>
    <x v="1520"/>
    <x v="71"/>
    <d v="2025-03-15T00:00:00"/>
    <x v="1"/>
    <x v="1"/>
    <x v="2"/>
    <x v="0"/>
    <x v="1"/>
    <x v="1"/>
    <x v="10"/>
    <x v="1"/>
  </r>
  <r>
    <x v="1976"/>
    <x v="13"/>
    <x v="12"/>
    <n v="29.4"/>
    <x v="833"/>
    <x v="72"/>
    <d v="2025-03-15T00:00:00"/>
    <x v="1"/>
    <x v="2"/>
    <x v="2"/>
    <x v="0"/>
    <x v="33"/>
    <x v="3"/>
    <x v="10"/>
    <x v="1"/>
  </r>
  <r>
    <x v="1977"/>
    <x v="8"/>
    <x v="9"/>
    <n v="29.1"/>
    <x v="973"/>
    <x v="72"/>
    <d v="2025-03-22T00:00:00"/>
    <x v="3"/>
    <x v="2"/>
    <x v="1"/>
    <x v="0"/>
    <x v="33"/>
    <x v="9"/>
    <x v="10"/>
    <x v="0"/>
  </r>
  <r>
    <x v="1978"/>
    <x v="8"/>
    <x v="2"/>
    <n v="33.5"/>
    <x v="427"/>
    <x v="72"/>
    <d v="2025-03-26T00:00:00"/>
    <x v="1"/>
    <x v="0"/>
    <x v="2"/>
    <x v="0"/>
    <x v="22"/>
    <x v="13"/>
    <x v="10"/>
    <x v="1"/>
  </r>
  <r>
    <x v="1979"/>
    <x v="4"/>
    <x v="7"/>
    <n v="36"/>
    <x v="1521"/>
    <x v="72"/>
    <d v="2025-03-14T00:00:00"/>
    <x v="1"/>
    <x v="3"/>
    <x v="2"/>
    <x v="0"/>
    <x v="3"/>
    <x v="7"/>
    <x v="10"/>
    <x v="1"/>
  </r>
  <r>
    <x v="1980"/>
    <x v="16"/>
    <x v="2"/>
    <n v="57.3"/>
    <x v="1522"/>
    <x v="72"/>
    <d v="2025-03-18T00:00:00"/>
    <x v="2"/>
    <x v="0"/>
    <x v="2"/>
    <x v="0"/>
    <x v="3"/>
    <x v="5"/>
    <x v="10"/>
    <x v="2"/>
  </r>
  <r>
    <x v="1981"/>
    <x v="1"/>
    <x v="0"/>
    <n v="81.400000000000006"/>
    <x v="1523"/>
    <x v="72"/>
    <d v="2025-03-15T00:00:00"/>
    <x v="2"/>
    <x v="2"/>
    <x v="2"/>
    <x v="0"/>
    <x v="3"/>
    <x v="3"/>
    <x v="10"/>
    <x v="2"/>
  </r>
  <r>
    <x v="1982"/>
    <x v="10"/>
    <x v="1"/>
    <n v="35.299999999999997"/>
    <x v="527"/>
    <x v="72"/>
    <d v="2025-03-18T00:00:00"/>
    <x v="1"/>
    <x v="0"/>
    <x v="2"/>
    <x v="0"/>
    <x v="3"/>
    <x v="5"/>
    <x v="10"/>
    <x v="1"/>
  </r>
  <r>
    <x v="1983"/>
    <x v="3"/>
    <x v="0"/>
    <n v="36.1"/>
    <x v="168"/>
    <x v="72"/>
    <d v="2025-03-15T00:00:00"/>
    <x v="2"/>
    <x v="4"/>
    <x v="0"/>
    <x v="0"/>
    <x v="3"/>
    <x v="3"/>
    <x v="10"/>
    <x v="2"/>
  </r>
  <r>
    <x v="1984"/>
    <x v="1"/>
    <x v="1"/>
    <n v="36.700000000000003"/>
    <x v="1524"/>
    <x v="72"/>
    <d v="2025-03-16T00:00:00"/>
    <x v="2"/>
    <x v="0"/>
    <x v="2"/>
    <x v="0"/>
    <x v="3"/>
    <x v="1"/>
    <x v="10"/>
    <x v="2"/>
  </r>
  <r>
    <x v="1985"/>
    <x v="10"/>
    <x v="0"/>
    <n v="20.9"/>
    <x v="798"/>
    <x v="72"/>
    <d v="2025-03-16T00:00:00"/>
    <x v="2"/>
    <x v="0"/>
    <x v="4"/>
    <x v="0"/>
    <x v="3"/>
    <x v="1"/>
    <x v="10"/>
    <x v="2"/>
  </r>
  <r>
    <x v="1986"/>
    <x v="12"/>
    <x v="2"/>
    <n v="58.8"/>
    <x v="1525"/>
    <x v="72"/>
    <d v="2025-03-18T00:00:00"/>
    <x v="1"/>
    <x v="0"/>
    <x v="2"/>
    <x v="0"/>
    <x v="25"/>
    <x v="5"/>
    <x v="10"/>
    <x v="1"/>
  </r>
  <r>
    <x v="1987"/>
    <x v="2"/>
    <x v="2"/>
    <n v="97.6"/>
    <x v="1526"/>
    <x v="73"/>
    <d v="2025-03-17T00:00:00"/>
    <x v="0"/>
    <x v="0"/>
    <x v="0"/>
    <x v="0"/>
    <x v="6"/>
    <x v="1"/>
    <x v="10"/>
    <x v="0"/>
  </r>
  <r>
    <x v="1988"/>
    <x v="1"/>
    <x v="1"/>
    <n v="58.7"/>
    <x v="1527"/>
    <x v="73"/>
    <d v="2025-03-18T00:00:00"/>
    <x v="2"/>
    <x v="0"/>
    <x v="1"/>
    <x v="0"/>
    <x v="6"/>
    <x v="2"/>
    <x v="10"/>
    <x v="2"/>
  </r>
  <r>
    <x v="1989"/>
    <x v="6"/>
    <x v="9"/>
    <n v="71.900000000000006"/>
    <x v="1528"/>
    <x v="73"/>
    <d v="2025-03-16T00:00:00"/>
    <x v="0"/>
    <x v="0"/>
    <x v="1"/>
    <x v="0"/>
    <x v="6"/>
    <x v="3"/>
    <x v="10"/>
    <x v="0"/>
  </r>
  <r>
    <x v="1990"/>
    <x v="1"/>
    <x v="1"/>
    <n v="62.4"/>
    <x v="1109"/>
    <x v="73"/>
    <d v="2025-03-17T00:00:00"/>
    <x v="0"/>
    <x v="0"/>
    <x v="1"/>
    <x v="0"/>
    <x v="8"/>
    <x v="1"/>
    <x v="10"/>
    <x v="0"/>
  </r>
  <r>
    <x v="1991"/>
    <x v="6"/>
    <x v="27"/>
    <n v="53.8"/>
    <x v="1529"/>
    <x v="73"/>
    <d v="2025-03-16T00:00:00"/>
    <x v="2"/>
    <x v="1"/>
    <x v="0"/>
    <x v="0"/>
    <x v="8"/>
    <x v="3"/>
    <x v="10"/>
    <x v="2"/>
  </r>
  <r>
    <x v="1992"/>
    <x v="9"/>
    <x v="0"/>
    <n v="43.8"/>
    <x v="328"/>
    <x v="73"/>
    <d v="2025-03-22T00:00:00"/>
    <x v="2"/>
    <x v="0"/>
    <x v="2"/>
    <x v="0"/>
    <x v="8"/>
    <x v="6"/>
    <x v="10"/>
    <x v="2"/>
  </r>
  <r>
    <x v="1993"/>
    <x v="5"/>
    <x v="2"/>
    <n v="53.6"/>
    <x v="1530"/>
    <x v="73"/>
    <d v="2025-03-16T00:00:00"/>
    <x v="1"/>
    <x v="3"/>
    <x v="0"/>
    <x v="0"/>
    <x v="8"/>
    <x v="3"/>
    <x v="10"/>
    <x v="1"/>
  </r>
  <r>
    <x v="1994"/>
    <x v="12"/>
    <x v="1"/>
    <n v="84.3"/>
    <x v="1531"/>
    <x v="73"/>
    <d v="2025-03-18T00:00:00"/>
    <x v="1"/>
    <x v="4"/>
    <x v="1"/>
    <x v="0"/>
    <x v="8"/>
    <x v="2"/>
    <x v="10"/>
    <x v="1"/>
  </r>
  <r>
    <x v="1995"/>
    <x v="6"/>
    <x v="11"/>
    <n v="117.9"/>
    <x v="1532"/>
    <x v="73"/>
    <d v="2025-03-16T00:00:00"/>
    <x v="2"/>
    <x v="1"/>
    <x v="2"/>
    <x v="0"/>
    <x v="8"/>
    <x v="3"/>
    <x v="10"/>
    <x v="2"/>
  </r>
  <r>
    <x v="1996"/>
    <x v="4"/>
    <x v="8"/>
    <n v="30"/>
    <x v="1533"/>
    <x v="73"/>
    <d v="2025-03-16T00:00:00"/>
    <x v="2"/>
    <x v="1"/>
    <x v="0"/>
    <x v="0"/>
    <x v="26"/>
    <x v="3"/>
    <x v="10"/>
    <x v="2"/>
  </r>
  <r>
    <x v="1997"/>
    <x v="14"/>
    <x v="2"/>
    <n v="37.299999999999997"/>
    <x v="1534"/>
    <x v="73"/>
    <d v="2025-03-16T00:00:00"/>
    <x v="1"/>
    <x v="2"/>
    <x v="0"/>
    <x v="0"/>
    <x v="9"/>
    <x v="3"/>
    <x v="10"/>
    <x v="1"/>
  </r>
  <r>
    <x v="1998"/>
    <x v="4"/>
    <x v="11"/>
    <n v="25.1"/>
    <x v="1535"/>
    <x v="73"/>
    <d v="2025-03-17T00:00:00"/>
    <x v="1"/>
    <x v="1"/>
    <x v="2"/>
    <x v="0"/>
    <x v="11"/>
    <x v="1"/>
    <x v="10"/>
    <x v="1"/>
  </r>
  <r>
    <x v="1999"/>
    <x v="8"/>
    <x v="5"/>
    <n v="36"/>
    <x v="501"/>
    <x v="73"/>
    <d v="2025-03-25T00:00:00"/>
    <x v="1"/>
    <x v="1"/>
    <x v="0"/>
    <x v="0"/>
    <x v="18"/>
    <x v="14"/>
    <x v="10"/>
    <x v="1"/>
  </r>
  <r>
    <x v="2000"/>
    <x v="16"/>
    <x v="2"/>
    <n v="48.5"/>
    <x v="973"/>
    <x v="73"/>
    <d v="2025-03-19T00:00:00"/>
    <x v="2"/>
    <x v="1"/>
    <x v="0"/>
    <x v="0"/>
    <x v="19"/>
    <x v="5"/>
    <x v="10"/>
    <x v="2"/>
  </r>
  <r>
    <x v="2001"/>
    <x v="17"/>
    <x v="13"/>
    <n v="21.1"/>
    <x v="1077"/>
    <x v="73"/>
    <d v="2025-03-16T00:00:00"/>
    <x v="1"/>
    <x v="1"/>
    <x v="2"/>
    <x v="0"/>
    <x v="21"/>
    <x v="3"/>
    <x v="10"/>
    <x v="1"/>
  </r>
  <r>
    <x v="2002"/>
    <x v="15"/>
    <x v="21"/>
    <n v="43.2"/>
    <x v="1536"/>
    <x v="73"/>
    <d v="2025-03-16T00:00:00"/>
    <x v="3"/>
    <x v="0"/>
    <x v="1"/>
    <x v="0"/>
    <x v="21"/>
    <x v="3"/>
    <x v="10"/>
    <x v="0"/>
  </r>
  <r>
    <x v="2003"/>
    <x v="9"/>
    <x v="1"/>
    <n v="21.1"/>
    <x v="1283"/>
    <x v="73"/>
    <d v="2025-03-16T00:00:00"/>
    <x v="0"/>
    <x v="3"/>
    <x v="1"/>
    <x v="0"/>
    <x v="21"/>
    <x v="3"/>
    <x v="10"/>
    <x v="0"/>
  </r>
  <r>
    <x v="2004"/>
    <x v="6"/>
    <x v="12"/>
    <n v="41.3"/>
    <x v="1537"/>
    <x v="73"/>
    <d v="2025-03-17T00:00:00"/>
    <x v="2"/>
    <x v="3"/>
    <x v="2"/>
    <x v="0"/>
    <x v="1"/>
    <x v="1"/>
    <x v="10"/>
    <x v="2"/>
  </r>
  <r>
    <x v="2005"/>
    <x v="8"/>
    <x v="1"/>
    <n v="15.3"/>
    <x v="1538"/>
    <x v="73"/>
    <d v="2025-03-18T00:00:00"/>
    <x v="0"/>
    <x v="2"/>
    <x v="2"/>
    <x v="0"/>
    <x v="1"/>
    <x v="2"/>
    <x v="10"/>
    <x v="0"/>
  </r>
  <r>
    <x v="2006"/>
    <x v="1"/>
    <x v="0"/>
    <n v="54.6"/>
    <x v="1539"/>
    <x v="73"/>
    <d v="2025-03-17T00:00:00"/>
    <x v="1"/>
    <x v="1"/>
    <x v="1"/>
    <x v="0"/>
    <x v="2"/>
    <x v="1"/>
    <x v="10"/>
    <x v="1"/>
  </r>
  <r>
    <x v="2007"/>
    <x v="8"/>
    <x v="0"/>
    <n v="15.9"/>
    <x v="1021"/>
    <x v="73"/>
    <d v="2025-03-16T00:00:00"/>
    <x v="1"/>
    <x v="0"/>
    <x v="1"/>
    <x v="0"/>
    <x v="22"/>
    <x v="3"/>
    <x v="10"/>
    <x v="1"/>
  </r>
  <r>
    <x v="2008"/>
    <x v="9"/>
    <x v="0"/>
    <n v="50.2"/>
    <x v="486"/>
    <x v="73"/>
    <d v="2025-03-17T00:00:00"/>
    <x v="2"/>
    <x v="3"/>
    <x v="2"/>
    <x v="0"/>
    <x v="34"/>
    <x v="1"/>
    <x v="10"/>
    <x v="2"/>
  </r>
  <r>
    <x v="2009"/>
    <x v="11"/>
    <x v="12"/>
    <n v="85.1"/>
    <x v="1540"/>
    <x v="73"/>
    <d v="2025-03-16T00:00:00"/>
    <x v="2"/>
    <x v="3"/>
    <x v="4"/>
    <x v="0"/>
    <x v="34"/>
    <x v="3"/>
    <x v="10"/>
    <x v="2"/>
  </r>
  <r>
    <x v="2010"/>
    <x v="11"/>
    <x v="1"/>
    <n v="41.4"/>
    <x v="1182"/>
    <x v="73"/>
    <d v="2025-03-16T00:00:00"/>
    <x v="2"/>
    <x v="0"/>
    <x v="2"/>
    <x v="0"/>
    <x v="3"/>
    <x v="3"/>
    <x v="10"/>
    <x v="2"/>
  </r>
  <r>
    <x v="2011"/>
    <x v="4"/>
    <x v="3"/>
    <n v="32.700000000000003"/>
    <x v="1541"/>
    <x v="73"/>
    <d v="2025-03-16T00:00:00"/>
    <x v="2"/>
    <x v="2"/>
    <x v="1"/>
    <x v="0"/>
    <x v="3"/>
    <x v="3"/>
    <x v="10"/>
    <x v="2"/>
  </r>
  <r>
    <x v="2012"/>
    <x v="4"/>
    <x v="1"/>
    <n v="41.6"/>
    <x v="707"/>
    <x v="73"/>
    <d v="2025-03-17T00:00:00"/>
    <x v="1"/>
    <x v="4"/>
    <x v="1"/>
    <x v="0"/>
    <x v="3"/>
    <x v="1"/>
    <x v="10"/>
    <x v="1"/>
  </r>
  <r>
    <x v="2013"/>
    <x v="5"/>
    <x v="12"/>
    <n v="64.8"/>
    <x v="629"/>
    <x v="73"/>
    <d v="2025-03-16T00:00:00"/>
    <x v="0"/>
    <x v="2"/>
    <x v="0"/>
    <x v="0"/>
    <x v="3"/>
    <x v="3"/>
    <x v="10"/>
    <x v="0"/>
  </r>
  <r>
    <x v="2014"/>
    <x v="15"/>
    <x v="1"/>
    <n v="33.6"/>
    <x v="863"/>
    <x v="73"/>
    <d v="2025-03-16T00:00:00"/>
    <x v="1"/>
    <x v="0"/>
    <x v="2"/>
    <x v="0"/>
    <x v="3"/>
    <x v="3"/>
    <x v="10"/>
    <x v="1"/>
  </r>
  <r>
    <x v="2015"/>
    <x v="6"/>
    <x v="2"/>
    <n v="100.7"/>
    <x v="1542"/>
    <x v="73"/>
    <d v="2025-03-16T00:00:00"/>
    <x v="0"/>
    <x v="1"/>
    <x v="0"/>
    <x v="0"/>
    <x v="3"/>
    <x v="3"/>
    <x v="10"/>
    <x v="0"/>
  </r>
  <r>
    <x v="2016"/>
    <x v="4"/>
    <x v="1"/>
    <n v="49.3"/>
    <x v="1543"/>
    <x v="74"/>
    <d v="2025-03-18T00:00:00"/>
    <x v="2"/>
    <x v="4"/>
    <x v="2"/>
    <x v="0"/>
    <x v="3"/>
    <x v="1"/>
    <x v="11"/>
    <x v="2"/>
  </r>
  <r>
    <x v="2017"/>
    <x v="2"/>
    <x v="13"/>
    <n v="97"/>
    <x v="1544"/>
    <x v="74"/>
    <d v="2025-03-19T00:00:00"/>
    <x v="1"/>
    <x v="2"/>
    <x v="2"/>
    <x v="0"/>
    <x v="3"/>
    <x v="2"/>
    <x v="11"/>
    <x v="1"/>
  </r>
  <r>
    <x v="2018"/>
    <x v="0"/>
    <x v="13"/>
    <n v="25.2"/>
    <x v="277"/>
    <x v="74"/>
    <d v="2025-03-19T00:00:00"/>
    <x v="2"/>
    <x v="4"/>
    <x v="2"/>
    <x v="0"/>
    <x v="3"/>
    <x v="2"/>
    <x v="11"/>
    <x v="2"/>
  </r>
  <r>
    <x v="2019"/>
    <x v="0"/>
    <x v="5"/>
    <n v="12.2"/>
    <x v="1545"/>
    <x v="74"/>
    <d v="2025-03-17T00:00:00"/>
    <x v="0"/>
    <x v="0"/>
    <x v="1"/>
    <x v="0"/>
    <x v="3"/>
    <x v="3"/>
    <x v="11"/>
    <x v="0"/>
  </r>
  <r>
    <x v="2020"/>
    <x v="8"/>
    <x v="3"/>
    <n v="38.799999999999997"/>
    <x v="1546"/>
    <x v="74"/>
    <d v="2025-03-18T00:00:00"/>
    <x v="2"/>
    <x v="1"/>
    <x v="1"/>
    <x v="0"/>
    <x v="23"/>
    <x v="1"/>
    <x v="11"/>
    <x v="2"/>
  </r>
  <r>
    <x v="2021"/>
    <x v="2"/>
    <x v="12"/>
    <n v="53.2"/>
    <x v="1547"/>
    <x v="74"/>
    <d v="2025-03-17T00:00:00"/>
    <x v="1"/>
    <x v="0"/>
    <x v="2"/>
    <x v="0"/>
    <x v="8"/>
    <x v="3"/>
    <x v="11"/>
    <x v="1"/>
  </r>
  <r>
    <x v="2022"/>
    <x v="6"/>
    <x v="3"/>
    <n v="151"/>
    <x v="1548"/>
    <x v="74"/>
    <d v="2025-03-17T00:00:00"/>
    <x v="3"/>
    <x v="1"/>
    <x v="1"/>
    <x v="0"/>
    <x v="8"/>
    <x v="3"/>
    <x v="11"/>
    <x v="0"/>
  </r>
  <r>
    <x v="2023"/>
    <x v="1"/>
    <x v="1"/>
    <n v="37.1"/>
    <x v="1314"/>
    <x v="74"/>
    <d v="2025-03-17T00:00:00"/>
    <x v="2"/>
    <x v="4"/>
    <x v="0"/>
    <x v="0"/>
    <x v="8"/>
    <x v="3"/>
    <x v="11"/>
    <x v="2"/>
  </r>
  <r>
    <x v="2024"/>
    <x v="5"/>
    <x v="1"/>
    <n v="38.9"/>
    <x v="482"/>
    <x v="74"/>
    <d v="2025-03-17T00:00:00"/>
    <x v="1"/>
    <x v="4"/>
    <x v="0"/>
    <x v="0"/>
    <x v="8"/>
    <x v="3"/>
    <x v="11"/>
    <x v="1"/>
  </r>
  <r>
    <x v="2025"/>
    <x v="10"/>
    <x v="1"/>
    <n v="35.200000000000003"/>
    <x v="1549"/>
    <x v="74"/>
    <d v="2025-03-17T00:00:00"/>
    <x v="1"/>
    <x v="0"/>
    <x v="2"/>
    <x v="0"/>
    <x v="17"/>
    <x v="3"/>
    <x v="11"/>
    <x v="1"/>
  </r>
  <r>
    <x v="2026"/>
    <x v="0"/>
    <x v="1"/>
    <n v="22.3"/>
    <x v="225"/>
    <x v="74"/>
    <d v="2025-03-18T00:00:00"/>
    <x v="2"/>
    <x v="1"/>
    <x v="0"/>
    <x v="0"/>
    <x v="9"/>
    <x v="1"/>
    <x v="11"/>
    <x v="2"/>
  </r>
  <r>
    <x v="2027"/>
    <x v="9"/>
    <x v="0"/>
    <n v="43.3"/>
    <x v="1286"/>
    <x v="74"/>
    <d v="2025-03-19T00:00:00"/>
    <x v="2"/>
    <x v="0"/>
    <x v="2"/>
    <x v="0"/>
    <x v="11"/>
    <x v="2"/>
    <x v="11"/>
    <x v="2"/>
  </r>
  <r>
    <x v="2028"/>
    <x v="6"/>
    <x v="13"/>
    <n v="75.900000000000006"/>
    <x v="1550"/>
    <x v="74"/>
    <d v="2025-03-22T00:00:00"/>
    <x v="1"/>
    <x v="0"/>
    <x v="0"/>
    <x v="0"/>
    <x v="11"/>
    <x v="4"/>
    <x v="11"/>
    <x v="1"/>
  </r>
  <r>
    <x v="2029"/>
    <x v="6"/>
    <x v="2"/>
    <n v="78.7"/>
    <x v="1551"/>
    <x v="74"/>
    <d v="2025-03-20T00:00:00"/>
    <x v="2"/>
    <x v="2"/>
    <x v="1"/>
    <x v="0"/>
    <x v="11"/>
    <x v="5"/>
    <x v="11"/>
    <x v="2"/>
  </r>
  <r>
    <x v="2030"/>
    <x v="1"/>
    <x v="0"/>
    <n v="66.3"/>
    <x v="1124"/>
    <x v="74"/>
    <d v="2025-03-20T00:00:00"/>
    <x v="2"/>
    <x v="0"/>
    <x v="2"/>
    <x v="0"/>
    <x v="19"/>
    <x v="5"/>
    <x v="11"/>
    <x v="2"/>
  </r>
  <r>
    <x v="2031"/>
    <x v="8"/>
    <x v="1"/>
    <n v="33.6"/>
    <x v="863"/>
    <x v="74"/>
    <d v="2025-03-16T00:00:00"/>
    <x v="1"/>
    <x v="0"/>
    <x v="1"/>
    <x v="0"/>
    <x v="19"/>
    <x v="7"/>
    <x v="11"/>
    <x v="1"/>
  </r>
  <r>
    <x v="2032"/>
    <x v="2"/>
    <x v="3"/>
    <n v="61.4"/>
    <x v="1552"/>
    <x v="74"/>
    <d v="2025-03-17T00:00:00"/>
    <x v="1"/>
    <x v="4"/>
    <x v="0"/>
    <x v="0"/>
    <x v="19"/>
    <x v="3"/>
    <x v="11"/>
    <x v="1"/>
  </r>
  <r>
    <x v="2033"/>
    <x v="8"/>
    <x v="1"/>
    <n v="17.5"/>
    <x v="1553"/>
    <x v="74"/>
    <d v="2025-03-19T00:00:00"/>
    <x v="2"/>
    <x v="0"/>
    <x v="0"/>
    <x v="0"/>
    <x v="21"/>
    <x v="2"/>
    <x v="11"/>
    <x v="2"/>
  </r>
  <r>
    <x v="2034"/>
    <x v="8"/>
    <x v="1"/>
    <n v="32.5"/>
    <x v="891"/>
    <x v="74"/>
    <d v="2025-03-19T00:00:00"/>
    <x v="2"/>
    <x v="1"/>
    <x v="0"/>
    <x v="0"/>
    <x v="21"/>
    <x v="2"/>
    <x v="11"/>
    <x v="2"/>
  </r>
  <r>
    <x v="2035"/>
    <x v="4"/>
    <x v="0"/>
    <n v="34.6"/>
    <x v="169"/>
    <x v="74"/>
    <d v="2025-03-17T00:00:00"/>
    <x v="2"/>
    <x v="4"/>
    <x v="0"/>
    <x v="0"/>
    <x v="21"/>
    <x v="3"/>
    <x v="11"/>
    <x v="2"/>
  </r>
  <r>
    <x v="2036"/>
    <x v="2"/>
    <x v="0"/>
    <n v="75.900000000000006"/>
    <x v="1554"/>
    <x v="74"/>
    <d v="2025-03-16T00:00:00"/>
    <x v="1"/>
    <x v="1"/>
    <x v="2"/>
    <x v="0"/>
    <x v="21"/>
    <x v="7"/>
    <x v="11"/>
    <x v="1"/>
  </r>
  <r>
    <x v="2037"/>
    <x v="1"/>
    <x v="2"/>
    <n v="42.1"/>
    <x v="1555"/>
    <x v="74"/>
    <d v="2025-03-19T00:00:00"/>
    <x v="1"/>
    <x v="1"/>
    <x v="1"/>
    <x v="0"/>
    <x v="21"/>
    <x v="2"/>
    <x v="11"/>
    <x v="1"/>
  </r>
  <r>
    <x v="2038"/>
    <x v="7"/>
    <x v="2"/>
    <n v="65.3"/>
    <x v="243"/>
    <x v="74"/>
    <d v="2025-03-23T00:00:00"/>
    <x v="1"/>
    <x v="0"/>
    <x v="0"/>
    <x v="0"/>
    <x v="1"/>
    <x v="6"/>
    <x v="11"/>
    <x v="1"/>
  </r>
  <r>
    <x v="2039"/>
    <x v="15"/>
    <x v="0"/>
    <n v="20.6"/>
    <x v="1500"/>
    <x v="74"/>
    <d v="2025-03-19T00:00:00"/>
    <x v="1"/>
    <x v="3"/>
    <x v="0"/>
    <x v="0"/>
    <x v="42"/>
    <x v="2"/>
    <x v="11"/>
    <x v="1"/>
  </r>
  <r>
    <x v="2040"/>
    <x v="8"/>
    <x v="3"/>
    <n v="16.5"/>
    <x v="100"/>
    <x v="74"/>
    <d v="2025-03-17T00:00:00"/>
    <x v="1"/>
    <x v="1"/>
    <x v="1"/>
    <x v="0"/>
    <x v="2"/>
    <x v="3"/>
    <x v="11"/>
    <x v="1"/>
  </r>
  <r>
    <x v="2041"/>
    <x v="16"/>
    <x v="7"/>
    <n v="36.200000000000003"/>
    <x v="1556"/>
    <x v="74"/>
    <d v="2025-03-18T00:00:00"/>
    <x v="1"/>
    <x v="0"/>
    <x v="2"/>
    <x v="0"/>
    <x v="2"/>
    <x v="1"/>
    <x v="11"/>
    <x v="1"/>
  </r>
  <r>
    <x v="2042"/>
    <x v="6"/>
    <x v="0"/>
    <n v="53.2"/>
    <x v="1557"/>
    <x v="74"/>
    <d v="2025-03-17T00:00:00"/>
    <x v="2"/>
    <x v="0"/>
    <x v="1"/>
    <x v="0"/>
    <x v="22"/>
    <x v="3"/>
    <x v="11"/>
    <x v="2"/>
  </r>
  <r>
    <x v="2043"/>
    <x v="2"/>
    <x v="21"/>
    <n v="176"/>
    <x v="1558"/>
    <x v="74"/>
    <d v="2025-03-17T00:00:00"/>
    <x v="2"/>
    <x v="0"/>
    <x v="1"/>
    <x v="0"/>
    <x v="3"/>
    <x v="3"/>
    <x v="11"/>
    <x v="2"/>
  </r>
  <r>
    <x v="2044"/>
    <x v="1"/>
    <x v="0"/>
    <n v="52.4"/>
    <x v="1559"/>
    <x v="74"/>
    <d v="2025-03-17T00:00:00"/>
    <x v="1"/>
    <x v="1"/>
    <x v="0"/>
    <x v="0"/>
    <x v="3"/>
    <x v="3"/>
    <x v="11"/>
    <x v="1"/>
  </r>
  <r>
    <x v="2045"/>
    <x v="10"/>
    <x v="2"/>
    <n v="48.2"/>
    <x v="1435"/>
    <x v="74"/>
    <d v="2025-03-17T00:00:00"/>
    <x v="2"/>
    <x v="1"/>
    <x v="2"/>
    <x v="0"/>
    <x v="3"/>
    <x v="3"/>
    <x v="11"/>
    <x v="2"/>
  </r>
  <r>
    <x v="2046"/>
    <x v="15"/>
    <x v="0"/>
    <n v="51.6"/>
    <x v="937"/>
    <x v="74"/>
    <d v="2025-03-20T00:00:00"/>
    <x v="2"/>
    <x v="2"/>
    <x v="1"/>
    <x v="0"/>
    <x v="3"/>
    <x v="5"/>
    <x v="11"/>
    <x v="2"/>
  </r>
  <r>
    <x v="2047"/>
    <x v="0"/>
    <x v="12"/>
    <n v="33.700000000000003"/>
    <x v="1093"/>
    <x v="75"/>
    <d v="2025-03-18T00:00:00"/>
    <x v="1"/>
    <x v="0"/>
    <x v="0"/>
    <x v="0"/>
    <x v="3"/>
    <x v="3"/>
    <x v="11"/>
    <x v="1"/>
  </r>
  <r>
    <x v="2048"/>
    <x v="4"/>
    <x v="7"/>
    <n v="36.299999999999997"/>
    <x v="1560"/>
    <x v="75"/>
    <d v="2025-03-19T00:00:00"/>
    <x v="2"/>
    <x v="4"/>
    <x v="1"/>
    <x v="0"/>
    <x v="3"/>
    <x v="1"/>
    <x v="11"/>
    <x v="2"/>
  </r>
  <r>
    <x v="2049"/>
    <x v="8"/>
    <x v="0"/>
    <n v="23.4"/>
    <x v="1561"/>
    <x v="75"/>
    <d v="2025-03-22T00:00:00"/>
    <x v="2"/>
    <x v="1"/>
    <x v="2"/>
    <x v="0"/>
    <x v="3"/>
    <x v="0"/>
    <x v="11"/>
    <x v="2"/>
  </r>
  <r>
    <x v="2050"/>
    <x v="15"/>
    <x v="8"/>
    <n v="56.6"/>
    <x v="1562"/>
    <x v="75"/>
    <d v="2025-03-19T00:00:00"/>
    <x v="2"/>
    <x v="1"/>
    <x v="0"/>
    <x v="0"/>
    <x v="3"/>
    <x v="1"/>
    <x v="11"/>
    <x v="2"/>
  </r>
  <r>
    <x v="2051"/>
    <x v="15"/>
    <x v="1"/>
    <n v="26.8"/>
    <x v="1563"/>
    <x v="75"/>
    <d v="2025-03-18T00:00:00"/>
    <x v="1"/>
    <x v="0"/>
    <x v="0"/>
    <x v="0"/>
    <x v="4"/>
    <x v="3"/>
    <x v="11"/>
    <x v="1"/>
  </r>
  <r>
    <x v="2052"/>
    <x v="0"/>
    <x v="2"/>
    <n v="11.3"/>
    <x v="1564"/>
    <x v="75"/>
    <d v="2025-03-19T00:00:00"/>
    <x v="1"/>
    <x v="2"/>
    <x v="0"/>
    <x v="0"/>
    <x v="25"/>
    <x v="1"/>
    <x v="11"/>
    <x v="1"/>
  </r>
  <r>
    <x v="2053"/>
    <x v="6"/>
    <x v="2"/>
    <n v="60.1"/>
    <x v="1565"/>
    <x v="75"/>
    <d v="2025-03-20T00:00:00"/>
    <x v="2"/>
    <x v="0"/>
    <x v="0"/>
    <x v="0"/>
    <x v="7"/>
    <x v="2"/>
    <x v="11"/>
    <x v="2"/>
  </r>
  <r>
    <x v="2054"/>
    <x v="0"/>
    <x v="5"/>
    <n v="27.7"/>
    <x v="1566"/>
    <x v="75"/>
    <d v="2025-03-22T00:00:00"/>
    <x v="2"/>
    <x v="0"/>
    <x v="0"/>
    <x v="0"/>
    <x v="8"/>
    <x v="0"/>
    <x v="11"/>
    <x v="2"/>
  </r>
  <r>
    <x v="2055"/>
    <x v="15"/>
    <x v="0"/>
    <n v="71.400000000000006"/>
    <x v="660"/>
    <x v="75"/>
    <d v="2025-03-20T00:00:00"/>
    <x v="1"/>
    <x v="0"/>
    <x v="2"/>
    <x v="0"/>
    <x v="8"/>
    <x v="2"/>
    <x v="11"/>
    <x v="1"/>
  </r>
  <r>
    <x v="2056"/>
    <x v="2"/>
    <x v="1"/>
    <n v="66.7"/>
    <x v="1567"/>
    <x v="75"/>
    <d v="2025-03-18T00:00:00"/>
    <x v="2"/>
    <x v="0"/>
    <x v="2"/>
    <x v="0"/>
    <x v="8"/>
    <x v="3"/>
    <x v="11"/>
    <x v="2"/>
  </r>
  <r>
    <x v="2057"/>
    <x v="13"/>
    <x v="9"/>
    <n v="39.1"/>
    <x v="1568"/>
    <x v="75"/>
    <d v="2025-03-18T00:00:00"/>
    <x v="2"/>
    <x v="0"/>
    <x v="0"/>
    <x v="0"/>
    <x v="8"/>
    <x v="3"/>
    <x v="11"/>
    <x v="2"/>
  </r>
  <r>
    <x v="2058"/>
    <x v="8"/>
    <x v="12"/>
    <n v="24.9"/>
    <x v="1569"/>
    <x v="75"/>
    <d v="2025-03-22T00:00:00"/>
    <x v="1"/>
    <x v="1"/>
    <x v="2"/>
    <x v="0"/>
    <x v="8"/>
    <x v="0"/>
    <x v="11"/>
    <x v="1"/>
  </r>
  <r>
    <x v="2059"/>
    <x v="5"/>
    <x v="9"/>
    <n v="29.2"/>
    <x v="1570"/>
    <x v="75"/>
    <d v="2025-03-18T00:00:00"/>
    <x v="1"/>
    <x v="0"/>
    <x v="2"/>
    <x v="0"/>
    <x v="17"/>
    <x v="3"/>
    <x v="11"/>
    <x v="1"/>
  </r>
  <r>
    <x v="2060"/>
    <x v="13"/>
    <x v="21"/>
    <n v="28.3"/>
    <x v="1571"/>
    <x v="75"/>
    <d v="2025-03-19T00:00:00"/>
    <x v="2"/>
    <x v="1"/>
    <x v="0"/>
    <x v="0"/>
    <x v="11"/>
    <x v="1"/>
    <x v="11"/>
    <x v="2"/>
  </r>
  <r>
    <x v="2061"/>
    <x v="9"/>
    <x v="2"/>
    <n v="37.799999999999997"/>
    <x v="1413"/>
    <x v="75"/>
    <d v="2025-03-18T00:00:00"/>
    <x v="2"/>
    <x v="0"/>
    <x v="1"/>
    <x v="0"/>
    <x v="11"/>
    <x v="3"/>
    <x v="11"/>
    <x v="2"/>
  </r>
  <r>
    <x v="2062"/>
    <x v="14"/>
    <x v="3"/>
    <n v="28.1"/>
    <x v="1572"/>
    <x v="75"/>
    <d v="2025-03-23T00:00:00"/>
    <x v="2"/>
    <x v="2"/>
    <x v="0"/>
    <x v="0"/>
    <x v="11"/>
    <x v="4"/>
    <x v="11"/>
    <x v="2"/>
  </r>
  <r>
    <x v="2063"/>
    <x v="1"/>
    <x v="2"/>
    <n v="59.7"/>
    <x v="1573"/>
    <x v="75"/>
    <d v="2025-03-19T00:00:00"/>
    <x v="2"/>
    <x v="2"/>
    <x v="0"/>
    <x v="0"/>
    <x v="11"/>
    <x v="1"/>
    <x v="11"/>
    <x v="2"/>
  </r>
  <r>
    <x v="2064"/>
    <x v="16"/>
    <x v="0"/>
    <n v="71.900000000000006"/>
    <x v="1574"/>
    <x v="75"/>
    <d v="2025-03-18T00:00:00"/>
    <x v="1"/>
    <x v="1"/>
    <x v="1"/>
    <x v="0"/>
    <x v="11"/>
    <x v="3"/>
    <x v="11"/>
    <x v="1"/>
  </r>
  <r>
    <x v="2065"/>
    <x v="1"/>
    <x v="1"/>
    <n v="56.9"/>
    <x v="1575"/>
    <x v="75"/>
    <d v="2025-03-18T00:00:00"/>
    <x v="1"/>
    <x v="2"/>
    <x v="0"/>
    <x v="0"/>
    <x v="13"/>
    <x v="3"/>
    <x v="11"/>
    <x v="1"/>
  </r>
  <r>
    <x v="2066"/>
    <x v="8"/>
    <x v="1"/>
    <n v="15.8"/>
    <x v="35"/>
    <x v="75"/>
    <d v="2025-03-20T00:00:00"/>
    <x v="2"/>
    <x v="2"/>
    <x v="1"/>
    <x v="0"/>
    <x v="1"/>
    <x v="2"/>
    <x v="11"/>
    <x v="2"/>
  </r>
  <r>
    <x v="2067"/>
    <x v="11"/>
    <x v="12"/>
    <n v="61.7"/>
    <x v="1576"/>
    <x v="75"/>
    <d v="2025-03-19T00:00:00"/>
    <x v="2"/>
    <x v="2"/>
    <x v="0"/>
    <x v="0"/>
    <x v="22"/>
    <x v="1"/>
    <x v="11"/>
    <x v="2"/>
  </r>
  <r>
    <x v="2068"/>
    <x v="2"/>
    <x v="7"/>
    <n v="105.2"/>
    <x v="1577"/>
    <x v="75"/>
    <d v="2025-03-19T00:00:00"/>
    <x v="1"/>
    <x v="1"/>
    <x v="4"/>
    <x v="0"/>
    <x v="3"/>
    <x v="1"/>
    <x v="11"/>
    <x v="1"/>
  </r>
  <r>
    <x v="2069"/>
    <x v="0"/>
    <x v="1"/>
    <n v="17"/>
    <x v="1222"/>
    <x v="75"/>
    <d v="2025-03-19T00:00:00"/>
    <x v="2"/>
    <x v="2"/>
    <x v="0"/>
    <x v="0"/>
    <x v="3"/>
    <x v="1"/>
    <x v="11"/>
    <x v="2"/>
  </r>
  <r>
    <x v="2070"/>
    <x v="6"/>
    <x v="2"/>
    <n v="84.1"/>
    <x v="1578"/>
    <x v="75"/>
    <d v="2025-03-18T00:00:00"/>
    <x v="1"/>
    <x v="2"/>
    <x v="0"/>
    <x v="0"/>
    <x v="3"/>
    <x v="3"/>
    <x v="11"/>
    <x v="1"/>
  </r>
  <r>
    <x v="2071"/>
    <x v="3"/>
    <x v="12"/>
    <n v="59.5"/>
    <x v="1248"/>
    <x v="75"/>
    <d v="2025-03-22T00:00:00"/>
    <x v="1"/>
    <x v="0"/>
    <x v="2"/>
    <x v="0"/>
    <x v="3"/>
    <x v="0"/>
    <x v="11"/>
    <x v="1"/>
  </r>
  <r>
    <x v="2072"/>
    <x v="8"/>
    <x v="1"/>
    <n v="57.5"/>
    <x v="1579"/>
    <x v="75"/>
    <d v="2025-03-19T00:00:00"/>
    <x v="1"/>
    <x v="1"/>
    <x v="2"/>
    <x v="0"/>
    <x v="3"/>
    <x v="1"/>
    <x v="11"/>
    <x v="1"/>
  </r>
  <r>
    <x v="2073"/>
    <x v="8"/>
    <x v="0"/>
    <n v="34.299999999999997"/>
    <x v="1580"/>
    <x v="75"/>
    <d v="2025-03-18T00:00:00"/>
    <x v="2"/>
    <x v="4"/>
    <x v="2"/>
    <x v="0"/>
    <x v="3"/>
    <x v="3"/>
    <x v="11"/>
    <x v="2"/>
  </r>
  <r>
    <x v="2074"/>
    <x v="5"/>
    <x v="1"/>
    <n v="27.8"/>
    <x v="1581"/>
    <x v="76"/>
    <d v="2025-03-20T00:00:00"/>
    <x v="2"/>
    <x v="0"/>
    <x v="0"/>
    <x v="0"/>
    <x v="3"/>
    <x v="1"/>
    <x v="11"/>
    <x v="2"/>
  </r>
  <r>
    <x v="2075"/>
    <x v="12"/>
    <x v="1"/>
    <n v="85"/>
    <x v="393"/>
    <x v="76"/>
    <d v="2025-03-18T00:00:00"/>
    <x v="1"/>
    <x v="2"/>
    <x v="2"/>
    <x v="0"/>
    <x v="3"/>
    <x v="7"/>
    <x v="11"/>
    <x v="1"/>
  </r>
  <r>
    <x v="2076"/>
    <x v="6"/>
    <x v="1"/>
    <n v="95"/>
    <x v="1582"/>
    <x v="76"/>
    <d v="2025-03-20T00:00:00"/>
    <x v="2"/>
    <x v="0"/>
    <x v="0"/>
    <x v="0"/>
    <x v="3"/>
    <x v="1"/>
    <x v="11"/>
    <x v="2"/>
  </r>
  <r>
    <x v="2077"/>
    <x v="16"/>
    <x v="1"/>
    <n v="32"/>
    <x v="34"/>
    <x v="76"/>
    <d v="2025-03-20T00:00:00"/>
    <x v="1"/>
    <x v="0"/>
    <x v="1"/>
    <x v="0"/>
    <x v="3"/>
    <x v="1"/>
    <x v="11"/>
    <x v="1"/>
  </r>
  <r>
    <x v="2078"/>
    <x v="2"/>
    <x v="1"/>
    <n v="65.2"/>
    <x v="1583"/>
    <x v="76"/>
    <d v="2025-03-19T00:00:00"/>
    <x v="2"/>
    <x v="1"/>
    <x v="0"/>
    <x v="0"/>
    <x v="3"/>
    <x v="3"/>
    <x v="11"/>
    <x v="2"/>
  </r>
  <r>
    <x v="2079"/>
    <x v="17"/>
    <x v="12"/>
    <n v="22"/>
    <x v="1155"/>
    <x v="76"/>
    <d v="2025-03-19T00:00:00"/>
    <x v="1"/>
    <x v="1"/>
    <x v="2"/>
    <x v="0"/>
    <x v="3"/>
    <x v="3"/>
    <x v="11"/>
    <x v="1"/>
  </r>
  <r>
    <x v="2080"/>
    <x v="15"/>
    <x v="2"/>
    <n v="69.400000000000006"/>
    <x v="140"/>
    <x v="76"/>
    <d v="2025-03-21T00:00:00"/>
    <x v="1"/>
    <x v="1"/>
    <x v="2"/>
    <x v="0"/>
    <x v="3"/>
    <x v="2"/>
    <x v="11"/>
    <x v="1"/>
  </r>
  <r>
    <x v="2081"/>
    <x v="10"/>
    <x v="13"/>
    <n v="31.5"/>
    <x v="620"/>
    <x v="76"/>
    <d v="2025-03-20T00:00:00"/>
    <x v="2"/>
    <x v="0"/>
    <x v="2"/>
    <x v="0"/>
    <x v="3"/>
    <x v="1"/>
    <x v="11"/>
    <x v="2"/>
  </r>
  <r>
    <x v="2082"/>
    <x v="6"/>
    <x v="0"/>
    <n v="45.8"/>
    <x v="494"/>
    <x v="76"/>
    <d v="2025-03-22T00:00:00"/>
    <x v="3"/>
    <x v="0"/>
    <x v="0"/>
    <x v="0"/>
    <x v="3"/>
    <x v="5"/>
    <x v="11"/>
    <x v="0"/>
  </r>
  <r>
    <x v="2083"/>
    <x v="19"/>
    <x v="12"/>
    <n v="12.8"/>
    <x v="180"/>
    <x v="76"/>
    <d v="2025-03-25T00:00:00"/>
    <x v="2"/>
    <x v="1"/>
    <x v="1"/>
    <x v="0"/>
    <x v="5"/>
    <x v="6"/>
    <x v="11"/>
    <x v="2"/>
  </r>
  <r>
    <x v="2084"/>
    <x v="5"/>
    <x v="2"/>
    <n v="115.3"/>
    <x v="1584"/>
    <x v="76"/>
    <d v="2025-03-19T00:00:00"/>
    <x v="2"/>
    <x v="2"/>
    <x v="2"/>
    <x v="0"/>
    <x v="6"/>
    <x v="3"/>
    <x v="11"/>
    <x v="2"/>
  </r>
  <r>
    <x v="2085"/>
    <x v="5"/>
    <x v="1"/>
    <n v="85"/>
    <x v="393"/>
    <x v="76"/>
    <d v="2025-03-20T00:00:00"/>
    <x v="2"/>
    <x v="1"/>
    <x v="0"/>
    <x v="0"/>
    <x v="7"/>
    <x v="1"/>
    <x v="11"/>
    <x v="2"/>
  </r>
  <r>
    <x v="2086"/>
    <x v="8"/>
    <x v="2"/>
    <n v="56.6"/>
    <x v="1026"/>
    <x v="76"/>
    <d v="2025-03-19T00:00:00"/>
    <x v="2"/>
    <x v="1"/>
    <x v="2"/>
    <x v="0"/>
    <x v="7"/>
    <x v="3"/>
    <x v="11"/>
    <x v="2"/>
  </r>
  <r>
    <x v="2087"/>
    <x v="15"/>
    <x v="6"/>
    <n v="46.3"/>
    <x v="1585"/>
    <x v="76"/>
    <d v="2025-03-21T00:00:00"/>
    <x v="1"/>
    <x v="0"/>
    <x v="0"/>
    <x v="0"/>
    <x v="7"/>
    <x v="2"/>
    <x v="11"/>
    <x v="1"/>
  </r>
  <r>
    <x v="2088"/>
    <x v="14"/>
    <x v="12"/>
    <n v="23"/>
    <x v="988"/>
    <x v="76"/>
    <d v="2025-03-22T00:00:00"/>
    <x v="1"/>
    <x v="3"/>
    <x v="2"/>
    <x v="0"/>
    <x v="7"/>
    <x v="5"/>
    <x v="11"/>
    <x v="1"/>
  </r>
  <r>
    <x v="2089"/>
    <x v="8"/>
    <x v="13"/>
    <n v="42.1"/>
    <x v="1586"/>
    <x v="76"/>
    <d v="2025-03-20T00:00:00"/>
    <x v="1"/>
    <x v="4"/>
    <x v="0"/>
    <x v="0"/>
    <x v="8"/>
    <x v="1"/>
    <x v="11"/>
    <x v="1"/>
  </r>
  <r>
    <x v="2090"/>
    <x v="5"/>
    <x v="3"/>
    <n v="57.4"/>
    <x v="1587"/>
    <x v="76"/>
    <d v="2025-03-22T00:00:00"/>
    <x v="2"/>
    <x v="1"/>
    <x v="4"/>
    <x v="0"/>
    <x v="8"/>
    <x v="5"/>
    <x v="11"/>
    <x v="2"/>
  </r>
  <r>
    <x v="2091"/>
    <x v="0"/>
    <x v="13"/>
    <n v="13.2"/>
    <x v="1113"/>
    <x v="76"/>
    <d v="2025-03-22T00:00:00"/>
    <x v="1"/>
    <x v="2"/>
    <x v="0"/>
    <x v="0"/>
    <x v="8"/>
    <x v="5"/>
    <x v="11"/>
    <x v="1"/>
  </r>
  <r>
    <x v="2092"/>
    <x v="6"/>
    <x v="2"/>
    <n v="52.3"/>
    <x v="1588"/>
    <x v="76"/>
    <d v="2025-03-19T00:00:00"/>
    <x v="1"/>
    <x v="1"/>
    <x v="0"/>
    <x v="0"/>
    <x v="8"/>
    <x v="3"/>
    <x v="11"/>
    <x v="1"/>
  </r>
  <r>
    <x v="2093"/>
    <x v="8"/>
    <x v="1"/>
    <n v="15.7"/>
    <x v="1323"/>
    <x v="76"/>
    <d v="2025-03-21T00:00:00"/>
    <x v="1"/>
    <x v="1"/>
    <x v="2"/>
    <x v="0"/>
    <x v="8"/>
    <x v="2"/>
    <x v="11"/>
    <x v="1"/>
  </r>
  <r>
    <x v="2094"/>
    <x v="7"/>
    <x v="2"/>
    <n v="35"/>
    <x v="211"/>
    <x v="76"/>
    <d v="2025-03-21T00:00:00"/>
    <x v="2"/>
    <x v="1"/>
    <x v="2"/>
    <x v="0"/>
    <x v="9"/>
    <x v="2"/>
    <x v="11"/>
    <x v="2"/>
  </r>
  <r>
    <x v="2095"/>
    <x v="4"/>
    <x v="2"/>
    <n v="26.6"/>
    <x v="1589"/>
    <x v="76"/>
    <d v="2025-03-18T00:00:00"/>
    <x v="1"/>
    <x v="1"/>
    <x v="2"/>
    <x v="0"/>
    <x v="11"/>
    <x v="7"/>
    <x v="11"/>
    <x v="1"/>
  </r>
  <r>
    <x v="2096"/>
    <x v="4"/>
    <x v="8"/>
    <n v="47.9"/>
    <x v="1590"/>
    <x v="77"/>
    <d v="2025-03-20T00:00:00"/>
    <x v="2"/>
    <x v="3"/>
    <x v="2"/>
    <x v="0"/>
    <x v="20"/>
    <x v="3"/>
    <x v="11"/>
    <x v="2"/>
  </r>
  <r>
    <x v="2097"/>
    <x v="5"/>
    <x v="0"/>
    <n v="80.099999999999994"/>
    <x v="1133"/>
    <x v="77"/>
    <d v="2025-03-20T00:00:00"/>
    <x v="1"/>
    <x v="2"/>
    <x v="0"/>
    <x v="0"/>
    <x v="21"/>
    <x v="3"/>
    <x v="11"/>
    <x v="1"/>
  </r>
  <r>
    <x v="2098"/>
    <x v="6"/>
    <x v="9"/>
    <n v="50.4"/>
    <x v="816"/>
    <x v="77"/>
    <d v="2025-03-20T00:00:00"/>
    <x v="1"/>
    <x v="1"/>
    <x v="2"/>
    <x v="0"/>
    <x v="21"/>
    <x v="3"/>
    <x v="11"/>
    <x v="1"/>
  </r>
  <r>
    <x v="2099"/>
    <x v="10"/>
    <x v="3"/>
    <n v="43.3"/>
    <x v="1591"/>
    <x v="77"/>
    <d v="2025-03-20T00:00:00"/>
    <x v="1"/>
    <x v="2"/>
    <x v="0"/>
    <x v="0"/>
    <x v="21"/>
    <x v="3"/>
    <x v="11"/>
    <x v="1"/>
  </r>
  <r>
    <x v="2100"/>
    <x v="10"/>
    <x v="12"/>
    <n v="57.5"/>
    <x v="984"/>
    <x v="77"/>
    <d v="2025-03-20T00:00:00"/>
    <x v="2"/>
    <x v="1"/>
    <x v="2"/>
    <x v="0"/>
    <x v="1"/>
    <x v="3"/>
    <x v="11"/>
    <x v="2"/>
  </r>
  <r>
    <x v="2101"/>
    <x v="9"/>
    <x v="15"/>
    <n v="24.8"/>
    <x v="1592"/>
    <x v="77"/>
    <d v="2025-03-20T00:00:00"/>
    <x v="1"/>
    <x v="0"/>
    <x v="0"/>
    <x v="0"/>
    <x v="57"/>
    <x v="3"/>
    <x v="11"/>
    <x v="1"/>
  </r>
  <r>
    <x v="2102"/>
    <x v="2"/>
    <x v="11"/>
    <n v="85.7"/>
    <x v="1593"/>
    <x v="77"/>
    <d v="2025-03-20T00:00:00"/>
    <x v="2"/>
    <x v="0"/>
    <x v="0"/>
    <x v="0"/>
    <x v="42"/>
    <x v="3"/>
    <x v="11"/>
    <x v="2"/>
  </r>
  <r>
    <x v="2103"/>
    <x v="7"/>
    <x v="0"/>
    <n v="47.1"/>
    <x v="392"/>
    <x v="77"/>
    <d v="2025-03-21T00:00:00"/>
    <x v="2"/>
    <x v="0"/>
    <x v="0"/>
    <x v="0"/>
    <x v="2"/>
    <x v="1"/>
    <x v="11"/>
    <x v="2"/>
  </r>
  <r>
    <x v="2104"/>
    <x v="5"/>
    <x v="7"/>
    <n v="83.2"/>
    <x v="1594"/>
    <x v="77"/>
    <d v="2025-03-23T00:00:00"/>
    <x v="2"/>
    <x v="0"/>
    <x v="0"/>
    <x v="0"/>
    <x v="33"/>
    <x v="5"/>
    <x v="11"/>
    <x v="2"/>
  </r>
  <r>
    <x v="2105"/>
    <x v="2"/>
    <x v="2"/>
    <n v="157"/>
    <x v="1595"/>
    <x v="77"/>
    <d v="2025-03-21T00:00:00"/>
    <x v="2"/>
    <x v="0"/>
    <x v="2"/>
    <x v="0"/>
    <x v="22"/>
    <x v="1"/>
    <x v="11"/>
    <x v="2"/>
  </r>
  <r>
    <x v="2106"/>
    <x v="16"/>
    <x v="12"/>
    <n v="33.700000000000003"/>
    <x v="1093"/>
    <x v="77"/>
    <d v="2025-03-20T00:00:00"/>
    <x v="1"/>
    <x v="2"/>
    <x v="2"/>
    <x v="0"/>
    <x v="22"/>
    <x v="3"/>
    <x v="11"/>
    <x v="1"/>
  </r>
  <r>
    <x v="2107"/>
    <x v="2"/>
    <x v="2"/>
    <n v="60.8"/>
    <x v="1596"/>
    <x v="77"/>
    <d v="2025-03-23T00:00:00"/>
    <x v="2"/>
    <x v="1"/>
    <x v="1"/>
    <x v="0"/>
    <x v="3"/>
    <x v="5"/>
    <x v="11"/>
    <x v="2"/>
  </r>
  <r>
    <x v="2108"/>
    <x v="7"/>
    <x v="0"/>
    <n v="57.6"/>
    <x v="636"/>
    <x v="77"/>
    <d v="2025-03-20T00:00:00"/>
    <x v="1"/>
    <x v="1"/>
    <x v="4"/>
    <x v="0"/>
    <x v="3"/>
    <x v="3"/>
    <x v="11"/>
    <x v="1"/>
  </r>
  <r>
    <x v="2109"/>
    <x v="10"/>
    <x v="0"/>
    <n v="32"/>
    <x v="109"/>
    <x v="77"/>
    <d v="2025-03-21T00:00:00"/>
    <x v="1"/>
    <x v="0"/>
    <x v="0"/>
    <x v="0"/>
    <x v="3"/>
    <x v="1"/>
    <x v="11"/>
    <x v="1"/>
  </r>
  <r>
    <x v="2110"/>
    <x v="10"/>
    <x v="12"/>
    <n v="23.5"/>
    <x v="255"/>
    <x v="77"/>
    <d v="2025-03-20T00:00:00"/>
    <x v="2"/>
    <x v="0"/>
    <x v="2"/>
    <x v="0"/>
    <x v="3"/>
    <x v="3"/>
    <x v="11"/>
    <x v="2"/>
  </r>
  <r>
    <x v="2111"/>
    <x v="12"/>
    <x v="2"/>
    <n v="44.8"/>
    <x v="1597"/>
    <x v="77"/>
    <d v="2025-03-20T00:00:00"/>
    <x v="3"/>
    <x v="4"/>
    <x v="0"/>
    <x v="0"/>
    <x v="3"/>
    <x v="3"/>
    <x v="11"/>
    <x v="0"/>
  </r>
  <r>
    <x v="2112"/>
    <x v="0"/>
    <x v="8"/>
    <n v="11.7"/>
    <x v="64"/>
    <x v="77"/>
    <d v="2025-03-20T00:00:00"/>
    <x v="1"/>
    <x v="2"/>
    <x v="2"/>
    <x v="0"/>
    <x v="3"/>
    <x v="3"/>
    <x v="11"/>
    <x v="1"/>
  </r>
  <r>
    <x v="2113"/>
    <x v="7"/>
    <x v="1"/>
    <n v="38.799999999999997"/>
    <x v="1598"/>
    <x v="77"/>
    <d v="2025-03-22T00:00:00"/>
    <x v="2"/>
    <x v="2"/>
    <x v="0"/>
    <x v="0"/>
    <x v="3"/>
    <x v="2"/>
    <x v="11"/>
    <x v="2"/>
  </r>
  <r>
    <x v="2114"/>
    <x v="5"/>
    <x v="21"/>
    <n v="86.9"/>
    <x v="1599"/>
    <x v="77"/>
    <d v="2025-03-24T00:00:00"/>
    <x v="2"/>
    <x v="1"/>
    <x v="0"/>
    <x v="0"/>
    <x v="3"/>
    <x v="0"/>
    <x v="11"/>
    <x v="2"/>
  </r>
  <r>
    <x v="2115"/>
    <x v="8"/>
    <x v="0"/>
    <n v="18.3"/>
    <x v="1600"/>
    <x v="77"/>
    <d v="2025-03-20T00:00:00"/>
    <x v="2"/>
    <x v="0"/>
    <x v="0"/>
    <x v="0"/>
    <x v="3"/>
    <x v="3"/>
    <x v="11"/>
    <x v="2"/>
  </r>
  <r>
    <x v="2116"/>
    <x v="5"/>
    <x v="0"/>
    <n v="47.5"/>
    <x v="1601"/>
    <x v="77"/>
    <d v="2025-03-23T00:00:00"/>
    <x v="1"/>
    <x v="4"/>
    <x v="2"/>
    <x v="0"/>
    <x v="3"/>
    <x v="5"/>
    <x v="11"/>
    <x v="1"/>
  </r>
  <r>
    <x v="2117"/>
    <x v="1"/>
    <x v="1"/>
    <n v="78.599999999999994"/>
    <x v="507"/>
    <x v="77"/>
    <d v="2025-03-20T00:00:00"/>
    <x v="1"/>
    <x v="2"/>
    <x v="2"/>
    <x v="0"/>
    <x v="3"/>
    <x v="3"/>
    <x v="11"/>
    <x v="1"/>
  </r>
  <r>
    <x v="2118"/>
    <x v="6"/>
    <x v="12"/>
    <n v="87.3"/>
    <x v="1602"/>
    <x v="77"/>
    <d v="2025-03-20T00:00:00"/>
    <x v="1"/>
    <x v="0"/>
    <x v="0"/>
    <x v="0"/>
    <x v="3"/>
    <x v="3"/>
    <x v="11"/>
    <x v="1"/>
  </r>
  <r>
    <x v="2119"/>
    <x v="9"/>
    <x v="1"/>
    <n v="63.2"/>
    <x v="628"/>
    <x v="77"/>
    <d v="2025-03-19T00:00:00"/>
    <x v="1"/>
    <x v="4"/>
    <x v="1"/>
    <x v="0"/>
    <x v="3"/>
    <x v="7"/>
    <x v="11"/>
    <x v="1"/>
  </r>
  <r>
    <x v="2120"/>
    <x v="5"/>
    <x v="9"/>
    <n v="33.700000000000003"/>
    <x v="1603"/>
    <x v="77"/>
    <d v="2025-03-20T00:00:00"/>
    <x v="2"/>
    <x v="0"/>
    <x v="0"/>
    <x v="0"/>
    <x v="3"/>
    <x v="3"/>
    <x v="11"/>
    <x v="2"/>
  </r>
  <r>
    <x v="2121"/>
    <x v="2"/>
    <x v="2"/>
    <n v="107.4"/>
    <x v="1604"/>
    <x v="77"/>
    <d v="2025-04-01T00:00:00"/>
    <x v="2"/>
    <x v="1"/>
    <x v="2"/>
    <x v="0"/>
    <x v="3"/>
    <x v="10"/>
    <x v="11"/>
    <x v="2"/>
  </r>
  <r>
    <x v="2122"/>
    <x v="4"/>
    <x v="12"/>
    <n v="22.2"/>
    <x v="1605"/>
    <x v="77"/>
    <d v="2025-03-20T00:00:00"/>
    <x v="0"/>
    <x v="1"/>
    <x v="2"/>
    <x v="0"/>
    <x v="24"/>
    <x v="3"/>
    <x v="11"/>
    <x v="0"/>
  </r>
  <r>
    <x v="2123"/>
    <x v="18"/>
    <x v="2"/>
    <n v="52.8"/>
    <x v="1329"/>
    <x v="77"/>
    <d v="2025-03-20T00:00:00"/>
    <x v="1"/>
    <x v="3"/>
    <x v="2"/>
    <x v="0"/>
    <x v="24"/>
    <x v="3"/>
    <x v="11"/>
    <x v="1"/>
  </r>
  <r>
    <x v="2124"/>
    <x v="8"/>
    <x v="2"/>
    <n v="41.5"/>
    <x v="376"/>
    <x v="77"/>
    <d v="2025-03-22T00:00:00"/>
    <x v="2"/>
    <x v="0"/>
    <x v="0"/>
    <x v="0"/>
    <x v="25"/>
    <x v="2"/>
    <x v="11"/>
    <x v="2"/>
  </r>
  <r>
    <x v="2125"/>
    <x v="12"/>
    <x v="8"/>
    <n v="103.5"/>
    <x v="1606"/>
    <x v="77"/>
    <d v="2025-03-22T00:00:00"/>
    <x v="2"/>
    <x v="0"/>
    <x v="2"/>
    <x v="0"/>
    <x v="23"/>
    <x v="2"/>
    <x v="11"/>
    <x v="2"/>
  </r>
  <r>
    <x v="2126"/>
    <x v="4"/>
    <x v="21"/>
    <n v="37.5"/>
    <x v="1469"/>
    <x v="77"/>
    <d v="2025-03-19T00:00:00"/>
    <x v="2"/>
    <x v="1"/>
    <x v="2"/>
    <x v="0"/>
    <x v="6"/>
    <x v="7"/>
    <x v="11"/>
    <x v="2"/>
  </r>
  <r>
    <x v="2127"/>
    <x v="15"/>
    <x v="8"/>
    <n v="44.4"/>
    <x v="1607"/>
    <x v="77"/>
    <d v="2025-03-25T00:00:00"/>
    <x v="2"/>
    <x v="3"/>
    <x v="2"/>
    <x v="0"/>
    <x v="7"/>
    <x v="4"/>
    <x v="11"/>
    <x v="2"/>
  </r>
  <r>
    <x v="2128"/>
    <x v="8"/>
    <x v="2"/>
    <n v="26.2"/>
    <x v="1608"/>
    <x v="77"/>
    <d v="2025-03-20T00:00:00"/>
    <x v="1"/>
    <x v="0"/>
    <x v="0"/>
    <x v="0"/>
    <x v="8"/>
    <x v="3"/>
    <x v="11"/>
    <x v="1"/>
  </r>
  <r>
    <x v="2129"/>
    <x v="1"/>
    <x v="3"/>
    <n v="32.200000000000003"/>
    <x v="1009"/>
    <x v="77"/>
    <d v="2025-03-20T00:00:00"/>
    <x v="2"/>
    <x v="1"/>
    <x v="2"/>
    <x v="0"/>
    <x v="8"/>
    <x v="3"/>
    <x v="11"/>
    <x v="2"/>
  </r>
  <r>
    <x v="2130"/>
    <x v="8"/>
    <x v="0"/>
    <n v="17.399999999999999"/>
    <x v="1609"/>
    <x v="77"/>
    <d v="2025-03-23T00:00:00"/>
    <x v="0"/>
    <x v="2"/>
    <x v="1"/>
    <x v="0"/>
    <x v="8"/>
    <x v="5"/>
    <x v="11"/>
    <x v="0"/>
  </r>
  <r>
    <x v="2131"/>
    <x v="8"/>
    <x v="13"/>
    <n v="72.3"/>
    <x v="1610"/>
    <x v="77"/>
    <d v="2025-03-22T00:00:00"/>
    <x v="2"/>
    <x v="0"/>
    <x v="0"/>
    <x v="0"/>
    <x v="8"/>
    <x v="2"/>
    <x v="11"/>
    <x v="2"/>
  </r>
  <r>
    <x v="2132"/>
    <x v="8"/>
    <x v="5"/>
    <n v="24.3"/>
    <x v="1611"/>
    <x v="77"/>
    <d v="2025-03-20T00:00:00"/>
    <x v="1"/>
    <x v="0"/>
    <x v="0"/>
    <x v="0"/>
    <x v="8"/>
    <x v="3"/>
    <x v="11"/>
    <x v="1"/>
  </r>
  <r>
    <x v="2133"/>
    <x v="13"/>
    <x v="2"/>
    <n v="49.1"/>
    <x v="824"/>
    <x v="77"/>
    <d v="2025-03-25T00:00:00"/>
    <x v="1"/>
    <x v="2"/>
    <x v="4"/>
    <x v="0"/>
    <x v="8"/>
    <x v="4"/>
    <x v="11"/>
    <x v="1"/>
  </r>
  <r>
    <x v="2134"/>
    <x v="2"/>
    <x v="7"/>
    <n v="234.7"/>
    <x v="1612"/>
    <x v="77"/>
    <d v="2025-03-20T00:00:00"/>
    <x v="1"/>
    <x v="3"/>
    <x v="1"/>
    <x v="0"/>
    <x v="8"/>
    <x v="3"/>
    <x v="11"/>
    <x v="1"/>
  </r>
  <r>
    <x v="2135"/>
    <x v="3"/>
    <x v="9"/>
    <n v="76.099999999999994"/>
    <x v="1613"/>
    <x v="77"/>
    <d v="2025-03-21T00:00:00"/>
    <x v="1"/>
    <x v="1"/>
    <x v="1"/>
    <x v="0"/>
    <x v="17"/>
    <x v="1"/>
    <x v="11"/>
    <x v="1"/>
  </r>
  <r>
    <x v="2136"/>
    <x v="1"/>
    <x v="2"/>
    <n v="93.9"/>
    <x v="1614"/>
    <x v="77"/>
    <d v="2025-03-20T00:00:00"/>
    <x v="1"/>
    <x v="1"/>
    <x v="4"/>
    <x v="0"/>
    <x v="11"/>
    <x v="3"/>
    <x v="11"/>
    <x v="1"/>
  </r>
  <r>
    <x v="2137"/>
    <x v="2"/>
    <x v="12"/>
    <n v="187"/>
    <x v="1615"/>
    <x v="78"/>
    <d v="2025-03-23T00:00:00"/>
    <x v="1"/>
    <x v="0"/>
    <x v="0"/>
    <x v="0"/>
    <x v="11"/>
    <x v="2"/>
    <x v="11"/>
    <x v="1"/>
  </r>
  <r>
    <x v="2138"/>
    <x v="8"/>
    <x v="1"/>
    <n v="18"/>
    <x v="53"/>
    <x v="78"/>
    <d v="2025-03-21T00:00:00"/>
    <x v="2"/>
    <x v="1"/>
    <x v="2"/>
    <x v="0"/>
    <x v="53"/>
    <x v="3"/>
    <x v="11"/>
    <x v="2"/>
  </r>
  <r>
    <x v="2139"/>
    <x v="4"/>
    <x v="0"/>
    <n v="24.4"/>
    <x v="1616"/>
    <x v="78"/>
    <d v="2025-03-21T00:00:00"/>
    <x v="2"/>
    <x v="4"/>
    <x v="2"/>
    <x v="0"/>
    <x v="21"/>
    <x v="3"/>
    <x v="11"/>
    <x v="2"/>
  </r>
  <r>
    <x v="2140"/>
    <x v="10"/>
    <x v="1"/>
    <n v="38.799999999999997"/>
    <x v="1598"/>
    <x v="78"/>
    <d v="2025-03-21T00:00:00"/>
    <x v="1"/>
    <x v="4"/>
    <x v="1"/>
    <x v="0"/>
    <x v="3"/>
    <x v="3"/>
    <x v="11"/>
    <x v="1"/>
  </r>
  <r>
    <x v="2141"/>
    <x v="3"/>
    <x v="0"/>
    <n v="59.7"/>
    <x v="1201"/>
    <x v="78"/>
    <d v="2025-03-23T00:00:00"/>
    <x v="1"/>
    <x v="3"/>
    <x v="0"/>
    <x v="0"/>
    <x v="3"/>
    <x v="2"/>
    <x v="11"/>
    <x v="1"/>
  </r>
  <r>
    <x v="2142"/>
    <x v="7"/>
    <x v="0"/>
    <n v="31.2"/>
    <x v="406"/>
    <x v="78"/>
    <d v="2025-03-21T00:00:00"/>
    <x v="1"/>
    <x v="1"/>
    <x v="2"/>
    <x v="0"/>
    <x v="3"/>
    <x v="3"/>
    <x v="11"/>
    <x v="1"/>
  </r>
  <r>
    <x v="2143"/>
    <x v="0"/>
    <x v="0"/>
    <n v="16.8"/>
    <x v="749"/>
    <x v="78"/>
    <d v="2025-03-21T00:00:00"/>
    <x v="2"/>
    <x v="2"/>
    <x v="1"/>
    <x v="0"/>
    <x v="3"/>
    <x v="3"/>
    <x v="11"/>
    <x v="2"/>
  </r>
  <r>
    <x v="2144"/>
    <x v="8"/>
    <x v="0"/>
    <n v="46"/>
    <x v="716"/>
    <x v="78"/>
    <d v="2025-03-21T00:00:00"/>
    <x v="1"/>
    <x v="0"/>
    <x v="0"/>
    <x v="0"/>
    <x v="3"/>
    <x v="3"/>
    <x v="11"/>
    <x v="1"/>
  </r>
  <r>
    <x v="2145"/>
    <x v="9"/>
    <x v="8"/>
    <n v="42.2"/>
    <x v="1617"/>
    <x v="78"/>
    <d v="2025-03-23T00:00:00"/>
    <x v="2"/>
    <x v="3"/>
    <x v="2"/>
    <x v="0"/>
    <x v="3"/>
    <x v="2"/>
    <x v="11"/>
    <x v="2"/>
  </r>
  <r>
    <x v="2146"/>
    <x v="1"/>
    <x v="2"/>
    <n v="71.5"/>
    <x v="523"/>
    <x v="78"/>
    <d v="2025-04-03T00:00:00"/>
    <x v="2"/>
    <x v="0"/>
    <x v="0"/>
    <x v="0"/>
    <x v="3"/>
    <x v="12"/>
    <x v="11"/>
    <x v="2"/>
  </r>
  <r>
    <x v="2147"/>
    <x v="1"/>
    <x v="1"/>
    <n v="76.599999999999994"/>
    <x v="1618"/>
    <x v="78"/>
    <d v="2025-03-20T00:00:00"/>
    <x v="1"/>
    <x v="0"/>
    <x v="2"/>
    <x v="0"/>
    <x v="3"/>
    <x v="7"/>
    <x v="11"/>
    <x v="1"/>
  </r>
  <r>
    <x v="2148"/>
    <x v="12"/>
    <x v="1"/>
    <n v="87.3"/>
    <x v="1619"/>
    <x v="78"/>
    <d v="2025-03-28T00:00:00"/>
    <x v="2"/>
    <x v="3"/>
    <x v="2"/>
    <x v="0"/>
    <x v="3"/>
    <x v="9"/>
    <x v="11"/>
    <x v="2"/>
  </r>
  <r>
    <x v="2149"/>
    <x v="1"/>
    <x v="0"/>
    <n v="63"/>
    <x v="1620"/>
    <x v="78"/>
    <d v="2025-03-23T00:00:00"/>
    <x v="1"/>
    <x v="3"/>
    <x v="0"/>
    <x v="0"/>
    <x v="3"/>
    <x v="2"/>
    <x v="11"/>
    <x v="1"/>
  </r>
  <r>
    <x v="2150"/>
    <x v="8"/>
    <x v="1"/>
    <n v="41.7"/>
    <x v="925"/>
    <x v="78"/>
    <d v="2025-03-21T00:00:00"/>
    <x v="2"/>
    <x v="4"/>
    <x v="1"/>
    <x v="0"/>
    <x v="43"/>
    <x v="3"/>
    <x v="11"/>
    <x v="2"/>
  </r>
  <r>
    <x v="2151"/>
    <x v="6"/>
    <x v="1"/>
    <n v="76.099999999999994"/>
    <x v="1621"/>
    <x v="78"/>
    <d v="2025-03-20T00:00:00"/>
    <x v="2"/>
    <x v="4"/>
    <x v="2"/>
    <x v="0"/>
    <x v="16"/>
    <x v="7"/>
    <x v="11"/>
    <x v="2"/>
  </r>
  <r>
    <x v="2152"/>
    <x v="13"/>
    <x v="1"/>
    <n v="28.5"/>
    <x v="933"/>
    <x v="78"/>
    <d v="2025-03-21T00:00:00"/>
    <x v="2"/>
    <x v="0"/>
    <x v="2"/>
    <x v="0"/>
    <x v="4"/>
    <x v="3"/>
    <x v="11"/>
    <x v="2"/>
  </r>
  <r>
    <x v="2153"/>
    <x v="0"/>
    <x v="12"/>
    <n v="32.1"/>
    <x v="58"/>
    <x v="78"/>
    <d v="2025-03-21T00:00:00"/>
    <x v="2"/>
    <x v="1"/>
    <x v="2"/>
    <x v="0"/>
    <x v="25"/>
    <x v="3"/>
    <x v="11"/>
    <x v="2"/>
  </r>
  <r>
    <x v="2154"/>
    <x v="4"/>
    <x v="2"/>
    <n v="39"/>
    <x v="1622"/>
    <x v="78"/>
    <d v="2025-03-23T00:00:00"/>
    <x v="1"/>
    <x v="1"/>
    <x v="2"/>
    <x v="0"/>
    <x v="25"/>
    <x v="2"/>
    <x v="11"/>
    <x v="1"/>
  </r>
  <r>
    <x v="2155"/>
    <x v="6"/>
    <x v="0"/>
    <n v="78.5"/>
    <x v="1623"/>
    <x v="78"/>
    <d v="2025-03-21T00:00:00"/>
    <x v="1"/>
    <x v="1"/>
    <x v="0"/>
    <x v="0"/>
    <x v="6"/>
    <x v="3"/>
    <x v="11"/>
    <x v="1"/>
  </r>
  <r>
    <x v="2156"/>
    <x v="4"/>
    <x v="9"/>
    <n v="49.7"/>
    <x v="1624"/>
    <x v="78"/>
    <d v="2025-03-22T00:00:00"/>
    <x v="2"/>
    <x v="0"/>
    <x v="0"/>
    <x v="0"/>
    <x v="6"/>
    <x v="1"/>
    <x v="11"/>
    <x v="2"/>
  </r>
  <r>
    <x v="2157"/>
    <x v="1"/>
    <x v="12"/>
    <n v="68.400000000000006"/>
    <x v="1625"/>
    <x v="78"/>
    <d v="2025-03-21T00:00:00"/>
    <x v="2"/>
    <x v="2"/>
    <x v="2"/>
    <x v="0"/>
    <x v="7"/>
    <x v="3"/>
    <x v="11"/>
    <x v="2"/>
  </r>
  <r>
    <x v="2158"/>
    <x v="3"/>
    <x v="1"/>
    <n v="72.900000000000006"/>
    <x v="1626"/>
    <x v="78"/>
    <d v="2025-03-23T00:00:00"/>
    <x v="0"/>
    <x v="0"/>
    <x v="2"/>
    <x v="0"/>
    <x v="7"/>
    <x v="2"/>
    <x v="11"/>
    <x v="0"/>
  </r>
  <r>
    <x v="2159"/>
    <x v="5"/>
    <x v="15"/>
    <n v="30.3"/>
    <x v="1627"/>
    <x v="78"/>
    <d v="2025-03-21T00:00:00"/>
    <x v="1"/>
    <x v="4"/>
    <x v="0"/>
    <x v="0"/>
    <x v="7"/>
    <x v="3"/>
    <x v="11"/>
    <x v="1"/>
  </r>
  <r>
    <x v="2160"/>
    <x v="6"/>
    <x v="5"/>
    <n v="57.9"/>
    <x v="1628"/>
    <x v="78"/>
    <d v="2025-03-21T00:00:00"/>
    <x v="2"/>
    <x v="0"/>
    <x v="0"/>
    <x v="0"/>
    <x v="8"/>
    <x v="3"/>
    <x v="11"/>
    <x v="2"/>
  </r>
  <r>
    <x v="2161"/>
    <x v="1"/>
    <x v="0"/>
    <n v="96.7"/>
    <x v="1629"/>
    <x v="78"/>
    <d v="2025-03-21T00:00:00"/>
    <x v="1"/>
    <x v="0"/>
    <x v="0"/>
    <x v="0"/>
    <x v="8"/>
    <x v="3"/>
    <x v="11"/>
    <x v="1"/>
  </r>
  <r>
    <x v="2162"/>
    <x v="8"/>
    <x v="4"/>
    <n v="27.6"/>
    <x v="1630"/>
    <x v="78"/>
    <d v="2025-03-22T00:00:00"/>
    <x v="1"/>
    <x v="2"/>
    <x v="2"/>
    <x v="0"/>
    <x v="8"/>
    <x v="1"/>
    <x v="11"/>
    <x v="1"/>
  </r>
  <r>
    <x v="2163"/>
    <x v="6"/>
    <x v="12"/>
    <n v="64.7"/>
    <x v="536"/>
    <x v="78"/>
    <d v="2025-03-20T00:00:00"/>
    <x v="1"/>
    <x v="3"/>
    <x v="2"/>
    <x v="0"/>
    <x v="8"/>
    <x v="7"/>
    <x v="11"/>
    <x v="1"/>
  </r>
  <r>
    <x v="2164"/>
    <x v="10"/>
    <x v="13"/>
    <n v="30.5"/>
    <x v="1143"/>
    <x v="78"/>
    <d v="2025-03-21T00:00:00"/>
    <x v="1"/>
    <x v="4"/>
    <x v="0"/>
    <x v="0"/>
    <x v="8"/>
    <x v="3"/>
    <x v="11"/>
    <x v="1"/>
  </r>
  <r>
    <x v="2165"/>
    <x v="6"/>
    <x v="47"/>
    <n v="106"/>
    <x v="1631"/>
    <x v="79"/>
    <d v="2025-03-23T00:00:00"/>
    <x v="1"/>
    <x v="4"/>
    <x v="2"/>
    <x v="0"/>
    <x v="8"/>
    <x v="1"/>
    <x v="11"/>
    <x v="1"/>
  </r>
  <r>
    <x v="2166"/>
    <x v="12"/>
    <x v="9"/>
    <n v="76.8"/>
    <x v="1632"/>
    <x v="79"/>
    <d v="2025-03-27T00:00:00"/>
    <x v="0"/>
    <x v="1"/>
    <x v="1"/>
    <x v="0"/>
    <x v="18"/>
    <x v="4"/>
    <x v="11"/>
    <x v="0"/>
  </r>
  <r>
    <x v="2167"/>
    <x v="6"/>
    <x v="1"/>
    <n v="80.400000000000006"/>
    <x v="1530"/>
    <x v="79"/>
    <d v="2025-03-22T00:00:00"/>
    <x v="2"/>
    <x v="2"/>
    <x v="0"/>
    <x v="0"/>
    <x v="13"/>
    <x v="3"/>
    <x v="11"/>
    <x v="2"/>
  </r>
  <r>
    <x v="2168"/>
    <x v="6"/>
    <x v="12"/>
    <n v="69.099999999999994"/>
    <x v="1633"/>
    <x v="79"/>
    <d v="2025-03-22T00:00:00"/>
    <x v="1"/>
    <x v="1"/>
    <x v="2"/>
    <x v="0"/>
    <x v="21"/>
    <x v="3"/>
    <x v="11"/>
    <x v="1"/>
  </r>
  <r>
    <x v="2169"/>
    <x v="18"/>
    <x v="1"/>
    <n v="76.400000000000006"/>
    <x v="1634"/>
    <x v="79"/>
    <d v="2025-03-21T00:00:00"/>
    <x v="1"/>
    <x v="3"/>
    <x v="0"/>
    <x v="0"/>
    <x v="21"/>
    <x v="7"/>
    <x v="11"/>
    <x v="1"/>
  </r>
  <r>
    <x v="2170"/>
    <x v="2"/>
    <x v="1"/>
    <n v="61.3"/>
    <x v="384"/>
    <x v="79"/>
    <d v="2025-03-22T00:00:00"/>
    <x v="2"/>
    <x v="1"/>
    <x v="1"/>
    <x v="0"/>
    <x v="21"/>
    <x v="3"/>
    <x v="11"/>
    <x v="2"/>
  </r>
  <r>
    <x v="2171"/>
    <x v="7"/>
    <x v="0"/>
    <n v="58"/>
    <x v="1635"/>
    <x v="79"/>
    <d v="2025-03-22T00:00:00"/>
    <x v="1"/>
    <x v="3"/>
    <x v="1"/>
    <x v="0"/>
    <x v="1"/>
    <x v="3"/>
    <x v="11"/>
    <x v="1"/>
  </r>
  <r>
    <x v="2172"/>
    <x v="2"/>
    <x v="8"/>
    <n v="102.3"/>
    <x v="1636"/>
    <x v="79"/>
    <d v="2025-03-23T00:00:00"/>
    <x v="1"/>
    <x v="2"/>
    <x v="0"/>
    <x v="0"/>
    <x v="42"/>
    <x v="1"/>
    <x v="11"/>
    <x v="1"/>
  </r>
  <r>
    <x v="2173"/>
    <x v="19"/>
    <x v="1"/>
    <n v="13.8"/>
    <x v="1637"/>
    <x v="79"/>
    <d v="2025-03-22T00:00:00"/>
    <x v="2"/>
    <x v="4"/>
    <x v="2"/>
    <x v="0"/>
    <x v="2"/>
    <x v="3"/>
    <x v="11"/>
    <x v="2"/>
  </r>
  <r>
    <x v="2174"/>
    <x v="8"/>
    <x v="2"/>
    <n v="33.299999999999997"/>
    <x v="1638"/>
    <x v="79"/>
    <d v="2025-03-24T00:00:00"/>
    <x v="2"/>
    <x v="2"/>
    <x v="0"/>
    <x v="0"/>
    <x v="22"/>
    <x v="2"/>
    <x v="11"/>
    <x v="2"/>
  </r>
  <r>
    <x v="2175"/>
    <x v="10"/>
    <x v="0"/>
    <n v="27.4"/>
    <x v="1639"/>
    <x v="79"/>
    <d v="2025-03-24T00:00:00"/>
    <x v="1"/>
    <x v="0"/>
    <x v="2"/>
    <x v="0"/>
    <x v="22"/>
    <x v="2"/>
    <x v="11"/>
    <x v="1"/>
  </r>
  <r>
    <x v="2176"/>
    <x v="14"/>
    <x v="1"/>
    <n v="25.6"/>
    <x v="180"/>
    <x v="79"/>
    <d v="2025-03-22T00:00:00"/>
    <x v="2"/>
    <x v="1"/>
    <x v="1"/>
    <x v="0"/>
    <x v="3"/>
    <x v="3"/>
    <x v="11"/>
    <x v="2"/>
  </r>
  <r>
    <x v="2177"/>
    <x v="13"/>
    <x v="0"/>
    <n v="58.4"/>
    <x v="305"/>
    <x v="79"/>
    <d v="2025-03-22T00:00:00"/>
    <x v="2"/>
    <x v="2"/>
    <x v="2"/>
    <x v="0"/>
    <x v="3"/>
    <x v="3"/>
    <x v="11"/>
    <x v="2"/>
  </r>
  <r>
    <x v="2178"/>
    <x v="11"/>
    <x v="17"/>
    <n v="27"/>
    <x v="906"/>
    <x v="79"/>
    <d v="2025-03-22T00:00:00"/>
    <x v="2"/>
    <x v="4"/>
    <x v="0"/>
    <x v="0"/>
    <x v="3"/>
    <x v="3"/>
    <x v="11"/>
    <x v="2"/>
  </r>
  <r>
    <x v="2179"/>
    <x v="0"/>
    <x v="12"/>
    <n v="14.2"/>
    <x v="1640"/>
    <x v="79"/>
    <d v="2025-03-22T00:00:00"/>
    <x v="1"/>
    <x v="0"/>
    <x v="2"/>
    <x v="0"/>
    <x v="3"/>
    <x v="3"/>
    <x v="11"/>
    <x v="1"/>
  </r>
  <r>
    <x v="2180"/>
    <x v="7"/>
    <x v="1"/>
    <n v="68"/>
    <x v="1641"/>
    <x v="79"/>
    <d v="2025-03-31T00:00:00"/>
    <x v="1"/>
    <x v="2"/>
    <x v="1"/>
    <x v="0"/>
    <x v="3"/>
    <x v="14"/>
    <x v="11"/>
    <x v="1"/>
  </r>
  <r>
    <x v="2181"/>
    <x v="8"/>
    <x v="0"/>
    <n v="30.7"/>
    <x v="1642"/>
    <x v="79"/>
    <d v="2025-03-22T00:00:00"/>
    <x v="1"/>
    <x v="0"/>
    <x v="0"/>
    <x v="0"/>
    <x v="3"/>
    <x v="3"/>
    <x v="11"/>
    <x v="1"/>
  </r>
  <r>
    <x v="2182"/>
    <x v="17"/>
    <x v="15"/>
    <n v="51.6"/>
    <x v="1643"/>
    <x v="79"/>
    <d v="2025-03-24T00:00:00"/>
    <x v="3"/>
    <x v="1"/>
    <x v="2"/>
    <x v="0"/>
    <x v="3"/>
    <x v="2"/>
    <x v="11"/>
    <x v="0"/>
  </r>
  <r>
    <x v="2183"/>
    <x v="8"/>
    <x v="2"/>
    <n v="20.6"/>
    <x v="957"/>
    <x v="79"/>
    <d v="2025-03-25T00:00:00"/>
    <x v="2"/>
    <x v="4"/>
    <x v="2"/>
    <x v="0"/>
    <x v="3"/>
    <x v="5"/>
    <x v="11"/>
    <x v="2"/>
  </r>
  <r>
    <x v="2184"/>
    <x v="8"/>
    <x v="0"/>
    <n v="24.8"/>
    <x v="1644"/>
    <x v="79"/>
    <d v="2025-03-22T00:00:00"/>
    <x v="1"/>
    <x v="4"/>
    <x v="0"/>
    <x v="0"/>
    <x v="3"/>
    <x v="3"/>
    <x v="11"/>
    <x v="1"/>
  </r>
  <r>
    <x v="2185"/>
    <x v="0"/>
    <x v="3"/>
    <n v="11.2"/>
    <x v="1645"/>
    <x v="79"/>
    <d v="2025-03-24T00:00:00"/>
    <x v="1"/>
    <x v="1"/>
    <x v="0"/>
    <x v="0"/>
    <x v="3"/>
    <x v="2"/>
    <x v="11"/>
    <x v="1"/>
  </r>
  <r>
    <x v="2186"/>
    <x v="11"/>
    <x v="1"/>
    <n v="51.2"/>
    <x v="298"/>
    <x v="79"/>
    <d v="2025-03-22T00:00:00"/>
    <x v="2"/>
    <x v="1"/>
    <x v="2"/>
    <x v="0"/>
    <x v="3"/>
    <x v="3"/>
    <x v="11"/>
    <x v="2"/>
  </r>
  <r>
    <x v="2187"/>
    <x v="7"/>
    <x v="13"/>
    <n v="90.5"/>
    <x v="1646"/>
    <x v="79"/>
    <d v="2025-03-22T00:00:00"/>
    <x v="2"/>
    <x v="1"/>
    <x v="4"/>
    <x v="0"/>
    <x v="3"/>
    <x v="3"/>
    <x v="11"/>
    <x v="2"/>
  </r>
  <r>
    <x v="2188"/>
    <x v="1"/>
    <x v="1"/>
    <n v="42.4"/>
    <x v="1647"/>
    <x v="79"/>
    <d v="2025-03-22T00:00:00"/>
    <x v="1"/>
    <x v="1"/>
    <x v="2"/>
    <x v="0"/>
    <x v="4"/>
    <x v="3"/>
    <x v="11"/>
    <x v="1"/>
  </r>
  <r>
    <x v="2189"/>
    <x v="1"/>
    <x v="1"/>
    <n v="38.200000000000003"/>
    <x v="1648"/>
    <x v="79"/>
    <d v="2025-03-22T00:00:00"/>
    <x v="1"/>
    <x v="0"/>
    <x v="0"/>
    <x v="0"/>
    <x v="5"/>
    <x v="3"/>
    <x v="11"/>
    <x v="1"/>
  </r>
  <r>
    <x v="2190"/>
    <x v="2"/>
    <x v="11"/>
    <n v="121.3"/>
    <x v="1649"/>
    <x v="79"/>
    <d v="2025-03-26T00:00:00"/>
    <x v="1"/>
    <x v="0"/>
    <x v="0"/>
    <x v="0"/>
    <x v="6"/>
    <x v="0"/>
    <x v="11"/>
    <x v="1"/>
  </r>
  <r>
    <x v="2191"/>
    <x v="6"/>
    <x v="1"/>
    <n v="46.9"/>
    <x v="1650"/>
    <x v="79"/>
    <d v="2025-03-28T00:00:00"/>
    <x v="1"/>
    <x v="0"/>
    <x v="0"/>
    <x v="0"/>
    <x v="8"/>
    <x v="6"/>
    <x v="11"/>
    <x v="1"/>
  </r>
  <r>
    <x v="2192"/>
    <x v="10"/>
    <x v="0"/>
    <n v="55.3"/>
    <x v="6"/>
    <x v="79"/>
    <d v="2025-03-23T00:00:00"/>
    <x v="1"/>
    <x v="0"/>
    <x v="0"/>
    <x v="0"/>
    <x v="8"/>
    <x v="1"/>
    <x v="11"/>
    <x v="1"/>
  </r>
  <r>
    <x v="2193"/>
    <x v="2"/>
    <x v="2"/>
    <n v="70.599999999999994"/>
    <x v="1651"/>
    <x v="80"/>
    <d v="2025-03-22T00:00:00"/>
    <x v="2"/>
    <x v="0"/>
    <x v="1"/>
    <x v="0"/>
    <x v="8"/>
    <x v="7"/>
    <x v="11"/>
    <x v="2"/>
  </r>
  <r>
    <x v="2194"/>
    <x v="14"/>
    <x v="12"/>
    <n v="26.1"/>
    <x v="1652"/>
    <x v="80"/>
    <d v="2025-03-24T00:00:00"/>
    <x v="1"/>
    <x v="0"/>
    <x v="0"/>
    <x v="0"/>
    <x v="8"/>
    <x v="1"/>
    <x v="11"/>
    <x v="1"/>
  </r>
  <r>
    <x v="2195"/>
    <x v="9"/>
    <x v="5"/>
    <n v="34.5"/>
    <x v="1653"/>
    <x v="80"/>
    <d v="2025-03-26T00:00:00"/>
    <x v="1"/>
    <x v="2"/>
    <x v="0"/>
    <x v="0"/>
    <x v="17"/>
    <x v="5"/>
    <x v="11"/>
    <x v="1"/>
  </r>
  <r>
    <x v="2196"/>
    <x v="1"/>
    <x v="1"/>
    <n v="64.2"/>
    <x v="58"/>
    <x v="80"/>
    <d v="2025-03-23T00:00:00"/>
    <x v="2"/>
    <x v="0"/>
    <x v="1"/>
    <x v="0"/>
    <x v="17"/>
    <x v="3"/>
    <x v="11"/>
    <x v="2"/>
  </r>
  <r>
    <x v="2197"/>
    <x v="2"/>
    <x v="12"/>
    <n v="145.69999999999999"/>
    <x v="1654"/>
    <x v="80"/>
    <d v="2025-03-23T00:00:00"/>
    <x v="2"/>
    <x v="0"/>
    <x v="4"/>
    <x v="0"/>
    <x v="17"/>
    <x v="3"/>
    <x v="11"/>
    <x v="2"/>
  </r>
  <r>
    <x v="2198"/>
    <x v="12"/>
    <x v="1"/>
    <n v="78.5"/>
    <x v="1655"/>
    <x v="80"/>
    <d v="2025-03-23T00:00:00"/>
    <x v="1"/>
    <x v="2"/>
    <x v="0"/>
    <x v="0"/>
    <x v="26"/>
    <x v="3"/>
    <x v="11"/>
    <x v="1"/>
  </r>
  <r>
    <x v="2199"/>
    <x v="1"/>
    <x v="0"/>
    <n v="34.200000000000003"/>
    <x v="1656"/>
    <x v="80"/>
    <d v="2025-03-24T00:00:00"/>
    <x v="1"/>
    <x v="0"/>
    <x v="0"/>
    <x v="0"/>
    <x v="9"/>
    <x v="1"/>
    <x v="11"/>
    <x v="1"/>
  </r>
  <r>
    <x v="2200"/>
    <x v="19"/>
    <x v="0"/>
    <n v="26.2"/>
    <x v="1102"/>
    <x v="80"/>
    <d v="2025-03-23T00:00:00"/>
    <x v="1"/>
    <x v="2"/>
    <x v="0"/>
    <x v="0"/>
    <x v="9"/>
    <x v="3"/>
    <x v="11"/>
    <x v="1"/>
  </r>
  <r>
    <x v="2201"/>
    <x v="6"/>
    <x v="12"/>
    <n v="53.2"/>
    <x v="1547"/>
    <x v="80"/>
    <d v="2025-03-23T00:00:00"/>
    <x v="1"/>
    <x v="1"/>
    <x v="1"/>
    <x v="0"/>
    <x v="11"/>
    <x v="3"/>
    <x v="11"/>
    <x v="1"/>
  </r>
  <r>
    <x v="2202"/>
    <x v="1"/>
    <x v="0"/>
    <n v="35.4"/>
    <x v="1657"/>
    <x v="80"/>
    <d v="2025-03-26T00:00:00"/>
    <x v="1"/>
    <x v="1"/>
    <x v="4"/>
    <x v="0"/>
    <x v="18"/>
    <x v="5"/>
    <x v="11"/>
    <x v="1"/>
  </r>
  <r>
    <x v="2203"/>
    <x v="14"/>
    <x v="1"/>
    <n v="21.3"/>
    <x v="440"/>
    <x v="80"/>
    <d v="2025-03-23T00:00:00"/>
    <x v="1"/>
    <x v="2"/>
    <x v="0"/>
    <x v="0"/>
    <x v="20"/>
    <x v="3"/>
    <x v="11"/>
    <x v="1"/>
  </r>
  <r>
    <x v="2204"/>
    <x v="8"/>
    <x v="12"/>
    <n v="32.9"/>
    <x v="1423"/>
    <x v="80"/>
    <d v="2025-03-25T00:00:00"/>
    <x v="2"/>
    <x v="4"/>
    <x v="2"/>
    <x v="0"/>
    <x v="21"/>
    <x v="2"/>
    <x v="11"/>
    <x v="2"/>
  </r>
  <r>
    <x v="2205"/>
    <x v="5"/>
    <x v="20"/>
    <n v="85.5"/>
    <x v="1658"/>
    <x v="80"/>
    <d v="2025-03-24T00:00:00"/>
    <x v="2"/>
    <x v="3"/>
    <x v="1"/>
    <x v="0"/>
    <x v="21"/>
    <x v="1"/>
    <x v="11"/>
    <x v="2"/>
  </r>
  <r>
    <x v="2206"/>
    <x v="4"/>
    <x v="0"/>
    <n v="26.8"/>
    <x v="63"/>
    <x v="80"/>
    <d v="2025-03-23T00:00:00"/>
    <x v="2"/>
    <x v="0"/>
    <x v="1"/>
    <x v="0"/>
    <x v="2"/>
    <x v="3"/>
    <x v="11"/>
    <x v="2"/>
  </r>
  <r>
    <x v="2207"/>
    <x v="9"/>
    <x v="18"/>
    <n v="31.7"/>
    <x v="1659"/>
    <x v="80"/>
    <d v="2025-03-22T00:00:00"/>
    <x v="2"/>
    <x v="3"/>
    <x v="0"/>
    <x v="0"/>
    <x v="2"/>
    <x v="7"/>
    <x v="11"/>
    <x v="2"/>
  </r>
  <r>
    <x v="2208"/>
    <x v="1"/>
    <x v="1"/>
    <n v="78.3"/>
    <x v="1660"/>
    <x v="80"/>
    <d v="2025-03-24T00:00:00"/>
    <x v="2"/>
    <x v="1"/>
    <x v="1"/>
    <x v="0"/>
    <x v="3"/>
    <x v="1"/>
    <x v="11"/>
    <x v="2"/>
  </r>
  <r>
    <x v="2209"/>
    <x v="6"/>
    <x v="0"/>
    <n v="43.9"/>
    <x v="1661"/>
    <x v="80"/>
    <d v="2025-03-23T00:00:00"/>
    <x v="1"/>
    <x v="0"/>
    <x v="0"/>
    <x v="0"/>
    <x v="3"/>
    <x v="3"/>
    <x v="11"/>
    <x v="1"/>
  </r>
  <r>
    <x v="2210"/>
    <x v="18"/>
    <x v="2"/>
    <n v="84"/>
    <x v="816"/>
    <x v="80"/>
    <d v="2025-03-24T00:00:00"/>
    <x v="0"/>
    <x v="3"/>
    <x v="2"/>
    <x v="0"/>
    <x v="3"/>
    <x v="1"/>
    <x v="11"/>
    <x v="0"/>
  </r>
  <r>
    <x v="2211"/>
    <x v="0"/>
    <x v="2"/>
    <n v="11.4"/>
    <x v="1656"/>
    <x v="80"/>
    <d v="2025-03-23T00:00:00"/>
    <x v="1"/>
    <x v="4"/>
    <x v="0"/>
    <x v="0"/>
    <x v="3"/>
    <x v="3"/>
    <x v="11"/>
    <x v="1"/>
  </r>
  <r>
    <x v="2212"/>
    <x v="12"/>
    <x v="8"/>
    <n v="47.5"/>
    <x v="1662"/>
    <x v="80"/>
    <d v="2025-03-30T00:00:00"/>
    <x v="2"/>
    <x v="0"/>
    <x v="0"/>
    <x v="0"/>
    <x v="3"/>
    <x v="9"/>
    <x v="11"/>
    <x v="2"/>
  </r>
  <r>
    <x v="2213"/>
    <x v="9"/>
    <x v="5"/>
    <n v="50.5"/>
    <x v="1663"/>
    <x v="80"/>
    <d v="2025-03-24T00:00:00"/>
    <x v="1"/>
    <x v="2"/>
    <x v="0"/>
    <x v="0"/>
    <x v="3"/>
    <x v="1"/>
    <x v="11"/>
    <x v="1"/>
  </r>
  <r>
    <x v="2214"/>
    <x v="15"/>
    <x v="0"/>
    <n v="36.299999999999997"/>
    <x v="1277"/>
    <x v="80"/>
    <d v="2025-03-25T00:00:00"/>
    <x v="3"/>
    <x v="0"/>
    <x v="1"/>
    <x v="0"/>
    <x v="8"/>
    <x v="2"/>
    <x v="11"/>
    <x v="0"/>
  </r>
  <r>
    <x v="2215"/>
    <x v="8"/>
    <x v="1"/>
    <n v="35.4"/>
    <x v="1664"/>
    <x v="80"/>
    <d v="2025-03-23T00:00:00"/>
    <x v="2"/>
    <x v="0"/>
    <x v="0"/>
    <x v="0"/>
    <x v="17"/>
    <x v="3"/>
    <x v="11"/>
    <x v="2"/>
  </r>
  <r>
    <x v="2216"/>
    <x v="1"/>
    <x v="2"/>
    <n v="45.9"/>
    <x v="223"/>
    <x v="81"/>
    <d v="2025-03-24T00:00:00"/>
    <x v="1"/>
    <x v="3"/>
    <x v="0"/>
    <x v="0"/>
    <x v="9"/>
    <x v="3"/>
    <x v="12"/>
    <x v="1"/>
  </r>
  <r>
    <x v="2217"/>
    <x v="6"/>
    <x v="7"/>
    <n v="41.2"/>
    <x v="1665"/>
    <x v="81"/>
    <d v="2025-03-27T00:00:00"/>
    <x v="1"/>
    <x v="0"/>
    <x v="0"/>
    <x v="0"/>
    <x v="11"/>
    <x v="5"/>
    <x v="12"/>
    <x v="1"/>
  </r>
  <r>
    <x v="2218"/>
    <x v="17"/>
    <x v="1"/>
    <n v="45.1"/>
    <x v="244"/>
    <x v="81"/>
    <d v="2025-03-24T00:00:00"/>
    <x v="1"/>
    <x v="1"/>
    <x v="1"/>
    <x v="0"/>
    <x v="21"/>
    <x v="3"/>
    <x v="12"/>
    <x v="1"/>
  </r>
  <r>
    <x v="2219"/>
    <x v="6"/>
    <x v="7"/>
    <n v="63.6"/>
    <x v="1666"/>
    <x v="81"/>
    <d v="2025-03-23T00:00:00"/>
    <x v="1"/>
    <x v="2"/>
    <x v="0"/>
    <x v="0"/>
    <x v="1"/>
    <x v="7"/>
    <x v="12"/>
    <x v="1"/>
  </r>
  <r>
    <x v="2220"/>
    <x v="8"/>
    <x v="0"/>
    <n v="70.5"/>
    <x v="1012"/>
    <x v="81"/>
    <d v="2025-03-24T00:00:00"/>
    <x v="1"/>
    <x v="0"/>
    <x v="0"/>
    <x v="0"/>
    <x v="3"/>
    <x v="3"/>
    <x v="12"/>
    <x v="1"/>
  </r>
  <r>
    <x v="2221"/>
    <x v="6"/>
    <x v="0"/>
    <n v="41.3"/>
    <x v="1667"/>
    <x v="81"/>
    <d v="2025-03-23T00:00:00"/>
    <x v="1"/>
    <x v="4"/>
    <x v="0"/>
    <x v="0"/>
    <x v="3"/>
    <x v="7"/>
    <x v="12"/>
    <x v="1"/>
  </r>
  <r>
    <x v="2222"/>
    <x v="4"/>
    <x v="0"/>
    <n v="35.299999999999997"/>
    <x v="1668"/>
    <x v="81"/>
    <d v="2025-03-26T00:00:00"/>
    <x v="2"/>
    <x v="4"/>
    <x v="2"/>
    <x v="0"/>
    <x v="3"/>
    <x v="2"/>
    <x v="12"/>
    <x v="2"/>
  </r>
  <r>
    <x v="2223"/>
    <x v="8"/>
    <x v="9"/>
    <n v="34.700000000000003"/>
    <x v="1669"/>
    <x v="81"/>
    <d v="2025-03-24T00:00:00"/>
    <x v="2"/>
    <x v="0"/>
    <x v="2"/>
    <x v="0"/>
    <x v="3"/>
    <x v="3"/>
    <x v="12"/>
    <x v="2"/>
  </r>
  <r>
    <x v="2224"/>
    <x v="8"/>
    <x v="2"/>
    <n v="26.1"/>
    <x v="1670"/>
    <x v="81"/>
    <d v="2025-03-24T00:00:00"/>
    <x v="2"/>
    <x v="0"/>
    <x v="0"/>
    <x v="0"/>
    <x v="3"/>
    <x v="3"/>
    <x v="12"/>
    <x v="2"/>
  </r>
  <r>
    <x v="2225"/>
    <x v="9"/>
    <x v="9"/>
    <n v="22.6"/>
    <x v="548"/>
    <x v="81"/>
    <d v="2025-03-23T00:00:00"/>
    <x v="2"/>
    <x v="1"/>
    <x v="2"/>
    <x v="0"/>
    <x v="3"/>
    <x v="7"/>
    <x v="12"/>
    <x v="2"/>
  </r>
  <r>
    <x v="2226"/>
    <x v="2"/>
    <x v="1"/>
    <n v="154.4"/>
    <x v="1671"/>
    <x v="81"/>
    <d v="2025-03-26T00:00:00"/>
    <x v="1"/>
    <x v="1"/>
    <x v="1"/>
    <x v="0"/>
    <x v="3"/>
    <x v="2"/>
    <x v="12"/>
    <x v="1"/>
  </r>
  <r>
    <x v="2227"/>
    <x v="8"/>
    <x v="1"/>
    <n v="18.399999999999999"/>
    <x v="791"/>
    <x v="81"/>
    <d v="2025-03-24T00:00:00"/>
    <x v="1"/>
    <x v="0"/>
    <x v="0"/>
    <x v="0"/>
    <x v="3"/>
    <x v="3"/>
    <x v="12"/>
    <x v="1"/>
  </r>
  <r>
    <x v="2228"/>
    <x v="14"/>
    <x v="0"/>
    <n v="25"/>
    <x v="1672"/>
    <x v="81"/>
    <d v="2025-03-26T00:00:00"/>
    <x v="2"/>
    <x v="0"/>
    <x v="0"/>
    <x v="0"/>
    <x v="3"/>
    <x v="2"/>
    <x v="12"/>
    <x v="2"/>
  </r>
  <r>
    <x v="2229"/>
    <x v="2"/>
    <x v="13"/>
    <n v="105.6"/>
    <x v="1673"/>
    <x v="81"/>
    <d v="2025-03-23T00:00:00"/>
    <x v="2"/>
    <x v="0"/>
    <x v="0"/>
    <x v="0"/>
    <x v="3"/>
    <x v="7"/>
    <x v="12"/>
    <x v="2"/>
  </r>
  <r>
    <x v="2230"/>
    <x v="18"/>
    <x v="8"/>
    <n v="59.6"/>
    <x v="1674"/>
    <x v="81"/>
    <d v="2025-03-23T00:00:00"/>
    <x v="2"/>
    <x v="0"/>
    <x v="2"/>
    <x v="0"/>
    <x v="23"/>
    <x v="7"/>
    <x v="12"/>
    <x v="2"/>
  </r>
  <r>
    <x v="2231"/>
    <x v="15"/>
    <x v="2"/>
    <n v="75.400000000000006"/>
    <x v="1675"/>
    <x v="81"/>
    <d v="2025-03-28T00:00:00"/>
    <x v="1"/>
    <x v="0"/>
    <x v="1"/>
    <x v="0"/>
    <x v="7"/>
    <x v="0"/>
    <x v="12"/>
    <x v="1"/>
  </r>
  <r>
    <x v="2232"/>
    <x v="7"/>
    <x v="0"/>
    <n v="104.4"/>
    <x v="1652"/>
    <x v="81"/>
    <d v="2025-03-24T00:00:00"/>
    <x v="2"/>
    <x v="0"/>
    <x v="0"/>
    <x v="0"/>
    <x v="8"/>
    <x v="3"/>
    <x v="12"/>
    <x v="2"/>
  </r>
  <r>
    <x v="2233"/>
    <x v="2"/>
    <x v="7"/>
    <n v="208.2"/>
    <x v="1676"/>
    <x v="81"/>
    <d v="2025-03-24T00:00:00"/>
    <x v="1"/>
    <x v="0"/>
    <x v="2"/>
    <x v="0"/>
    <x v="8"/>
    <x v="3"/>
    <x v="12"/>
    <x v="1"/>
  </r>
  <r>
    <x v="2234"/>
    <x v="6"/>
    <x v="1"/>
    <n v="45"/>
    <x v="645"/>
    <x v="81"/>
    <d v="2025-03-26T00:00:00"/>
    <x v="2"/>
    <x v="0"/>
    <x v="0"/>
    <x v="0"/>
    <x v="10"/>
    <x v="2"/>
    <x v="12"/>
    <x v="2"/>
  </r>
  <r>
    <x v="2235"/>
    <x v="15"/>
    <x v="1"/>
    <n v="20.3"/>
    <x v="1352"/>
    <x v="82"/>
    <d v="2025-03-26T00:00:00"/>
    <x v="0"/>
    <x v="1"/>
    <x v="0"/>
    <x v="0"/>
    <x v="11"/>
    <x v="1"/>
    <x v="12"/>
    <x v="0"/>
  </r>
  <r>
    <x v="2236"/>
    <x v="2"/>
    <x v="2"/>
    <n v="94.4"/>
    <x v="1677"/>
    <x v="82"/>
    <d v="2025-03-25T00:00:00"/>
    <x v="2"/>
    <x v="0"/>
    <x v="2"/>
    <x v="0"/>
    <x v="11"/>
    <x v="3"/>
    <x v="12"/>
    <x v="2"/>
  </r>
  <r>
    <x v="2237"/>
    <x v="9"/>
    <x v="0"/>
    <n v="49"/>
    <x v="268"/>
    <x v="82"/>
    <d v="2025-03-26T00:00:00"/>
    <x v="2"/>
    <x v="0"/>
    <x v="2"/>
    <x v="0"/>
    <x v="20"/>
    <x v="1"/>
    <x v="12"/>
    <x v="2"/>
  </r>
  <r>
    <x v="2238"/>
    <x v="4"/>
    <x v="1"/>
    <n v="27.2"/>
    <x v="630"/>
    <x v="82"/>
    <d v="2025-03-26T00:00:00"/>
    <x v="1"/>
    <x v="0"/>
    <x v="2"/>
    <x v="0"/>
    <x v="1"/>
    <x v="1"/>
    <x v="12"/>
    <x v="1"/>
  </r>
  <r>
    <x v="2239"/>
    <x v="2"/>
    <x v="13"/>
    <n v="72.599999999999994"/>
    <x v="349"/>
    <x v="82"/>
    <d v="2025-03-25T00:00:00"/>
    <x v="2"/>
    <x v="0"/>
    <x v="2"/>
    <x v="0"/>
    <x v="2"/>
    <x v="3"/>
    <x v="12"/>
    <x v="2"/>
  </r>
  <r>
    <x v="2240"/>
    <x v="15"/>
    <x v="12"/>
    <n v="62.4"/>
    <x v="1267"/>
    <x v="82"/>
    <d v="2025-03-25T00:00:00"/>
    <x v="2"/>
    <x v="0"/>
    <x v="0"/>
    <x v="0"/>
    <x v="3"/>
    <x v="3"/>
    <x v="12"/>
    <x v="2"/>
  </r>
  <r>
    <x v="2241"/>
    <x v="8"/>
    <x v="2"/>
    <n v="19.100000000000001"/>
    <x v="1281"/>
    <x v="82"/>
    <d v="2025-03-26T00:00:00"/>
    <x v="1"/>
    <x v="0"/>
    <x v="1"/>
    <x v="0"/>
    <x v="3"/>
    <x v="1"/>
    <x v="12"/>
    <x v="1"/>
  </r>
  <r>
    <x v="2242"/>
    <x v="10"/>
    <x v="0"/>
    <n v="29.6"/>
    <x v="1678"/>
    <x v="82"/>
    <d v="2025-03-28T00:00:00"/>
    <x v="1"/>
    <x v="0"/>
    <x v="4"/>
    <x v="0"/>
    <x v="3"/>
    <x v="5"/>
    <x v="12"/>
    <x v="1"/>
  </r>
  <r>
    <x v="2243"/>
    <x v="8"/>
    <x v="1"/>
    <n v="18.899999999999999"/>
    <x v="463"/>
    <x v="82"/>
    <d v="2025-03-26T00:00:00"/>
    <x v="2"/>
    <x v="4"/>
    <x v="2"/>
    <x v="0"/>
    <x v="3"/>
    <x v="1"/>
    <x v="12"/>
    <x v="2"/>
  </r>
  <r>
    <x v="2244"/>
    <x v="10"/>
    <x v="9"/>
    <n v="41.4"/>
    <x v="461"/>
    <x v="82"/>
    <d v="2025-03-25T00:00:00"/>
    <x v="1"/>
    <x v="3"/>
    <x v="0"/>
    <x v="0"/>
    <x v="3"/>
    <x v="3"/>
    <x v="12"/>
    <x v="1"/>
  </r>
  <r>
    <x v="2245"/>
    <x v="2"/>
    <x v="0"/>
    <n v="118.4"/>
    <x v="1250"/>
    <x v="82"/>
    <d v="2025-03-25T00:00:00"/>
    <x v="2"/>
    <x v="0"/>
    <x v="2"/>
    <x v="0"/>
    <x v="3"/>
    <x v="3"/>
    <x v="12"/>
    <x v="2"/>
  </r>
  <r>
    <x v="2246"/>
    <x v="2"/>
    <x v="1"/>
    <n v="125.3"/>
    <x v="1679"/>
    <x v="82"/>
    <d v="2025-03-27T00:00:00"/>
    <x v="2"/>
    <x v="0"/>
    <x v="2"/>
    <x v="0"/>
    <x v="3"/>
    <x v="2"/>
    <x v="12"/>
    <x v="2"/>
  </r>
  <r>
    <x v="2247"/>
    <x v="3"/>
    <x v="1"/>
    <n v="85.8"/>
    <x v="1512"/>
    <x v="82"/>
    <d v="2025-03-25T00:00:00"/>
    <x v="2"/>
    <x v="1"/>
    <x v="4"/>
    <x v="0"/>
    <x v="3"/>
    <x v="3"/>
    <x v="12"/>
    <x v="2"/>
  </r>
  <r>
    <x v="2248"/>
    <x v="6"/>
    <x v="0"/>
    <n v="44.2"/>
    <x v="573"/>
    <x v="82"/>
    <d v="2025-03-27T00:00:00"/>
    <x v="1"/>
    <x v="1"/>
    <x v="0"/>
    <x v="0"/>
    <x v="3"/>
    <x v="2"/>
    <x v="12"/>
    <x v="1"/>
  </r>
  <r>
    <x v="2249"/>
    <x v="5"/>
    <x v="12"/>
    <n v="74.099999999999994"/>
    <x v="764"/>
    <x v="82"/>
    <d v="2025-03-26T00:00:00"/>
    <x v="2"/>
    <x v="0"/>
    <x v="0"/>
    <x v="0"/>
    <x v="3"/>
    <x v="1"/>
    <x v="12"/>
    <x v="2"/>
  </r>
  <r>
    <x v="2250"/>
    <x v="8"/>
    <x v="0"/>
    <n v="33.799999999999997"/>
    <x v="1680"/>
    <x v="82"/>
    <d v="2025-03-25T00:00:00"/>
    <x v="2"/>
    <x v="2"/>
    <x v="2"/>
    <x v="0"/>
    <x v="24"/>
    <x v="3"/>
    <x v="12"/>
    <x v="2"/>
  </r>
  <r>
    <x v="2251"/>
    <x v="1"/>
    <x v="1"/>
    <n v="39.1"/>
    <x v="1148"/>
    <x v="82"/>
    <d v="2025-03-25T00:00:00"/>
    <x v="1"/>
    <x v="0"/>
    <x v="1"/>
    <x v="0"/>
    <x v="24"/>
    <x v="3"/>
    <x v="12"/>
    <x v="1"/>
  </r>
  <r>
    <x v="2252"/>
    <x v="0"/>
    <x v="0"/>
    <n v="37.200000000000003"/>
    <x v="804"/>
    <x v="82"/>
    <d v="2025-03-25T00:00:00"/>
    <x v="1"/>
    <x v="0"/>
    <x v="1"/>
    <x v="0"/>
    <x v="16"/>
    <x v="3"/>
    <x v="12"/>
    <x v="1"/>
  </r>
  <r>
    <x v="2253"/>
    <x v="15"/>
    <x v="2"/>
    <n v="33.9"/>
    <x v="1681"/>
    <x v="82"/>
    <d v="2025-03-26T00:00:00"/>
    <x v="1"/>
    <x v="2"/>
    <x v="0"/>
    <x v="0"/>
    <x v="6"/>
    <x v="1"/>
    <x v="12"/>
    <x v="1"/>
  </r>
  <r>
    <x v="2254"/>
    <x v="7"/>
    <x v="20"/>
    <n v="73.3"/>
    <x v="1682"/>
    <x v="82"/>
    <d v="2025-03-27T00:00:00"/>
    <x v="2"/>
    <x v="2"/>
    <x v="1"/>
    <x v="0"/>
    <x v="8"/>
    <x v="2"/>
    <x v="12"/>
    <x v="2"/>
  </r>
  <r>
    <x v="2255"/>
    <x v="8"/>
    <x v="12"/>
    <n v="35"/>
    <x v="1683"/>
    <x v="82"/>
    <d v="2025-03-26T00:00:00"/>
    <x v="2"/>
    <x v="1"/>
    <x v="0"/>
    <x v="0"/>
    <x v="8"/>
    <x v="1"/>
    <x v="12"/>
    <x v="2"/>
  </r>
  <r>
    <x v="2256"/>
    <x v="0"/>
    <x v="2"/>
    <n v="22.2"/>
    <x v="815"/>
    <x v="82"/>
    <d v="2025-03-25T00:00:00"/>
    <x v="1"/>
    <x v="1"/>
    <x v="0"/>
    <x v="0"/>
    <x v="17"/>
    <x v="3"/>
    <x v="12"/>
    <x v="1"/>
  </r>
  <r>
    <x v="2257"/>
    <x v="10"/>
    <x v="0"/>
    <n v="32.4"/>
    <x v="1684"/>
    <x v="82"/>
    <d v="2025-03-25T00:00:00"/>
    <x v="2"/>
    <x v="0"/>
    <x v="0"/>
    <x v="0"/>
    <x v="11"/>
    <x v="3"/>
    <x v="12"/>
    <x v="2"/>
  </r>
  <r>
    <x v="2258"/>
    <x v="5"/>
    <x v="2"/>
    <n v="88.4"/>
    <x v="1685"/>
    <x v="83"/>
    <d v="2025-03-27T00:00:00"/>
    <x v="2"/>
    <x v="1"/>
    <x v="1"/>
    <x v="0"/>
    <x v="11"/>
    <x v="1"/>
    <x v="12"/>
    <x v="2"/>
  </r>
  <r>
    <x v="2259"/>
    <x v="5"/>
    <x v="27"/>
    <n v="30.5"/>
    <x v="865"/>
    <x v="83"/>
    <d v="2025-03-26T00:00:00"/>
    <x v="2"/>
    <x v="2"/>
    <x v="0"/>
    <x v="0"/>
    <x v="11"/>
    <x v="3"/>
    <x v="12"/>
    <x v="2"/>
  </r>
  <r>
    <x v="2260"/>
    <x v="1"/>
    <x v="13"/>
    <n v="38.1"/>
    <x v="1686"/>
    <x v="83"/>
    <d v="2025-03-27T00:00:00"/>
    <x v="2"/>
    <x v="0"/>
    <x v="1"/>
    <x v="0"/>
    <x v="11"/>
    <x v="1"/>
    <x v="12"/>
    <x v="2"/>
  </r>
  <r>
    <x v="2261"/>
    <x v="10"/>
    <x v="9"/>
    <n v="37.6"/>
    <x v="885"/>
    <x v="83"/>
    <d v="2025-03-29T00:00:00"/>
    <x v="1"/>
    <x v="0"/>
    <x v="0"/>
    <x v="0"/>
    <x v="11"/>
    <x v="5"/>
    <x v="12"/>
    <x v="1"/>
  </r>
  <r>
    <x v="2262"/>
    <x v="15"/>
    <x v="1"/>
    <n v="31.4"/>
    <x v="143"/>
    <x v="83"/>
    <d v="2025-03-26T00:00:00"/>
    <x v="1"/>
    <x v="0"/>
    <x v="2"/>
    <x v="0"/>
    <x v="11"/>
    <x v="3"/>
    <x v="12"/>
    <x v="1"/>
  </r>
  <r>
    <x v="2263"/>
    <x v="6"/>
    <x v="1"/>
    <n v="61.5"/>
    <x v="1287"/>
    <x v="83"/>
    <d v="2025-03-26T00:00:00"/>
    <x v="1"/>
    <x v="3"/>
    <x v="0"/>
    <x v="0"/>
    <x v="31"/>
    <x v="3"/>
    <x v="12"/>
    <x v="1"/>
  </r>
  <r>
    <x v="2264"/>
    <x v="6"/>
    <x v="0"/>
    <n v="72.599999999999994"/>
    <x v="1325"/>
    <x v="83"/>
    <d v="2025-03-26T00:00:00"/>
    <x v="1"/>
    <x v="0"/>
    <x v="1"/>
    <x v="0"/>
    <x v="21"/>
    <x v="3"/>
    <x v="12"/>
    <x v="1"/>
  </r>
  <r>
    <x v="2265"/>
    <x v="9"/>
    <x v="2"/>
    <n v="26.9"/>
    <x v="1687"/>
    <x v="83"/>
    <d v="2025-03-30T00:00:00"/>
    <x v="3"/>
    <x v="4"/>
    <x v="1"/>
    <x v="0"/>
    <x v="46"/>
    <x v="0"/>
    <x v="12"/>
    <x v="0"/>
  </r>
  <r>
    <x v="2266"/>
    <x v="17"/>
    <x v="4"/>
    <n v="29.4"/>
    <x v="1688"/>
    <x v="83"/>
    <d v="2025-03-26T00:00:00"/>
    <x v="2"/>
    <x v="1"/>
    <x v="0"/>
    <x v="0"/>
    <x v="51"/>
    <x v="3"/>
    <x v="12"/>
    <x v="2"/>
  </r>
  <r>
    <x v="2267"/>
    <x v="17"/>
    <x v="1"/>
    <n v="42.1"/>
    <x v="903"/>
    <x v="83"/>
    <d v="2025-03-26T00:00:00"/>
    <x v="2"/>
    <x v="3"/>
    <x v="1"/>
    <x v="0"/>
    <x v="1"/>
    <x v="3"/>
    <x v="12"/>
    <x v="2"/>
  </r>
  <r>
    <x v="2268"/>
    <x v="5"/>
    <x v="0"/>
    <n v="40.5"/>
    <x v="1117"/>
    <x v="83"/>
    <d v="2025-03-26T00:00:00"/>
    <x v="2"/>
    <x v="2"/>
    <x v="1"/>
    <x v="0"/>
    <x v="1"/>
    <x v="3"/>
    <x v="12"/>
    <x v="2"/>
  </r>
  <r>
    <x v="2269"/>
    <x v="2"/>
    <x v="12"/>
    <n v="182.3"/>
    <x v="1689"/>
    <x v="83"/>
    <d v="2025-03-26T00:00:00"/>
    <x v="2"/>
    <x v="1"/>
    <x v="0"/>
    <x v="0"/>
    <x v="1"/>
    <x v="3"/>
    <x v="12"/>
    <x v="2"/>
  </r>
  <r>
    <x v="2270"/>
    <x v="2"/>
    <x v="9"/>
    <n v="157"/>
    <x v="1690"/>
    <x v="83"/>
    <d v="2025-03-28T00:00:00"/>
    <x v="2"/>
    <x v="1"/>
    <x v="2"/>
    <x v="0"/>
    <x v="2"/>
    <x v="2"/>
    <x v="12"/>
    <x v="2"/>
  </r>
  <r>
    <x v="2271"/>
    <x v="17"/>
    <x v="9"/>
    <n v="45.2"/>
    <x v="326"/>
    <x v="83"/>
    <d v="2025-03-28T00:00:00"/>
    <x v="2"/>
    <x v="1"/>
    <x v="0"/>
    <x v="0"/>
    <x v="22"/>
    <x v="2"/>
    <x v="12"/>
    <x v="2"/>
  </r>
  <r>
    <x v="2272"/>
    <x v="15"/>
    <x v="12"/>
    <n v="27.4"/>
    <x v="1239"/>
    <x v="83"/>
    <d v="2025-03-27T00:00:00"/>
    <x v="2"/>
    <x v="0"/>
    <x v="0"/>
    <x v="0"/>
    <x v="3"/>
    <x v="1"/>
    <x v="12"/>
    <x v="2"/>
  </r>
  <r>
    <x v="2273"/>
    <x v="5"/>
    <x v="9"/>
    <n v="34.1"/>
    <x v="1691"/>
    <x v="83"/>
    <d v="2025-03-27T00:00:00"/>
    <x v="1"/>
    <x v="0"/>
    <x v="2"/>
    <x v="0"/>
    <x v="3"/>
    <x v="1"/>
    <x v="12"/>
    <x v="1"/>
  </r>
  <r>
    <x v="2274"/>
    <x v="0"/>
    <x v="1"/>
    <n v="26"/>
    <x v="1692"/>
    <x v="83"/>
    <d v="2025-03-27T00:00:00"/>
    <x v="1"/>
    <x v="2"/>
    <x v="1"/>
    <x v="0"/>
    <x v="3"/>
    <x v="1"/>
    <x v="12"/>
    <x v="1"/>
  </r>
  <r>
    <x v="2275"/>
    <x v="8"/>
    <x v="3"/>
    <n v="19.399999999999999"/>
    <x v="1693"/>
    <x v="83"/>
    <d v="2025-03-27T00:00:00"/>
    <x v="0"/>
    <x v="1"/>
    <x v="1"/>
    <x v="0"/>
    <x v="3"/>
    <x v="1"/>
    <x v="12"/>
    <x v="0"/>
  </r>
  <r>
    <x v="2276"/>
    <x v="16"/>
    <x v="2"/>
    <n v="30.3"/>
    <x v="407"/>
    <x v="83"/>
    <d v="2025-03-28T00:00:00"/>
    <x v="2"/>
    <x v="1"/>
    <x v="2"/>
    <x v="0"/>
    <x v="3"/>
    <x v="2"/>
    <x v="12"/>
    <x v="2"/>
  </r>
  <r>
    <x v="2277"/>
    <x v="2"/>
    <x v="2"/>
    <n v="101.4"/>
    <x v="1694"/>
    <x v="83"/>
    <d v="2025-03-26T00:00:00"/>
    <x v="1"/>
    <x v="0"/>
    <x v="0"/>
    <x v="0"/>
    <x v="3"/>
    <x v="3"/>
    <x v="12"/>
    <x v="1"/>
  </r>
  <r>
    <x v="2278"/>
    <x v="3"/>
    <x v="9"/>
    <n v="55.5"/>
    <x v="819"/>
    <x v="83"/>
    <d v="2025-03-28T00:00:00"/>
    <x v="1"/>
    <x v="1"/>
    <x v="0"/>
    <x v="0"/>
    <x v="24"/>
    <x v="2"/>
    <x v="12"/>
    <x v="1"/>
  </r>
  <r>
    <x v="2279"/>
    <x v="8"/>
    <x v="0"/>
    <n v="23.1"/>
    <x v="1695"/>
    <x v="83"/>
    <d v="2025-03-26T00:00:00"/>
    <x v="1"/>
    <x v="0"/>
    <x v="0"/>
    <x v="0"/>
    <x v="25"/>
    <x v="3"/>
    <x v="12"/>
    <x v="1"/>
  </r>
  <r>
    <x v="2280"/>
    <x v="18"/>
    <x v="1"/>
    <n v="38.9"/>
    <x v="482"/>
    <x v="83"/>
    <d v="2025-03-26T00:00:00"/>
    <x v="1"/>
    <x v="2"/>
    <x v="0"/>
    <x v="0"/>
    <x v="25"/>
    <x v="3"/>
    <x v="12"/>
    <x v="1"/>
  </r>
  <r>
    <x v="2281"/>
    <x v="6"/>
    <x v="11"/>
    <n v="116.3"/>
    <x v="1696"/>
    <x v="83"/>
    <d v="2025-03-29T00:00:00"/>
    <x v="2"/>
    <x v="0"/>
    <x v="0"/>
    <x v="0"/>
    <x v="5"/>
    <x v="5"/>
    <x v="12"/>
    <x v="2"/>
  </r>
  <r>
    <x v="2282"/>
    <x v="16"/>
    <x v="11"/>
    <n v="64.099999999999994"/>
    <x v="1697"/>
    <x v="83"/>
    <d v="2025-03-25T00:00:00"/>
    <x v="2"/>
    <x v="0"/>
    <x v="2"/>
    <x v="0"/>
    <x v="6"/>
    <x v="7"/>
    <x v="12"/>
    <x v="2"/>
  </r>
  <r>
    <x v="2283"/>
    <x v="2"/>
    <x v="13"/>
    <n v="109.2"/>
    <x v="1698"/>
    <x v="83"/>
    <d v="2025-03-27T00:00:00"/>
    <x v="1"/>
    <x v="0"/>
    <x v="1"/>
    <x v="0"/>
    <x v="8"/>
    <x v="1"/>
    <x v="12"/>
    <x v="1"/>
  </r>
  <r>
    <x v="2284"/>
    <x v="10"/>
    <x v="9"/>
    <n v="23.2"/>
    <x v="1699"/>
    <x v="84"/>
    <d v="2025-03-27T00:00:00"/>
    <x v="1"/>
    <x v="0"/>
    <x v="1"/>
    <x v="0"/>
    <x v="8"/>
    <x v="3"/>
    <x v="12"/>
    <x v="1"/>
  </r>
  <r>
    <x v="2285"/>
    <x v="18"/>
    <x v="13"/>
    <n v="81.2"/>
    <x v="1700"/>
    <x v="84"/>
    <d v="2025-03-28T00:00:00"/>
    <x v="1"/>
    <x v="2"/>
    <x v="2"/>
    <x v="0"/>
    <x v="8"/>
    <x v="1"/>
    <x v="12"/>
    <x v="1"/>
  </r>
  <r>
    <x v="2286"/>
    <x v="1"/>
    <x v="21"/>
    <n v="35.700000000000003"/>
    <x v="1701"/>
    <x v="84"/>
    <d v="2025-03-27T00:00:00"/>
    <x v="1"/>
    <x v="3"/>
    <x v="0"/>
    <x v="0"/>
    <x v="8"/>
    <x v="3"/>
    <x v="12"/>
    <x v="1"/>
  </r>
  <r>
    <x v="2287"/>
    <x v="7"/>
    <x v="1"/>
    <n v="44.5"/>
    <x v="1702"/>
    <x v="84"/>
    <d v="2025-03-29T00:00:00"/>
    <x v="1"/>
    <x v="4"/>
    <x v="0"/>
    <x v="0"/>
    <x v="9"/>
    <x v="2"/>
    <x v="12"/>
    <x v="1"/>
  </r>
  <r>
    <x v="2288"/>
    <x v="1"/>
    <x v="9"/>
    <n v="32"/>
    <x v="444"/>
    <x v="84"/>
    <d v="2025-03-28T00:00:00"/>
    <x v="3"/>
    <x v="1"/>
    <x v="1"/>
    <x v="0"/>
    <x v="9"/>
    <x v="1"/>
    <x v="12"/>
    <x v="0"/>
  </r>
  <r>
    <x v="2289"/>
    <x v="8"/>
    <x v="0"/>
    <n v="25.7"/>
    <x v="1703"/>
    <x v="84"/>
    <d v="2025-03-27T00:00:00"/>
    <x v="1"/>
    <x v="0"/>
    <x v="0"/>
    <x v="0"/>
    <x v="10"/>
    <x v="3"/>
    <x v="12"/>
    <x v="1"/>
  </r>
  <r>
    <x v="2290"/>
    <x v="16"/>
    <x v="2"/>
    <n v="65.599999999999994"/>
    <x v="487"/>
    <x v="84"/>
    <d v="2025-04-01T00:00:00"/>
    <x v="1"/>
    <x v="0"/>
    <x v="0"/>
    <x v="0"/>
    <x v="11"/>
    <x v="4"/>
    <x v="12"/>
    <x v="1"/>
  </r>
  <r>
    <x v="2291"/>
    <x v="1"/>
    <x v="12"/>
    <n v="52.1"/>
    <x v="1704"/>
    <x v="84"/>
    <d v="2025-03-27T00:00:00"/>
    <x v="2"/>
    <x v="0"/>
    <x v="2"/>
    <x v="0"/>
    <x v="11"/>
    <x v="3"/>
    <x v="12"/>
    <x v="2"/>
  </r>
  <r>
    <x v="2292"/>
    <x v="8"/>
    <x v="0"/>
    <n v="31"/>
    <x v="1705"/>
    <x v="84"/>
    <d v="2025-03-27T00:00:00"/>
    <x v="1"/>
    <x v="0"/>
    <x v="1"/>
    <x v="0"/>
    <x v="19"/>
    <x v="3"/>
    <x v="12"/>
    <x v="1"/>
  </r>
  <r>
    <x v="2293"/>
    <x v="8"/>
    <x v="0"/>
    <n v="32"/>
    <x v="109"/>
    <x v="84"/>
    <d v="2025-03-28T00:00:00"/>
    <x v="3"/>
    <x v="3"/>
    <x v="1"/>
    <x v="0"/>
    <x v="31"/>
    <x v="1"/>
    <x v="12"/>
    <x v="0"/>
  </r>
  <r>
    <x v="2294"/>
    <x v="16"/>
    <x v="12"/>
    <n v="58.3"/>
    <x v="1706"/>
    <x v="84"/>
    <d v="2025-03-30T00:00:00"/>
    <x v="1"/>
    <x v="1"/>
    <x v="4"/>
    <x v="0"/>
    <x v="20"/>
    <x v="5"/>
    <x v="12"/>
    <x v="1"/>
  </r>
  <r>
    <x v="2295"/>
    <x v="8"/>
    <x v="2"/>
    <n v="31"/>
    <x v="1707"/>
    <x v="84"/>
    <d v="2025-03-28T00:00:00"/>
    <x v="2"/>
    <x v="2"/>
    <x v="4"/>
    <x v="0"/>
    <x v="13"/>
    <x v="1"/>
    <x v="12"/>
    <x v="2"/>
  </r>
  <r>
    <x v="2296"/>
    <x v="3"/>
    <x v="0"/>
    <n v="40.299999999999997"/>
    <x v="518"/>
    <x v="84"/>
    <d v="2025-03-27T00:00:00"/>
    <x v="1"/>
    <x v="1"/>
    <x v="2"/>
    <x v="0"/>
    <x v="54"/>
    <x v="3"/>
    <x v="12"/>
    <x v="1"/>
  </r>
  <r>
    <x v="2297"/>
    <x v="6"/>
    <x v="2"/>
    <n v="47.3"/>
    <x v="1708"/>
    <x v="84"/>
    <d v="2025-03-28T00:00:00"/>
    <x v="1"/>
    <x v="4"/>
    <x v="2"/>
    <x v="0"/>
    <x v="2"/>
    <x v="1"/>
    <x v="12"/>
    <x v="1"/>
  </r>
  <r>
    <x v="2298"/>
    <x v="2"/>
    <x v="0"/>
    <n v="82.8"/>
    <x v="1182"/>
    <x v="84"/>
    <d v="2025-03-27T00:00:00"/>
    <x v="1"/>
    <x v="0"/>
    <x v="0"/>
    <x v="0"/>
    <x v="2"/>
    <x v="3"/>
    <x v="12"/>
    <x v="1"/>
  </r>
  <r>
    <x v="2299"/>
    <x v="8"/>
    <x v="0"/>
    <n v="18.5"/>
    <x v="1709"/>
    <x v="84"/>
    <d v="2025-04-09T00:00:00"/>
    <x v="2"/>
    <x v="0"/>
    <x v="0"/>
    <x v="0"/>
    <x v="44"/>
    <x v="12"/>
    <x v="12"/>
    <x v="2"/>
  </r>
  <r>
    <x v="2300"/>
    <x v="3"/>
    <x v="1"/>
    <n v="60.4"/>
    <x v="1710"/>
    <x v="84"/>
    <d v="2025-03-27T00:00:00"/>
    <x v="1"/>
    <x v="2"/>
    <x v="0"/>
    <x v="0"/>
    <x v="22"/>
    <x v="3"/>
    <x v="12"/>
    <x v="1"/>
  </r>
  <r>
    <x v="2301"/>
    <x v="6"/>
    <x v="9"/>
    <n v="80.2"/>
    <x v="1711"/>
    <x v="84"/>
    <d v="2025-04-02T00:00:00"/>
    <x v="1"/>
    <x v="1"/>
    <x v="1"/>
    <x v="0"/>
    <x v="50"/>
    <x v="6"/>
    <x v="12"/>
    <x v="1"/>
  </r>
  <r>
    <x v="2302"/>
    <x v="4"/>
    <x v="0"/>
    <n v="41.5"/>
    <x v="1712"/>
    <x v="84"/>
    <d v="2025-03-28T00:00:00"/>
    <x v="1"/>
    <x v="2"/>
    <x v="0"/>
    <x v="0"/>
    <x v="3"/>
    <x v="1"/>
    <x v="12"/>
    <x v="1"/>
  </r>
  <r>
    <x v="2303"/>
    <x v="2"/>
    <x v="1"/>
    <n v="83.9"/>
    <x v="1713"/>
    <x v="84"/>
    <d v="2025-03-29T00:00:00"/>
    <x v="2"/>
    <x v="0"/>
    <x v="0"/>
    <x v="0"/>
    <x v="3"/>
    <x v="2"/>
    <x v="12"/>
    <x v="2"/>
  </r>
  <r>
    <x v="2304"/>
    <x v="8"/>
    <x v="1"/>
    <n v="16.7"/>
    <x v="1417"/>
    <x v="84"/>
    <d v="2025-03-30T00:00:00"/>
    <x v="2"/>
    <x v="0"/>
    <x v="1"/>
    <x v="0"/>
    <x v="3"/>
    <x v="5"/>
    <x v="12"/>
    <x v="2"/>
  </r>
  <r>
    <x v="2305"/>
    <x v="9"/>
    <x v="1"/>
    <n v="72.900000000000006"/>
    <x v="1626"/>
    <x v="84"/>
    <d v="2025-03-27T00:00:00"/>
    <x v="1"/>
    <x v="2"/>
    <x v="1"/>
    <x v="0"/>
    <x v="3"/>
    <x v="3"/>
    <x v="12"/>
    <x v="1"/>
  </r>
  <r>
    <x v="2306"/>
    <x v="5"/>
    <x v="1"/>
    <n v="50.2"/>
    <x v="862"/>
    <x v="84"/>
    <d v="2025-03-28T00:00:00"/>
    <x v="2"/>
    <x v="1"/>
    <x v="2"/>
    <x v="0"/>
    <x v="3"/>
    <x v="1"/>
    <x v="12"/>
    <x v="2"/>
  </r>
  <r>
    <x v="2307"/>
    <x v="3"/>
    <x v="1"/>
    <n v="34.200000000000003"/>
    <x v="1714"/>
    <x v="84"/>
    <d v="2025-04-05T00:00:00"/>
    <x v="0"/>
    <x v="1"/>
    <x v="0"/>
    <x v="0"/>
    <x v="3"/>
    <x v="14"/>
    <x v="12"/>
    <x v="0"/>
  </r>
  <r>
    <x v="2308"/>
    <x v="5"/>
    <x v="1"/>
    <n v="107.9"/>
    <x v="1715"/>
    <x v="84"/>
    <d v="2025-03-26T00:00:00"/>
    <x v="1"/>
    <x v="1"/>
    <x v="4"/>
    <x v="0"/>
    <x v="3"/>
    <x v="7"/>
    <x v="12"/>
    <x v="1"/>
  </r>
  <r>
    <x v="2309"/>
    <x v="0"/>
    <x v="2"/>
    <n v="17.5"/>
    <x v="413"/>
    <x v="84"/>
    <d v="2025-03-28T00:00:00"/>
    <x v="1"/>
    <x v="4"/>
    <x v="0"/>
    <x v="0"/>
    <x v="3"/>
    <x v="1"/>
    <x v="12"/>
    <x v="1"/>
  </r>
  <r>
    <x v="2310"/>
    <x v="13"/>
    <x v="20"/>
    <n v="44.7"/>
    <x v="1716"/>
    <x v="84"/>
    <d v="2025-03-27T00:00:00"/>
    <x v="1"/>
    <x v="0"/>
    <x v="1"/>
    <x v="0"/>
    <x v="3"/>
    <x v="3"/>
    <x v="12"/>
    <x v="1"/>
  </r>
  <r>
    <x v="2311"/>
    <x v="12"/>
    <x v="13"/>
    <n v="92.7"/>
    <x v="1717"/>
    <x v="84"/>
    <d v="2025-03-28T00:00:00"/>
    <x v="2"/>
    <x v="2"/>
    <x v="1"/>
    <x v="0"/>
    <x v="3"/>
    <x v="1"/>
    <x v="12"/>
    <x v="2"/>
  </r>
  <r>
    <x v="2312"/>
    <x v="7"/>
    <x v="2"/>
    <n v="48.8"/>
    <x v="1718"/>
    <x v="84"/>
    <d v="2025-03-28T00:00:00"/>
    <x v="2"/>
    <x v="2"/>
    <x v="0"/>
    <x v="0"/>
    <x v="3"/>
    <x v="1"/>
    <x v="12"/>
    <x v="2"/>
  </r>
  <r>
    <x v="2313"/>
    <x v="4"/>
    <x v="27"/>
    <n v="21.3"/>
    <x v="1153"/>
    <x v="84"/>
    <d v="2025-03-30T00:00:00"/>
    <x v="2"/>
    <x v="3"/>
    <x v="3"/>
    <x v="0"/>
    <x v="3"/>
    <x v="5"/>
    <x v="12"/>
    <x v="2"/>
  </r>
  <r>
    <x v="2314"/>
    <x v="16"/>
    <x v="0"/>
    <n v="52.5"/>
    <x v="413"/>
    <x v="84"/>
    <d v="2025-03-27T00:00:00"/>
    <x v="2"/>
    <x v="0"/>
    <x v="0"/>
    <x v="0"/>
    <x v="3"/>
    <x v="3"/>
    <x v="12"/>
    <x v="2"/>
  </r>
  <r>
    <x v="2315"/>
    <x v="1"/>
    <x v="1"/>
    <n v="92.4"/>
    <x v="827"/>
    <x v="84"/>
    <d v="2025-04-01T00:00:00"/>
    <x v="2"/>
    <x v="0"/>
    <x v="2"/>
    <x v="0"/>
    <x v="3"/>
    <x v="4"/>
    <x v="12"/>
    <x v="2"/>
  </r>
  <r>
    <x v="2316"/>
    <x v="4"/>
    <x v="5"/>
    <n v="58.3"/>
    <x v="1719"/>
    <x v="84"/>
    <d v="2025-03-28T00:00:00"/>
    <x v="1"/>
    <x v="1"/>
    <x v="2"/>
    <x v="0"/>
    <x v="3"/>
    <x v="1"/>
    <x v="12"/>
    <x v="1"/>
  </r>
  <r>
    <x v="2317"/>
    <x v="6"/>
    <x v="44"/>
    <n v="152.6"/>
    <x v="1720"/>
    <x v="85"/>
    <d v="2025-03-29T00:00:00"/>
    <x v="0"/>
    <x v="0"/>
    <x v="0"/>
    <x v="0"/>
    <x v="3"/>
    <x v="1"/>
    <x v="12"/>
    <x v="0"/>
  </r>
  <r>
    <x v="2318"/>
    <x v="8"/>
    <x v="1"/>
    <n v="26"/>
    <x v="1692"/>
    <x v="85"/>
    <d v="2025-03-27T00:00:00"/>
    <x v="0"/>
    <x v="0"/>
    <x v="1"/>
    <x v="0"/>
    <x v="3"/>
    <x v="7"/>
    <x v="12"/>
    <x v="0"/>
  </r>
  <r>
    <x v="2319"/>
    <x v="1"/>
    <x v="12"/>
    <n v="33.1"/>
    <x v="979"/>
    <x v="85"/>
    <d v="2025-03-27T00:00:00"/>
    <x v="1"/>
    <x v="2"/>
    <x v="4"/>
    <x v="0"/>
    <x v="5"/>
    <x v="7"/>
    <x v="12"/>
    <x v="1"/>
  </r>
  <r>
    <x v="2320"/>
    <x v="18"/>
    <x v="0"/>
    <n v="51.4"/>
    <x v="1045"/>
    <x v="85"/>
    <d v="2025-03-29T00:00:00"/>
    <x v="2"/>
    <x v="1"/>
    <x v="1"/>
    <x v="0"/>
    <x v="5"/>
    <x v="1"/>
    <x v="12"/>
    <x v="2"/>
  </r>
  <r>
    <x v="2321"/>
    <x v="8"/>
    <x v="1"/>
    <n v="30.2"/>
    <x v="266"/>
    <x v="85"/>
    <d v="2025-03-28T00:00:00"/>
    <x v="2"/>
    <x v="2"/>
    <x v="2"/>
    <x v="0"/>
    <x v="6"/>
    <x v="3"/>
    <x v="12"/>
    <x v="2"/>
  </r>
  <r>
    <x v="2322"/>
    <x v="2"/>
    <x v="13"/>
    <n v="97"/>
    <x v="1544"/>
    <x v="85"/>
    <d v="2025-03-31T00:00:00"/>
    <x v="2"/>
    <x v="0"/>
    <x v="2"/>
    <x v="0"/>
    <x v="7"/>
    <x v="5"/>
    <x v="12"/>
    <x v="2"/>
  </r>
  <r>
    <x v="2323"/>
    <x v="2"/>
    <x v="0"/>
    <n v="76.900000000000006"/>
    <x v="1721"/>
    <x v="85"/>
    <d v="2025-03-28T00:00:00"/>
    <x v="1"/>
    <x v="1"/>
    <x v="2"/>
    <x v="0"/>
    <x v="8"/>
    <x v="3"/>
    <x v="12"/>
    <x v="1"/>
  </r>
  <r>
    <x v="2324"/>
    <x v="7"/>
    <x v="13"/>
    <n v="36.1"/>
    <x v="1722"/>
    <x v="85"/>
    <d v="2025-03-31T00:00:00"/>
    <x v="2"/>
    <x v="0"/>
    <x v="0"/>
    <x v="0"/>
    <x v="8"/>
    <x v="5"/>
    <x v="12"/>
    <x v="2"/>
  </r>
  <r>
    <x v="2325"/>
    <x v="1"/>
    <x v="3"/>
    <n v="34.4"/>
    <x v="1723"/>
    <x v="85"/>
    <d v="2025-03-27T00:00:00"/>
    <x v="2"/>
    <x v="2"/>
    <x v="1"/>
    <x v="0"/>
    <x v="11"/>
    <x v="7"/>
    <x v="12"/>
    <x v="2"/>
  </r>
  <r>
    <x v="2326"/>
    <x v="1"/>
    <x v="31"/>
    <n v="53.4"/>
    <x v="1724"/>
    <x v="85"/>
    <d v="2025-03-29T00:00:00"/>
    <x v="2"/>
    <x v="1"/>
    <x v="0"/>
    <x v="0"/>
    <x v="18"/>
    <x v="1"/>
    <x v="12"/>
    <x v="2"/>
  </r>
  <r>
    <x v="2327"/>
    <x v="2"/>
    <x v="0"/>
    <n v="77.599999999999994"/>
    <x v="1598"/>
    <x v="85"/>
    <d v="2025-03-28T00:00:00"/>
    <x v="2"/>
    <x v="0"/>
    <x v="1"/>
    <x v="0"/>
    <x v="19"/>
    <x v="3"/>
    <x v="12"/>
    <x v="2"/>
  </r>
  <r>
    <x v="2328"/>
    <x v="1"/>
    <x v="2"/>
    <n v="71.7"/>
    <x v="1725"/>
    <x v="85"/>
    <d v="2025-03-30T00:00:00"/>
    <x v="2"/>
    <x v="1"/>
    <x v="0"/>
    <x v="0"/>
    <x v="19"/>
    <x v="2"/>
    <x v="12"/>
    <x v="2"/>
  </r>
  <r>
    <x v="2329"/>
    <x v="3"/>
    <x v="2"/>
    <n v="80.599999999999994"/>
    <x v="1726"/>
    <x v="85"/>
    <d v="2025-03-28T00:00:00"/>
    <x v="1"/>
    <x v="4"/>
    <x v="1"/>
    <x v="0"/>
    <x v="19"/>
    <x v="3"/>
    <x v="12"/>
    <x v="1"/>
  </r>
  <r>
    <x v="2330"/>
    <x v="1"/>
    <x v="20"/>
    <n v="70"/>
    <x v="1727"/>
    <x v="85"/>
    <d v="2025-03-29T00:00:00"/>
    <x v="1"/>
    <x v="0"/>
    <x v="0"/>
    <x v="0"/>
    <x v="20"/>
    <x v="1"/>
    <x v="12"/>
    <x v="1"/>
  </r>
  <r>
    <x v="2331"/>
    <x v="4"/>
    <x v="13"/>
    <n v="27.3"/>
    <x v="1728"/>
    <x v="85"/>
    <d v="2025-03-29T00:00:00"/>
    <x v="2"/>
    <x v="1"/>
    <x v="1"/>
    <x v="0"/>
    <x v="2"/>
    <x v="1"/>
    <x v="12"/>
    <x v="2"/>
  </r>
  <r>
    <x v="2332"/>
    <x v="8"/>
    <x v="21"/>
    <n v="37.6"/>
    <x v="1729"/>
    <x v="85"/>
    <d v="2025-03-29T00:00:00"/>
    <x v="1"/>
    <x v="1"/>
    <x v="0"/>
    <x v="0"/>
    <x v="3"/>
    <x v="1"/>
    <x v="12"/>
    <x v="1"/>
  </r>
  <r>
    <x v="2333"/>
    <x v="5"/>
    <x v="2"/>
    <n v="36.6"/>
    <x v="17"/>
    <x v="85"/>
    <d v="2025-03-29T00:00:00"/>
    <x v="2"/>
    <x v="4"/>
    <x v="0"/>
    <x v="0"/>
    <x v="3"/>
    <x v="1"/>
    <x v="12"/>
    <x v="2"/>
  </r>
  <r>
    <x v="2334"/>
    <x v="13"/>
    <x v="0"/>
    <n v="55.2"/>
    <x v="291"/>
    <x v="85"/>
    <d v="2025-03-29T00:00:00"/>
    <x v="1"/>
    <x v="3"/>
    <x v="0"/>
    <x v="0"/>
    <x v="3"/>
    <x v="1"/>
    <x v="12"/>
    <x v="1"/>
  </r>
  <r>
    <x v="2335"/>
    <x v="6"/>
    <x v="9"/>
    <n v="59.9"/>
    <x v="1444"/>
    <x v="85"/>
    <d v="2025-03-29T00:00:00"/>
    <x v="1"/>
    <x v="0"/>
    <x v="0"/>
    <x v="0"/>
    <x v="3"/>
    <x v="1"/>
    <x v="12"/>
    <x v="1"/>
  </r>
  <r>
    <x v="2336"/>
    <x v="6"/>
    <x v="0"/>
    <n v="44"/>
    <x v="945"/>
    <x v="85"/>
    <d v="2025-03-28T00:00:00"/>
    <x v="2"/>
    <x v="2"/>
    <x v="2"/>
    <x v="0"/>
    <x v="3"/>
    <x v="3"/>
    <x v="12"/>
    <x v="2"/>
  </r>
  <r>
    <x v="2337"/>
    <x v="9"/>
    <x v="1"/>
    <n v="68.7"/>
    <x v="1730"/>
    <x v="85"/>
    <d v="2025-03-27T00:00:00"/>
    <x v="1"/>
    <x v="0"/>
    <x v="0"/>
    <x v="0"/>
    <x v="3"/>
    <x v="7"/>
    <x v="12"/>
    <x v="1"/>
  </r>
  <r>
    <x v="2338"/>
    <x v="5"/>
    <x v="1"/>
    <n v="61.6"/>
    <x v="1432"/>
    <x v="85"/>
    <d v="2025-03-31T00:00:00"/>
    <x v="1"/>
    <x v="3"/>
    <x v="1"/>
    <x v="0"/>
    <x v="3"/>
    <x v="5"/>
    <x v="12"/>
    <x v="1"/>
  </r>
  <r>
    <x v="2339"/>
    <x v="7"/>
    <x v="3"/>
    <n v="51.8"/>
    <x v="1731"/>
    <x v="85"/>
    <d v="2025-03-28T00:00:00"/>
    <x v="1"/>
    <x v="0"/>
    <x v="0"/>
    <x v="0"/>
    <x v="3"/>
    <x v="3"/>
    <x v="12"/>
    <x v="1"/>
  </r>
  <r>
    <x v="2340"/>
    <x v="8"/>
    <x v="7"/>
    <n v="46.2"/>
    <x v="1236"/>
    <x v="85"/>
    <d v="2025-03-29T00:00:00"/>
    <x v="1"/>
    <x v="1"/>
    <x v="2"/>
    <x v="0"/>
    <x v="3"/>
    <x v="1"/>
    <x v="12"/>
    <x v="1"/>
  </r>
  <r>
    <x v="2341"/>
    <x v="0"/>
    <x v="1"/>
    <n v="19.399999999999999"/>
    <x v="1732"/>
    <x v="85"/>
    <d v="2025-03-29T00:00:00"/>
    <x v="2"/>
    <x v="1"/>
    <x v="2"/>
    <x v="0"/>
    <x v="6"/>
    <x v="1"/>
    <x v="12"/>
    <x v="2"/>
  </r>
  <r>
    <x v="2342"/>
    <x v="11"/>
    <x v="2"/>
    <n v="52.1"/>
    <x v="1733"/>
    <x v="85"/>
    <d v="2025-03-30T00:00:00"/>
    <x v="1"/>
    <x v="3"/>
    <x v="3"/>
    <x v="0"/>
    <x v="6"/>
    <x v="2"/>
    <x v="12"/>
    <x v="1"/>
  </r>
  <r>
    <x v="2343"/>
    <x v="6"/>
    <x v="0"/>
    <n v="74.900000000000006"/>
    <x v="1734"/>
    <x v="85"/>
    <d v="2025-03-29T00:00:00"/>
    <x v="3"/>
    <x v="0"/>
    <x v="0"/>
    <x v="0"/>
    <x v="7"/>
    <x v="1"/>
    <x v="12"/>
    <x v="0"/>
  </r>
  <r>
    <x v="2344"/>
    <x v="9"/>
    <x v="3"/>
    <n v="49.6"/>
    <x v="1735"/>
    <x v="85"/>
    <d v="2025-03-30T00:00:00"/>
    <x v="2"/>
    <x v="4"/>
    <x v="0"/>
    <x v="0"/>
    <x v="8"/>
    <x v="2"/>
    <x v="12"/>
    <x v="2"/>
  </r>
  <r>
    <x v="2345"/>
    <x v="16"/>
    <x v="12"/>
    <n v="82.8"/>
    <x v="1736"/>
    <x v="86"/>
    <d v="2025-03-31T00:00:00"/>
    <x v="2"/>
    <x v="4"/>
    <x v="0"/>
    <x v="0"/>
    <x v="8"/>
    <x v="2"/>
    <x v="12"/>
    <x v="2"/>
  </r>
  <r>
    <x v="2346"/>
    <x v="2"/>
    <x v="0"/>
    <n v="97.7"/>
    <x v="68"/>
    <x v="86"/>
    <d v="2025-03-29T00:00:00"/>
    <x v="2"/>
    <x v="1"/>
    <x v="0"/>
    <x v="0"/>
    <x v="8"/>
    <x v="3"/>
    <x v="12"/>
    <x v="2"/>
  </r>
  <r>
    <x v="2347"/>
    <x v="6"/>
    <x v="9"/>
    <n v="83.6"/>
    <x v="378"/>
    <x v="86"/>
    <d v="2025-03-29T00:00:00"/>
    <x v="2"/>
    <x v="4"/>
    <x v="0"/>
    <x v="0"/>
    <x v="8"/>
    <x v="3"/>
    <x v="12"/>
    <x v="2"/>
  </r>
  <r>
    <x v="2348"/>
    <x v="8"/>
    <x v="9"/>
    <n v="23.5"/>
    <x v="1737"/>
    <x v="86"/>
    <d v="2025-04-01T00:00:00"/>
    <x v="3"/>
    <x v="0"/>
    <x v="0"/>
    <x v="0"/>
    <x v="8"/>
    <x v="5"/>
    <x v="12"/>
    <x v="0"/>
  </r>
  <r>
    <x v="2349"/>
    <x v="9"/>
    <x v="2"/>
    <n v="44.6"/>
    <x v="981"/>
    <x v="86"/>
    <d v="2025-03-31T00:00:00"/>
    <x v="2"/>
    <x v="4"/>
    <x v="1"/>
    <x v="0"/>
    <x v="26"/>
    <x v="2"/>
    <x v="12"/>
    <x v="2"/>
  </r>
  <r>
    <x v="2350"/>
    <x v="0"/>
    <x v="2"/>
    <n v="20.100000000000001"/>
    <x v="1738"/>
    <x v="86"/>
    <d v="2025-03-30T00:00:00"/>
    <x v="2"/>
    <x v="3"/>
    <x v="4"/>
    <x v="0"/>
    <x v="11"/>
    <x v="1"/>
    <x v="12"/>
    <x v="2"/>
  </r>
  <r>
    <x v="2351"/>
    <x v="2"/>
    <x v="9"/>
    <n v="153.6"/>
    <x v="1739"/>
    <x v="86"/>
    <d v="2025-03-29T00:00:00"/>
    <x v="2"/>
    <x v="1"/>
    <x v="2"/>
    <x v="0"/>
    <x v="53"/>
    <x v="3"/>
    <x v="12"/>
    <x v="2"/>
  </r>
  <r>
    <x v="2352"/>
    <x v="1"/>
    <x v="1"/>
    <n v="71.8"/>
    <x v="897"/>
    <x v="86"/>
    <d v="2025-04-01T00:00:00"/>
    <x v="2"/>
    <x v="1"/>
    <x v="0"/>
    <x v="0"/>
    <x v="1"/>
    <x v="5"/>
    <x v="12"/>
    <x v="2"/>
  </r>
  <r>
    <x v="2353"/>
    <x v="10"/>
    <x v="0"/>
    <n v="64.7"/>
    <x v="1740"/>
    <x v="86"/>
    <d v="2025-03-30T00:00:00"/>
    <x v="0"/>
    <x v="0"/>
    <x v="1"/>
    <x v="0"/>
    <x v="1"/>
    <x v="1"/>
    <x v="12"/>
    <x v="0"/>
  </r>
  <r>
    <x v="2354"/>
    <x v="9"/>
    <x v="8"/>
    <n v="60.4"/>
    <x v="1741"/>
    <x v="86"/>
    <d v="2025-03-30T00:00:00"/>
    <x v="2"/>
    <x v="3"/>
    <x v="2"/>
    <x v="0"/>
    <x v="2"/>
    <x v="1"/>
    <x v="12"/>
    <x v="2"/>
  </r>
  <r>
    <x v="2355"/>
    <x v="6"/>
    <x v="12"/>
    <n v="86"/>
    <x v="1213"/>
    <x v="86"/>
    <d v="2025-03-31T00:00:00"/>
    <x v="2"/>
    <x v="2"/>
    <x v="2"/>
    <x v="0"/>
    <x v="22"/>
    <x v="2"/>
    <x v="12"/>
    <x v="2"/>
  </r>
  <r>
    <x v="2356"/>
    <x v="12"/>
    <x v="1"/>
    <n v="42.1"/>
    <x v="903"/>
    <x v="86"/>
    <d v="2025-03-29T00:00:00"/>
    <x v="2"/>
    <x v="4"/>
    <x v="1"/>
    <x v="0"/>
    <x v="34"/>
    <x v="3"/>
    <x v="12"/>
    <x v="2"/>
  </r>
  <r>
    <x v="2357"/>
    <x v="16"/>
    <x v="11"/>
    <n v="51.1"/>
    <x v="1742"/>
    <x v="86"/>
    <d v="2025-03-29T00:00:00"/>
    <x v="1"/>
    <x v="2"/>
    <x v="1"/>
    <x v="0"/>
    <x v="3"/>
    <x v="3"/>
    <x v="12"/>
    <x v="1"/>
  </r>
  <r>
    <x v="2358"/>
    <x v="9"/>
    <x v="12"/>
    <n v="73.8"/>
    <x v="1743"/>
    <x v="86"/>
    <d v="2025-03-29T00:00:00"/>
    <x v="1"/>
    <x v="4"/>
    <x v="0"/>
    <x v="0"/>
    <x v="3"/>
    <x v="3"/>
    <x v="12"/>
    <x v="1"/>
  </r>
  <r>
    <x v="2359"/>
    <x v="8"/>
    <x v="9"/>
    <n v="27"/>
    <x v="340"/>
    <x v="86"/>
    <d v="2025-03-31T00:00:00"/>
    <x v="2"/>
    <x v="2"/>
    <x v="2"/>
    <x v="0"/>
    <x v="3"/>
    <x v="2"/>
    <x v="12"/>
    <x v="2"/>
  </r>
  <r>
    <x v="2360"/>
    <x v="8"/>
    <x v="13"/>
    <n v="60.1"/>
    <x v="116"/>
    <x v="86"/>
    <d v="2025-03-29T00:00:00"/>
    <x v="1"/>
    <x v="3"/>
    <x v="0"/>
    <x v="0"/>
    <x v="3"/>
    <x v="3"/>
    <x v="12"/>
    <x v="1"/>
  </r>
  <r>
    <x v="2361"/>
    <x v="2"/>
    <x v="3"/>
    <n v="94.1"/>
    <x v="1744"/>
    <x v="86"/>
    <d v="2025-03-30T00:00:00"/>
    <x v="2"/>
    <x v="4"/>
    <x v="1"/>
    <x v="0"/>
    <x v="3"/>
    <x v="1"/>
    <x v="12"/>
    <x v="2"/>
  </r>
  <r>
    <x v="2362"/>
    <x v="2"/>
    <x v="1"/>
    <n v="124.1"/>
    <x v="1235"/>
    <x v="86"/>
    <d v="2025-03-28T00:00:00"/>
    <x v="2"/>
    <x v="2"/>
    <x v="3"/>
    <x v="0"/>
    <x v="43"/>
    <x v="7"/>
    <x v="12"/>
    <x v="2"/>
  </r>
  <r>
    <x v="2363"/>
    <x v="8"/>
    <x v="12"/>
    <n v="16.899999999999999"/>
    <x v="821"/>
    <x v="86"/>
    <d v="2025-03-31T00:00:00"/>
    <x v="1"/>
    <x v="3"/>
    <x v="0"/>
    <x v="0"/>
    <x v="6"/>
    <x v="2"/>
    <x v="12"/>
    <x v="1"/>
  </r>
  <r>
    <x v="2364"/>
    <x v="1"/>
    <x v="0"/>
    <n v="36.9"/>
    <x v="1745"/>
    <x v="86"/>
    <d v="2025-03-29T00:00:00"/>
    <x v="1"/>
    <x v="0"/>
    <x v="0"/>
    <x v="0"/>
    <x v="6"/>
    <x v="3"/>
    <x v="12"/>
    <x v="1"/>
  </r>
  <r>
    <x v="2365"/>
    <x v="9"/>
    <x v="1"/>
    <n v="22.6"/>
    <x v="705"/>
    <x v="86"/>
    <d v="2025-04-10T00:00:00"/>
    <x v="2"/>
    <x v="2"/>
    <x v="1"/>
    <x v="0"/>
    <x v="8"/>
    <x v="10"/>
    <x v="12"/>
    <x v="2"/>
  </r>
  <r>
    <x v="2366"/>
    <x v="7"/>
    <x v="12"/>
    <n v="35"/>
    <x v="1683"/>
    <x v="86"/>
    <d v="2025-04-02T00:00:00"/>
    <x v="1"/>
    <x v="3"/>
    <x v="1"/>
    <x v="0"/>
    <x v="8"/>
    <x v="0"/>
    <x v="12"/>
    <x v="1"/>
  </r>
  <r>
    <x v="2367"/>
    <x v="9"/>
    <x v="13"/>
    <n v="63.6"/>
    <x v="1746"/>
    <x v="86"/>
    <d v="2025-04-04T00:00:00"/>
    <x v="0"/>
    <x v="1"/>
    <x v="2"/>
    <x v="0"/>
    <x v="8"/>
    <x v="6"/>
    <x v="12"/>
    <x v="0"/>
  </r>
  <r>
    <x v="2368"/>
    <x v="15"/>
    <x v="12"/>
    <n v="78.599999999999994"/>
    <x v="1747"/>
    <x v="86"/>
    <d v="2025-03-29T00:00:00"/>
    <x v="1"/>
    <x v="4"/>
    <x v="1"/>
    <x v="0"/>
    <x v="8"/>
    <x v="3"/>
    <x v="12"/>
    <x v="1"/>
  </r>
  <r>
    <x v="2369"/>
    <x v="3"/>
    <x v="1"/>
    <n v="38.5"/>
    <x v="445"/>
    <x v="86"/>
    <d v="2025-03-29T00:00:00"/>
    <x v="1"/>
    <x v="0"/>
    <x v="2"/>
    <x v="0"/>
    <x v="8"/>
    <x v="3"/>
    <x v="12"/>
    <x v="1"/>
  </r>
  <r>
    <x v="2370"/>
    <x v="8"/>
    <x v="5"/>
    <n v="71.5"/>
    <x v="1748"/>
    <x v="86"/>
    <d v="2025-03-29T00:00:00"/>
    <x v="2"/>
    <x v="1"/>
    <x v="4"/>
    <x v="0"/>
    <x v="8"/>
    <x v="3"/>
    <x v="12"/>
    <x v="2"/>
  </r>
  <r>
    <x v="2371"/>
    <x v="6"/>
    <x v="12"/>
    <n v="121.4"/>
    <x v="1749"/>
    <x v="86"/>
    <d v="2025-04-01T00:00:00"/>
    <x v="1"/>
    <x v="1"/>
    <x v="2"/>
    <x v="0"/>
    <x v="17"/>
    <x v="5"/>
    <x v="12"/>
    <x v="1"/>
  </r>
  <r>
    <x v="2372"/>
    <x v="11"/>
    <x v="0"/>
    <n v="40.200000000000003"/>
    <x v="282"/>
    <x v="86"/>
    <d v="2025-03-31T00:00:00"/>
    <x v="2"/>
    <x v="0"/>
    <x v="2"/>
    <x v="0"/>
    <x v="11"/>
    <x v="2"/>
    <x v="12"/>
    <x v="2"/>
  </r>
  <r>
    <x v="2373"/>
    <x v="5"/>
    <x v="9"/>
    <n v="31.9"/>
    <x v="1750"/>
    <x v="86"/>
    <d v="2025-03-30T00:00:00"/>
    <x v="2"/>
    <x v="2"/>
    <x v="2"/>
    <x v="0"/>
    <x v="28"/>
    <x v="1"/>
    <x v="12"/>
    <x v="2"/>
  </r>
  <r>
    <x v="2374"/>
    <x v="14"/>
    <x v="9"/>
    <n v="15.8"/>
    <x v="1751"/>
    <x v="87"/>
    <d v="2025-03-30T00:00:00"/>
    <x v="1"/>
    <x v="3"/>
    <x v="2"/>
    <x v="0"/>
    <x v="21"/>
    <x v="3"/>
    <x v="12"/>
    <x v="1"/>
  </r>
  <r>
    <x v="2375"/>
    <x v="10"/>
    <x v="1"/>
    <n v="25.1"/>
    <x v="486"/>
    <x v="87"/>
    <d v="2025-03-31T00:00:00"/>
    <x v="0"/>
    <x v="1"/>
    <x v="0"/>
    <x v="0"/>
    <x v="21"/>
    <x v="1"/>
    <x v="12"/>
    <x v="0"/>
  </r>
  <r>
    <x v="2376"/>
    <x v="1"/>
    <x v="44"/>
    <n v="38.1"/>
    <x v="1752"/>
    <x v="87"/>
    <d v="2025-03-30T00:00:00"/>
    <x v="2"/>
    <x v="4"/>
    <x v="0"/>
    <x v="0"/>
    <x v="1"/>
    <x v="3"/>
    <x v="12"/>
    <x v="2"/>
  </r>
  <r>
    <x v="2377"/>
    <x v="3"/>
    <x v="1"/>
    <n v="42.2"/>
    <x v="533"/>
    <x v="87"/>
    <d v="2025-03-31T00:00:00"/>
    <x v="2"/>
    <x v="0"/>
    <x v="2"/>
    <x v="0"/>
    <x v="1"/>
    <x v="1"/>
    <x v="12"/>
    <x v="2"/>
  </r>
  <r>
    <x v="2378"/>
    <x v="0"/>
    <x v="7"/>
    <n v="12.3"/>
    <x v="1287"/>
    <x v="87"/>
    <d v="2025-03-30T00:00:00"/>
    <x v="2"/>
    <x v="4"/>
    <x v="0"/>
    <x v="0"/>
    <x v="2"/>
    <x v="3"/>
    <x v="12"/>
    <x v="2"/>
  </r>
  <r>
    <x v="2379"/>
    <x v="7"/>
    <x v="0"/>
    <n v="30.2"/>
    <x v="242"/>
    <x v="87"/>
    <d v="2025-03-31T00:00:00"/>
    <x v="2"/>
    <x v="1"/>
    <x v="2"/>
    <x v="0"/>
    <x v="34"/>
    <x v="1"/>
    <x v="12"/>
    <x v="2"/>
  </r>
  <r>
    <x v="2380"/>
    <x v="5"/>
    <x v="2"/>
    <n v="25.3"/>
    <x v="1554"/>
    <x v="87"/>
    <d v="2025-04-01T00:00:00"/>
    <x v="2"/>
    <x v="2"/>
    <x v="0"/>
    <x v="0"/>
    <x v="3"/>
    <x v="2"/>
    <x v="12"/>
    <x v="2"/>
  </r>
  <r>
    <x v="2381"/>
    <x v="8"/>
    <x v="9"/>
    <n v="29.7"/>
    <x v="1753"/>
    <x v="87"/>
    <d v="2025-03-31T00:00:00"/>
    <x v="1"/>
    <x v="3"/>
    <x v="0"/>
    <x v="0"/>
    <x v="3"/>
    <x v="1"/>
    <x v="12"/>
    <x v="1"/>
  </r>
  <r>
    <x v="2382"/>
    <x v="9"/>
    <x v="8"/>
    <n v="32.9"/>
    <x v="1754"/>
    <x v="87"/>
    <d v="2025-03-30T00:00:00"/>
    <x v="0"/>
    <x v="3"/>
    <x v="2"/>
    <x v="0"/>
    <x v="3"/>
    <x v="3"/>
    <x v="12"/>
    <x v="0"/>
  </r>
  <r>
    <x v="2383"/>
    <x v="10"/>
    <x v="1"/>
    <n v="43.6"/>
    <x v="640"/>
    <x v="87"/>
    <d v="2025-03-30T00:00:00"/>
    <x v="1"/>
    <x v="1"/>
    <x v="2"/>
    <x v="0"/>
    <x v="3"/>
    <x v="3"/>
    <x v="12"/>
    <x v="1"/>
  </r>
  <r>
    <x v="2384"/>
    <x v="15"/>
    <x v="12"/>
    <n v="78.400000000000006"/>
    <x v="1755"/>
    <x v="87"/>
    <d v="2025-03-30T00:00:00"/>
    <x v="1"/>
    <x v="2"/>
    <x v="0"/>
    <x v="0"/>
    <x v="3"/>
    <x v="3"/>
    <x v="12"/>
    <x v="1"/>
  </r>
  <r>
    <x v="2385"/>
    <x v="6"/>
    <x v="1"/>
    <n v="56.5"/>
    <x v="548"/>
    <x v="87"/>
    <d v="2025-04-02T00:00:00"/>
    <x v="1"/>
    <x v="1"/>
    <x v="1"/>
    <x v="0"/>
    <x v="3"/>
    <x v="5"/>
    <x v="12"/>
    <x v="1"/>
  </r>
  <r>
    <x v="2386"/>
    <x v="16"/>
    <x v="0"/>
    <n v="36.700000000000003"/>
    <x v="329"/>
    <x v="87"/>
    <d v="2025-03-30T00:00:00"/>
    <x v="2"/>
    <x v="0"/>
    <x v="2"/>
    <x v="0"/>
    <x v="3"/>
    <x v="3"/>
    <x v="12"/>
    <x v="2"/>
  </r>
  <r>
    <x v="2387"/>
    <x v="2"/>
    <x v="12"/>
    <n v="103.6"/>
    <x v="1756"/>
    <x v="87"/>
    <d v="2025-04-09T00:00:00"/>
    <x v="1"/>
    <x v="4"/>
    <x v="2"/>
    <x v="0"/>
    <x v="3"/>
    <x v="11"/>
    <x v="12"/>
    <x v="1"/>
  </r>
  <r>
    <x v="2388"/>
    <x v="8"/>
    <x v="13"/>
    <n v="16.2"/>
    <x v="1757"/>
    <x v="87"/>
    <d v="2025-04-02T00:00:00"/>
    <x v="1"/>
    <x v="1"/>
    <x v="2"/>
    <x v="0"/>
    <x v="6"/>
    <x v="5"/>
    <x v="12"/>
    <x v="1"/>
  </r>
  <r>
    <x v="2389"/>
    <x v="8"/>
    <x v="1"/>
    <n v="20.2"/>
    <x v="1400"/>
    <x v="87"/>
    <d v="2025-03-30T00:00:00"/>
    <x v="2"/>
    <x v="0"/>
    <x v="0"/>
    <x v="0"/>
    <x v="6"/>
    <x v="3"/>
    <x v="12"/>
    <x v="2"/>
  </r>
  <r>
    <x v="2390"/>
    <x v="11"/>
    <x v="1"/>
    <n v="26.9"/>
    <x v="1758"/>
    <x v="87"/>
    <d v="2025-03-31T00:00:00"/>
    <x v="2"/>
    <x v="2"/>
    <x v="0"/>
    <x v="0"/>
    <x v="6"/>
    <x v="1"/>
    <x v="12"/>
    <x v="2"/>
  </r>
  <r>
    <x v="2391"/>
    <x v="1"/>
    <x v="1"/>
    <n v="82.4"/>
    <x v="1759"/>
    <x v="87"/>
    <d v="2025-04-01T00:00:00"/>
    <x v="0"/>
    <x v="0"/>
    <x v="0"/>
    <x v="0"/>
    <x v="7"/>
    <x v="2"/>
    <x v="12"/>
    <x v="0"/>
  </r>
  <r>
    <x v="2392"/>
    <x v="2"/>
    <x v="1"/>
    <n v="117.8"/>
    <x v="1760"/>
    <x v="87"/>
    <d v="2025-03-31T00:00:00"/>
    <x v="1"/>
    <x v="1"/>
    <x v="2"/>
    <x v="0"/>
    <x v="8"/>
    <x v="1"/>
    <x v="12"/>
    <x v="1"/>
  </r>
  <r>
    <x v="2393"/>
    <x v="11"/>
    <x v="12"/>
    <n v="36.700000000000003"/>
    <x v="1761"/>
    <x v="87"/>
    <d v="2025-03-30T00:00:00"/>
    <x v="1"/>
    <x v="1"/>
    <x v="0"/>
    <x v="0"/>
    <x v="8"/>
    <x v="3"/>
    <x v="12"/>
    <x v="1"/>
  </r>
  <r>
    <x v="2394"/>
    <x v="17"/>
    <x v="2"/>
    <n v="46.8"/>
    <x v="1762"/>
    <x v="87"/>
    <d v="2025-03-30T00:00:00"/>
    <x v="1"/>
    <x v="4"/>
    <x v="2"/>
    <x v="0"/>
    <x v="10"/>
    <x v="3"/>
    <x v="12"/>
    <x v="1"/>
  </r>
  <r>
    <x v="2395"/>
    <x v="3"/>
    <x v="0"/>
    <n v="61.4"/>
    <x v="886"/>
    <x v="87"/>
    <d v="2025-03-30T00:00:00"/>
    <x v="1"/>
    <x v="1"/>
    <x v="0"/>
    <x v="0"/>
    <x v="10"/>
    <x v="3"/>
    <x v="12"/>
    <x v="1"/>
  </r>
  <r>
    <x v="2396"/>
    <x v="15"/>
    <x v="1"/>
    <n v="22.9"/>
    <x v="494"/>
    <x v="87"/>
    <d v="2025-03-30T00:00:00"/>
    <x v="1"/>
    <x v="0"/>
    <x v="0"/>
    <x v="0"/>
    <x v="11"/>
    <x v="3"/>
    <x v="12"/>
    <x v="1"/>
  </r>
  <r>
    <x v="2397"/>
    <x v="10"/>
    <x v="1"/>
    <n v="22.1"/>
    <x v="573"/>
    <x v="87"/>
    <d v="2025-03-30T00:00:00"/>
    <x v="2"/>
    <x v="4"/>
    <x v="0"/>
    <x v="0"/>
    <x v="11"/>
    <x v="3"/>
    <x v="12"/>
    <x v="2"/>
  </r>
  <r>
    <x v="2398"/>
    <x v="12"/>
    <x v="1"/>
    <n v="31"/>
    <x v="85"/>
    <x v="87"/>
    <d v="2025-03-31T00:00:00"/>
    <x v="2"/>
    <x v="2"/>
    <x v="0"/>
    <x v="0"/>
    <x v="18"/>
    <x v="1"/>
    <x v="12"/>
    <x v="2"/>
  </r>
  <r>
    <x v="2399"/>
    <x v="18"/>
    <x v="1"/>
    <n v="84.2"/>
    <x v="1763"/>
    <x v="87"/>
    <d v="2025-03-31T00:00:00"/>
    <x v="1"/>
    <x v="2"/>
    <x v="2"/>
    <x v="0"/>
    <x v="13"/>
    <x v="1"/>
    <x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x v="0"/>
    <x v="0"/>
    <n v="1"/>
    <n v="10.9"/>
    <n v="10.9"/>
    <d v="2025-01-01T00:00:00"/>
    <d v="2025-01-06T00:00:00"/>
    <x v="0"/>
    <s v="App"/>
    <n v="4"/>
    <s v="California"/>
    <s v="Alpine County"/>
    <n v="5"/>
    <n v="1"/>
    <x v="0"/>
  </r>
  <r>
    <x v="1"/>
    <x v="1"/>
    <n v="2"/>
    <n v="30.6"/>
    <n v="61.2"/>
    <d v="2025-01-01T00:00:00"/>
    <d v="2025-01-03T00:00:00"/>
    <x v="1"/>
    <s v="App"/>
    <n v="4"/>
    <s v="California"/>
    <s v="Contra Costa County"/>
    <n v="2"/>
    <n v="1"/>
    <x v="1"/>
  </r>
  <r>
    <x v="2"/>
    <x v="2"/>
    <n v="3"/>
    <n v="109.4"/>
    <n v="328.20000000000005"/>
    <d v="2025-01-01T00:00:00"/>
    <d v="2025-01-04T00:00:00"/>
    <x v="2"/>
    <s v="App"/>
    <n v="3"/>
    <s v="California"/>
    <s v="Fresno County"/>
    <n v="3"/>
    <n v="1"/>
    <x v="2"/>
  </r>
  <r>
    <x v="3"/>
    <x v="3"/>
    <n v="7"/>
    <n v="37.700000000000003"/>
    <n v="263.90000000000003"/>
    <d v="2025-01-01T00:00:00"/>
    <d v="2025-01-02T00:00:00"/>
    <x v="2"/>
    <s v="App"/>
    <n v="4"/>
    <s v="California"/>
    <s v="Fresno County"/>
    <n v="1"/>
    <n v="1"/>
    <x v="2"/>
  </r>
  <r>
    <x v="4"/>
    <x v="4"/>
    <n v="3"/>
    <n v="56.7"/>
    <n v="170.10000000000002"/>
    <d v="2025-01-01T00:00:00"/>
    <d v="2025-01-04T00:00:00"/>
    <x v="2"/>
    <s v="App"/>
    <n v="5"/>
    <s v="California"/>
    <s v="Los Angeles County"/>
    <n v="3"/>
    <n v="1"/>
    <x v="2"/>
  </r>
  <r>
    <x v="5"/>
    <x v="1"/>
    <n v="12"/>
    <n v="83.5"/>
    <n v="1002"/>
    <d v="2025-01-01T00:00:00"/>
    <d v="2025-01-04T00:00:00"/>
    <x v="1"/>
    <s v="Website"/>
    <n v="4"/>
    <s v="California"/>
    <s v="Los Angeles County"/>
    <n v="3"/>
    <n v="1"/>
    <x v="1"/>
  </r>
  <r>
    <x v="6"/>
    <x v="5"/>
    <n v="1"/>
    <n v="55.3"/>
    <n v="55.3"/>
    <d v="2025-01-01T00:00:00"/>
    <d v="2025-01-02T00:00:00"/>
    <x v="2"/>
    <s v="App"/>
    <n v="4"/>
    <s v="California"/>
    <s v="Los Angeles County"/>
    <n v="1"/>
    <n v="1"/>
    <x v="2"/>
  </r>
  <r>
    <x v="7"/>
    <x v="6"/>
    <n v="2"/>
    <n v="40.299999999999997"/>
    <n v="80.599999999999994"/>
    <d v="2025-01-01T00:00:00"/>
    <d v="2025-01-02T00:00:00"/>
    <x v="1"/>
    <s v="Target.com"/>
    <n v="5"/>
    <s v="California"/>
    <s v="Los Angeles County"/>
    <n v="1"/>
    <n v="1"/>
    <x v="1"/>
  </r>
  <r>
    <x v="8"/>
    <x v="7"/>
    <n v="11"/>
    <n v="35.700000000000003"/>
    <n v="392.70000000000005"/>
    <d v="2025-01-01T00:00:00"/>
    <d v="2025-01-02T00:00:00"/>
    <x v="2"/>
    <s v="App"/>
    <n v="4"/>
    <s v="California"/>
    <s v="Los Angeles County"/>
    <n v="1"/>
    <n v="1"/>
    <x v="2"/>
  </r>
  <r>
    <x v="9"/>
    <x v="8"/>
    <n v="7"/>
    <n v="22.4"/>
    <n v="156.79999999999998"/>
    <d v="2025-01-01T00:00:00"/>
    <d v="2025-01-04T00:00:00"/>
    <x v="1"/>
    <s v="App"/>
    <n v="3"/>
    <s v="California"/>
    <s v="Los Angeles County"/>
    <n v="3"/>
    <n v="1"/>
    <x v="1"/>
  </r>
  <r>
    <x v="10"/>
    <x v="9"/>
    <n v="2"/>
    <n v="54.4"/>
    <n v="108.8"/>
    <d v="2025-01-01T00:00:00"/>
    <d v="2025-01-07T00:00:00"/>
    <x v="2"/>
    <s v="App"/>
    <n v="4"/>
    <s v="California"/>
    <s v="Los Angeles County"/>
    <n v="6"/>
    <n v="1"/>
    <x v="2"/>
  </r>
  <r>
    <x v="11"/>
    <x v="9"/>
    <n v="2"/>
    <n v="49"/>
    <n v="98"/>
    <d v="2025-01-01T00:00:00"/>
    <d v="2025-01-03T00:00:00"/>
    <x v="2"/>
    <s v="Target.com"/>
    <n v="3"/>
    <s v="California"/>
    <s v="Los Angeles County"/>
    <n v="2"/>
    <n v="1"/>
    <x v="2"/>
  </r>
  <r>
    <x v="12"/>
    <x v="5"/>
    <n v="7"/>
    <n v="118.6"/>
    <n v="830.19999999999993"/>
    <d v="2025-01-01T00:00:00"/>
    <d v="2025-01-05T00:00:00"/>
    <x v="2"/>
    <s v="Website"/>
    <n v="4"/>
    <s v="California"/>
    <s v="Nevada County"/>
    <n v="4"/>
    <n v="1"/>
    <x v="2"/>
  </r>
  <r>
    <x v="13"/>
    <x v="6"/>
    <n v="27"/>
    <n v="88.4"/>
    <n v="2386.8000000000002"/>
    <d v="2025-01-01T00:00:00"/>
    <d v="2025-01-08T00:00:00"/>
    <x v="1"/>
    <s v="Instagram"/>
    <n v="4"/>
    <s v="California"/>
    <s v="Placer County"/>
    <n v="7"/>
    <n v="1"/>
    <x v="1"/>
  </r>
  <r>
    <x v="14"/>
    <x v="10"/>
    <n v="1"/>
    <n v="66.7"/>
    <n v="66.7"/>
    <d v="2025-01-01T00:00:00"/>
    <d v="2025-01-04T00:00:00"/>
    <x v="1"/>
    <s v="App"/>
    <n v="4"/>
    <s v="California"/>
    <s v="Sacramento County"/>
    <n v="3"/>
    <n v="1"/>
    <x v="1"/>
  </r>
  <r>
    <x v="15"/>
    <x v="9"/>
    <n v="10"/>
    <n v="30.9"/>
    <n v="309"/>
    <d v="2025-01-01T00:00:00"/>
    <d v="2025-01-02T00:00:00"/>
    <x v="1"/>
    <s v="Website"/>
    <n v="5"/>
    <s v="California"/>
    <s v="Sacramento County"/>
    <n v="1"/>
    <n v="1"/>
    <x v="1"/>
  </r>
  <r>
    <x v="16"/>
    <x v="4"/>
    <n v="3"/>
    <n v="31.1"/>
    <n v="93.300000000000011"/>
    <d v="2025-01-01T00:00:00"/>
    <d v="2025-01-02T00:00:00"/>
    <x v="2"/>
    <s v="App"/>
    <n v="3"/>
    <s v="California"/>
    <s v="Sacramento County"/>
    <n v="1"/>
    <n v="1"/>
    <x v="2"/>
  </r>
  <r>
    <x v="17"/>
    <x v="7"/>
    <n v="3"/>
    <n v="36.6"/>
    <n v="109.80000000000001"/>
    <d v="2025-01-01T00:00:00"/>
    <d v="2025-01-04T00:00:00"/>
    <x v="2"/>
    <s v="App"/>
    <n v="4"/>
    <s v="California"/>
    <s v="San Bernardino County"/>
    <n v="3"/>
    <n v="1"/>
    <x v="2"/>
  </r>
  <r>
    <x v="18"/>
    <x v="6"/>
    <n v="8"/>
    <n v="51.1"/>
    <n v="408.8"/>
    <d v="2025-01-01T00:00:00"/>
    <d v="2025-01-04T00:00:00"/>
    <x v="2"/>
    <s v="Target.com"/>
    <n v="1"/>
    <s v="California"/>
    <s v="San Bernardino County"/>
    <n v="3"/>
    <n v="1"/>
    <x v="2"/>
  </r>
  <r>
    <x v="19"/>
    <x v="9"/>
    <n v="1"/>
    <n v="25.2"/>
    <n v="25.2"/>
    <d v="2025-01-01T00:00:00"/>
    <d v="2025-01-02T00:00:00"/>
    <x v="2"/>
    <s v="Website"/>
    <n v="5"/>
    <s v="California"/>
    <s v="San Diego County"/>
    <n v="1"/>
    <n v="1"/>
    <x v="2"/>
  </r>
  <r>
    <x v="20"/>
    <x v="9"/>
    <n v="5"/>
    <n v="43.8"/>
    <n v="219"/>
    <d v="2025-01-01T00:00:00"/>
    <d v="2025-01-04T00:00:00"/>
    <x v="2"/>
    <s v="Target.com"/>
    <n v="4"/>
    <s v="California"/>
    <s v="San Diego County"/>
    <n v="3"/>
    <n v="1"/>
    <x v="2"/>
  </r>
  <r>
    <x v="21"/>
    <x v="8"/>
    <n v="12"/>
    <n v="46.7"/>
    <n v="560.40000000000009"/>
    <d v="2025-01-01T00:00:00"/>
    <d v="2025-01-02T00:00:00"/>
    <x v="2"/>
    <s v="Website"/>
    <n v="3"/>
    <s v="California"/>
    <s v="San Diego County"/>
    <n v="1"/>
    <n v="1"/>
    <x v="2"/>
  </r>
  <r>
    <x v="22"/>
    <x v="3"/>
    <n v="19"/>
    <n v="79.900000000000006"/>
    <n v="1518.1000000000001"/>
    <d v="2025-01-01T00:00:00"/>
    <d v="2025-01-02T00:00:00"/>
    <x v="1"/>
    <s v="App"/>
    <n v="5"/>
    <s v="California"/>
    <s v="San Diego County"/>
    <n v="1"/>
    <n v="1"/>
    <x v="1"/>
  </r>
  <r>
    <x v="23"/>
    <x v="11"/>
    <n v="8"/>
    <n v="26.4"/>
    <n v="211.2"/>
    <d v="2025-01-01T00:00:00"/>
    <d v="2025-01-02T00:00:00"/>
    <x v="2"/>
    <s v="Instagram"/>
    <n v="4"/>
    <s v="California"/>
    <s v="San Diego County"/>
    <n v="1"/>
    <n v="1"/>
    <x v="2"/>
  </r>
  <r>
    <x v="24"/>
    <x v="12"/>
    <n v="8"/>
    <n v="88.8"/>
    <n v="710.4"/>
    <d v="2025-01-01T00:00:00"/>
    <d v="2025-01-02T00:00:00"/>
    <x v="2"/>
    <s v="Partner App"/>
    <n v="4"/>
    <s v="California"/>
    <s v="San Diego County"/>
    <n v="1"/>
    <n v="1"/>
    <x v="2"/>
  </r>
  <r>
    <x v="25"/>
    <x v="0"/>
    <n v="10"/>
    <n v="17.5"/>
    <n v="175"/>
    <d v="2025-01-01T00:00:00"/>
    <d v="2025-01-02T00:00:00"/>
    <x v="2"/>
    <s v="Target.com"/>
    <n v="4"/>
    <s v="California"/>
    <s v="San Mateo County"/>
    <n v="1"/>
    <n v="1"/>
    <x v="2"/>
  </r>
  <r>
    <x v="26"/>
    <x v="1"/>
    <n v="9"/>
    <n v="38.700000000000003"/>
    <n v="348.3"/>
    <d v="2025-01-01T00:00:00"/>
    <d v="2025-01-04T00:00:00"/>
    <x v="1"/>
    <s v="Website"/>
    <n v="4"/>
    <s v="California"/>
    <s v="Santa Barbara County"/>
    <n v="3"/>
    <n v="1"/>
    <x v="1"/>
  </r>
  <r>
    <x v="27"/>
    <x v="13"/>
    <n v="4"/>
    <n v="57.2"/>
    <n v="228.8"/>
    <d v="2025-01-01T00:00:00"/>
    <d v="2025-01-03T00:00:00"/>
    <x v="0"/>
    <s v="Website"/>
    <n v="5"/>
    <s v="California"/>
    <s v="Santa Clara County"/>
    <n v="2"/>
    <n v="1"/>
    <x v="0"/>
  </r>
  <r>
    <x v="28"/>
    <x v="6"/>
    <n v="5"/>
    <n v="50.9"/>
    <n v="254.5"/>
    <d v="2025-01-01T00:00:00"/>
    <d v="2025-01-07T00:00:00"/>
    <x v="0"/>
    <s v="Website"/>
    <n v="5"/>
    <s v="California"/>
    <s v="Tehama County"/>
    <n v="6"/>
    <n v="1"/>
    <x v="0"/>
  </r>
  <r>
    <x v="29"/>
    <x v="14"/>
    <n v="7"/>
    <n v="41"/>
    <n v="287"/>
    <d v="2025-01-01T00:00:00"/>
    <d v="2025-01-05T00:00:00"/>
    <x v="2"/>
    <s v="Website"/>
    <n v="4"/>
    <s v="California"/>
    <s v="Ventura County"/>
    <n v="4"/>
    <n v="1"/>
    <x v="2"/>
  </r>
  <r>
    <x v="30"/>
    <x v="8"/>
    <n v="7"/>
    <n v="19.100000000000001"/>
    <n v="133.70000000000002"/>
    <d v="2025-01-01T00:00:00"/>
    <d v="2025-01-05T00:00:00"/>
    <x v="1"/>
    <s v="App"/>
    <n v="5"/>
    <s v="California"/>
    <s v="Calaveras County"/>
    <n v="4"/>
    <n v="1"/>
    <x v="1"/>
  </r>
  <r>
    <x v="31"/>
    <x v="2"/>
    <n v="5"/>
    <n v="166.1"/>
    <n v="830.5"/>
    <d v="2025-01-01T00:00:00"/>
    <d v="2025-01-04T00:00:00"/>
    <x v="1"/>
    <s v="App"/>
    <n v="4"/>
    <s v="California"/>
    <s v="Inyo County"/>
    <n v="3"/>
    <n v="1"/>
    <x v="1"/>
  </r>
  <r>
    <x v="32"/>
    <x v="4"/>
    <n v="3"/>
    <n v="29.9"/>
    <n v="89.699999999999989"/>
    <d v="2025-01-01T00:00:00"/>
    <d v="2025-01-02T00:00:00"/>
    <x v="1"/>
    <s v="Instagram"/>
    <n v="4"/>
    <s v="California"/>
    <s v="Los Angeles County"/>
    <n v="1"/>
    <n v="1"/>
    <x v="1"/>
  </r>
  <r>
    <x v="33"/>
    <x v="10"/>
    <n v="6"/>
    <n v="21.7"/>
    <n v="130.19999999999999"/>
    <d v="2025-01-01T00:00:00"/>
    <d v="2025-01-03T00:00:00"/>
    <x v="3"/>
    <s v="Target.com"/>
    <n v="5"/>
    <s v="California"/>
    <s v="Los Angeles County"/>
    <n v="2"/>
    <n v="1"/>
    <x v="3"/>
  </r>
  <r>
    <x v="34"/>
    <x v="11"/>
    <n v="2"/>
    <n v="32"/>
    <n v="64"/>
    <d v="2025-01-01T00:00:00"/>
    <d v="2025-01-04T00:00:00"/>
    <x v="1"/>
    <s v="App"/>
    <n v="5"/>
    <s v="California"/>
    <s v="Los Angeles County"/>
    <n v="3"/>
    <n v="1"/>
    <x v="1"/>
  </r>
  <r>
    <x v="35"/>
    <x v="8"/>
    <n v="2"/>
    <n v="15.8"/>
    <n v="31.6"/>
    <d v="2025-01-01T00:00:00"/>
    <d v="2025-01-02T00:00:00"/>
    <x v="1"/>
    <s v="Partner App"/>
    <n v="5"/>
    <s v="California"/>
    <s v="Los Angeles County"/>
    <n v="1"/>
    <n v="1"/>
    <x v="1"/>
  </r>
  <r>
    <x v="36"/>
    <x v="2"/>
    <n v="17"/>
    <n v="203.1"/>
    <n v="3452.7"/>
    <d v="2025-01-01T00:00:00"/>
    <d v="2025-01-05T00:00:00"/>
    <x v="1"/>
    <s v="Instagram"/>
    <n v="3"/>
    <s v="California"/>
    <s v="Los Angeles County"/>
    <n v="4"/>
    <n v="1"/>
    <x v="1"/>
  </r>
  <r>
    <x v="37"/>
    <x v="7"/>
    <n v="13"/>
    <n v="39"/>
    <n v="507"/>
    <d v="2025-01-01T00:00:00"/>
    <d v="2025-01-07T00:00:00"/>
    <x v="1"/>
    <s v="App"/>
    <n v="5"/>
    <s v="California"/>
    <s v="Los Angeles County"/>
    <n v="6"/>
    <n v="1"/>
    <x v="1"/>
  </r>
  <r>
    <x v="38"/>
    <x v="10"/>
    <n v="1"/>
    <n v="26.5"/>
    <n v="26.5"/>
    <d v="2025-01-02T00:00:00"/>
    <d v="2025-01-03T00:00:00"/>
    <x v="1"/>
    <s v="Target.com"/>
    <n v="4"/>
    <s v="California"/>
    <s v="Los Angeles County"/>
    <n v="1"/>
    <n v="1"/>
    <x v="1"/>
  </r>
  <r>
    <x v="39"/>
    <x v="5"/>
    <n v="1"/>
    <n v="43.1"/>
    <n v="43.1"/>
    <d v="2025-01-02T00:00:00"/>
    <d v="2025-01-03T00:00:00"/>
    <x v="2"/>
    <s v="Target.com"/>
    <n v="3"/>
    <s v="California"/>
    <s v="Los Angeles County"/>
    <n v="1"/>
    <n v="1"/>
    <x v="2"/>
  </r>
  <r>
    <x v="40"/>
    <x v="1"/>
    <n v="3"/>
    <n v="139"/>
    <n v="417"/>
    <d v="2025-01-02T00:00:00"/>
    <d v="2025-01-03T00:00:00"/>
    <x v="2"/>
    <s v="Partner App"/>
    <n v="5"/>
    <s v="California"/>
    <s v="Los Angeles County"/>
    <n v="1"/>
    <n v="1"/>
    <x v="2"/>
  </r>
  <r>
    <x v="41"/>
    <x v="12"/>
    <n v="1"/>
    <n v="80.7"/>
    <n v="80.7"/>
    <d v="2025-01-02T00:00:00"/>
    <d v="2025-01-03T00:00:00"/>
    <x v="1"/>
    <s v="App"/>
    <n v="5"/>
    <s v="California"/>
    <s v="Napa County"/>
    <n v="1"/>
    <n v="1"/>
    <x v="1"/>
  </r>
  <r>
    <x v="42"/>
    <x v="4"/>
    <n v="2"/>
    <n v="54.5"/>
    <n v="109"/>
    <d v="2025-01-02T00:00:00"/>
    <d v="2025-01-04T00:00:00"/>
    <x v="1"/>
    <s v="Website"/>
    <n v="3"/>
    <s v="California"/>
    <s v="Sacramento County"/>
    <n v="2"/>
    <n v="1"/>
    <x v="1"/>
  </r>
  <r>
    <x v="43"/>
    <x v="6"/>
    <n v="3"/>
    <n v="68.599999999999994"/>
    <n v="205.79999999999998"/>
    <d v="2025-01-02T00:00:00"/>
    <d v="2025-01-02T00:00:00"/>
    <x v="2"/>
    <s v="App"/>
    <n v="3"/>
    <s v="California"/>
    <s v="San Diego County"/>
    <n v="0"/>
    <n v="1"/>
    <x v="2"/>
  </r>
  <r>
    <x v="44"/>
    <x v="2"/>
    <n v="4"/>
    <n v="135.9"/>
    <n v="543.6"/>
    <d v="2025-01-02T00:00:00"/>
    <d v="2025-01-03T00:00:00"/>
    <x v="2"/>
    <s v="Target.com"/>
    <n v="5"/>
    <s v="California"/>
    <s v="San Diego County"/>
    <n v="1"/>
    <n v="1"/>
    <x v="2"/>
  </r>
  <r>
    <x v="45"/>
    <x v="2"/>
    <n v="4"/>
    <n v="70.900000000000006"/>
    <n v="283.60000000000002"/>
    <d v="2025-01-02T00:00:00"/>
    <d v="2025-01-03T00:00:00"/>
    <x v="2"/>
    <s v="App"/>
    <n v="4"/>
    <s v="California"/>
    <s v="San Francisco"/>
    <n v="1"/>
    <n v="1"/>
    <x v="2"/>
  </r>
  <r>
    <x v="46"/>
    <x v="1"/>
    <n v="5"/>
    <n v="63.7"/>
    <n v="318.5"/>
    <d v="2025-01-02T00:00:00"/>
    <d v="2025-01-03T00:00:00"/>
    <x v="1"/>
    <s v="Website"/>
    <n v="3"/>
    <s v="California"/>
    <s v="San Mateo County"/>
    <n v="1"/>
    <n v="1"/>
    <x v="1"/>
  </r>
  <r>
    <x v="47"/>
    <x v="13"/>
    <n v="1"/>
    <n v="29.7"/>
    <n v="29.7"/>
    <d v="2025-01-02T00:00:00"/>
    <d v="2025-01-04T00:00:00"/>
    <x v="2"/>
    <s v="Website"/>
    <n v="4"/>
    <s v="California"/>
    <s v="Santa Clara County"/>
    <n v="2"/>
    <n v="1"/>
    <x v="2"/>
  </r>
  <r>
    <x v="48"/>
    <x v="4"/>
    <n v="3"/>
    <n v="26.8"/>
    <n v="80.400000000000006"/>
    <d v="2025-01-02T00:00:00"/>
    <d v="2025-01-11T00:00:00"/>
    <x v="2"/>
    <s v="Website"/>
    <n v="5"/>
    <s v="California"/>
    <s v="Santa Clara County"/>
    <n v="9"/>
    <n v="1"/>
    <x v="2"/>
  </r>
  <r>
    <x v="49"/>
    <x v="14"/>
    <n v="1"/>
    <n v="27"/>
    <n v="27"/>
    <d v="2025-01-02T00:00:00"/>
    <d v="2025-01-04T00:00:00"/>
    <x v="2"/>
    <s v="App"/>
    <n v="4"/>
    <s v="California"/>
    <s v="Sonoma County"/>
    <n v="2"/>
    <n v="1"/>
    <x v="2"/>
  </r>
  <r>
    <x v="50"/>
    <x v="8"/>
    <n v="1"/>
    <n v="41.4"/>
    <n v="41.4"/>
    <d v="2025-01-02T00:00:00"/>
    <d v="2025-01-03T00:00:00"/>
    <x v="1"/>
    <s v="Website"/>
    <n v="5"/>
    <s v="California"/>
    <s v="Stanislaus County"/>
    <n v="1"/>
    <n v="1"/>
    <x v="1"/>
  </r>
  <r>
    <x v="51"/>
    <x v="8"/>
    <n v="2"/>
    <n v="24.3"/>
    <n v="48.6"/>
    <d v="2025-01-02T00:00:00"/>
    <d v="2025-01-05T00:00:00"/>
    <x v="2"/>
    <s v="Website"/>
    <n v="4"/>
    <s v="California"/>
    <s v="Stanislaus County"/>
    <n v="3"/>
    <n v="1"/>
    <x v="2"/>
  </r>
  <r>
    <x v="52"/>
    <x v="8"/>
    <n v="3"/>
    <n v="41.7"/>
    <n v="125.10000000000001"/>
    <d v="2025-01-02T00:00:00"/>
    <d v="2025-01-04T00:00:00"/>
    <x v="1"/>
    <s v="App"/>
    <n v="5"/>
    <s v="California"/>
    <s v="Tulare County"/>
    <n v="2"/>
    <n v="1"/>
    <x v="1"/>
  </r>
  <r>
    <x v="53"/>
    <x v="0"/>
    <n v="2"/>
    <n v="18"/>
    <n v="36"/>
    <d v="2025-01-02T00:00:00"/>
    <d v="2025-01-03T00:00:00"/>
    <x v="2"/>
    <s v="App"/>
    <n v="5"/>
    <s v="California"/>
    <s v="Alameda County"/>
    <n v="1"/>
    <n v="1"/>
    <x v="2"/>
  </r>
  <r>
    <x v="54"/>
    <x v="7"/>
    <n v="3"/>
    <n v="91.3"/>
    <n v="273.89999999999998"/>
    <d v="2025-01-02T00:00:00"/>
    <d v="2025-01-05T00:00:00"/>
    <x v="1"/>
    <s v="Target.com"/>
    <n v="5"/>
    <s v="California"/>
    <s v="Los Angeles County"/>
    <n v="3"/>
    <n v="1"/>
    <x v="1"/>
  </r>
  <r>
    <x v="55"/>
    <x v="8"/>
    <n v="8"/>
    <n v="19.3"/>
    <n v="154.4"/>
    <d v="2025-01-02T00:00:00"/>
    <d v="2025-01-03T00:00:00"/>
    <x v="1"/>
    <s v="App"/>
    <n v="4"/>
    <s v="California"/>
    <s v="Los Angeles County"/>
    <n v="1"/>
    <n v="1"/>
    <x v="1"/>
  </r>
  <r>
    <x v="56"/>
    <x v="12"/>
    <n v="13"/>
    <n v="63.2"/>
    <n v="821.6"/>
    <d v="2025-01-02T00:00:00"/>
    <d v="2025-01-03T00:00:00"/>
    <x v="2"/>
    <s v="App"/>
    <n v="4"/>
    <s v="California"/>
    <s v="Los Angeles County"/>
    <n v="1"/>
    <n v="1"/>
    <x v="2"/>
  </r>
  <r>
    <x v="57"/>
    <x v="10"/>
    <n v="9"/>
    <n v="33.299999999999997"/>
    <n v="299.7"/>
    <d v="2025-01-03T00:00:00"/>
    <d v="2025-01-11T00:00:00"/>
    <x v="2"/>
    <s v="App"/>
    <n v="5"/>
    <s v="California"/>
    <s v="Los Angeles County"/>
    <n v="8"/>
    <n v="1"/>
    <x v="2"/>
  </r>
  <r>
    <x v="58"/>
    <x v="7"/>
    <n v="2"/>
    <n v="64.2"/>
    <n v="128.4"/>
    <d v="2025-01-03T00:00:00"/>
    <d v="2025-01-04T00:00:00"/>
    <x v="1"/>
    <s v="App"/>
    <n v="5"/>
    <s v="California"/>
    <s v="Los Angeles County"/>
    <n v="1"/>
    <n v="1"/>
    <x v="1"/>
  </r>
  <r>
    <x v="59"/>
    <x v="9"/>
    <n v="3"/>
    <n v="23.1"/>
    <n v="69.300000000000011"/>
    <d v="2025-01-03T00:00:00"/>
    <d v="2025-01-06T00:00:00"/>
    <x v="2"/>
    <s v="Website"/>
    <n v="5"/>
    <s v="California"/>
    <s v="Los Angeles County"/>
    <n v="3"/>
    <n v="1"/>
    <x v="2"/>
  </r>
  <r>
    <x v="60"/>
    <x v="15"/>
    <n v="2"/>
    <n v="71.099999999999994"/>
    <n v="142.19999999999999"/>
    <d v="2025-01-03T00:00:00"/>
    <d v="2025-01-05T00:00:00"/>
    <x v="2"/>
    <s v="Instagram"/>
    <n v="3"/>
    <s v="California"/>
    <s v="Los Angeles County"/>
    <n v="2"/>
    <n v="1"/>
    <x v="2"/>
  </r>
  <r>
    <x v="61"/>
    <x v="0"/>
    <n v="2"/>
    <n v="11.5"/>
    <n v="23"/>
    <d v="2025-01-03T00:00:00"/>
    <d v="2025-01-04T00:00:00"/>
    <x v="2"/>
    <s v="App"/>
    <n v="4"/>
    <s v="California"/>
    <s v="Los Angeles County"/>
    <n v="1"/>
    <n v="1"/>
    <x v="2"/>
  </r>
  <r>
    <x v="62"/>
    <x v="15"/>
    <n v="19"/>
    <n v="69.2"/>
    <n v="1314.8"/>
    <d v="2025-01-03T00:00:00"/>
    <d v="2025-01-08T00:00:00"/>
    <x v="2"/>
    <s v="App"/>
    <n v="4"/>
    <s v="California"/>
    <s v="Los Angeles County"/>
    <n v="5"/>
    <n v="1"/>
    <x v="2"/>
  </r>
  <r>
    <x v="63"/>
    <x v="0"/>
    <n v="1"/>
    <n v="26.8"/>
    <n v="26.8"/>
    <d v="2025-01-03T00:00:00"/>
    <d v="2025-01-04T00:00:00"/>
    <x v="1"/>
    <s v="Target.com"/>
    <n v="2"/>
    <s v="California"/>
    <s v="Los Angeles County"/>
    <n v="1"/>
    <n v="1"/>
    <x v="1"/>
  </r>
  <r>
    <x v="64"/>
    <x v="16"/>
    <n v="3"/>
    <n v="31.2"/>
    <n v="93.6"/>
    <d v="2025-01-03T00:00:00"/>
    <d v="2025-01-06T00:00:00"/>
    <x v="2"/>
    <s v="App"/>
    <n v="4"/>
    <s v="California"/>
    <s v="Los Angeles County"/>
    <n v="3"/>
    <n v="1"/>
    <x v="2"/>
  </r>
  <r>
    <x v="65"/>
    <x v="12"/>
    <n v="2"/>
    <n v="113.2"/>
    <n v="226.4"/>
    <d v="2025-01-03T00:00:00"/>
    <d v="2025-01-04T00:00:00"/>
    <x v="2"/>
    <s v="Partner App"/>
    <n v="4"/>
    <s v="California"/>
    <s v="Los Angeles County"/>
    <n v="1"/>
    <n v="1"/>
    <x v="2"/>
  </r>
  <r>
    <x v="66"/>
    <x v="10"/>
    <n v="8"/>
    <n v="21"/>
    <n v="168"/>
    <d v="2025-01-03T00:00:00"/>
    <d v="2025-01-04T00:00:00"/>
    <x v="1"/>
    <s v="App"/>
    <n v="4"/>
    <s v="California"/>
    <s v="Sacramento County"/>
    <n v="1"/>
    <n v="1"/>
    <x v="1"/>
  </r>
  <r>
    <x v="67"/>
    <x v="1"/>
    <n v="2"/>
    <n v="89.1"/>
    <n v="178.2"/>
    <d v="2025-01-03T00:00:00"/>
    <d v="2025-01-04T00:00:00"/>
    <x v="2"/>
    <s v="Target.com"/>
    <n v="5"/>
    <s v="California"/>
    <s v="Sacramento County"/>
    <n v="1"/>
    <n v="1"/>
    <x v="2"/>
  </r>
  <r>
    <x v="68"/>
    <x v="1"/>
    <n v="1"/>
    <n v="97.7"/>
    <n v="97.7"/>
    <d v="2025-01-03T00:00:00"/>
    <d v="2025-01-05T00:00:00"/>
    <x v="2"/>
    <s v="App"/>
    <n v="3"/>
    <s v="California"/>
    <s v="Sacramento County"/>
    <n v="2"/>
    <n v="1"/>
    <x v="2"/>
  </r>
  <r>
    <x v="69"/>
    <x v="15"/>
    <n v="4"/>
    <n v="97.7"/>
    <n v="390.8"/>
    <d v="2025-01-03T00:00:00"/>
    <d v="2025-01-05T00:00:00"/>
    <x v="1"/>
    <s v="Instagram"/>
    <n v="4"/>
    <s v="California"/>
    <s v="Sacramento County"/>
    <n v="2"/>
    <n v="1"/>
    <x v="1"/>
  </r>
  <r>
    <x v="70"/>
    <x v="17"/>
    <n v="3"/>
    <n v="47.4"/>
    <n v="142.19999999999999"/>
    <d v="2025-01-03T00:00:00"/>
    <d v="2025-01-06T00:00:00"/>
    <x v="1"/>
    <s v="Instagram"/>
    <n v="5"/>
    <s v="California"/>
    <s v="San Diego County"/>
    <n v="3"/>
    <n v="1"/>
    <x v="1"/>
  </r>
  <r>
    <x v="71"/>
    <x v="7"/>
    <n v="1"/>
    <n v="89.6"/>
    <n v="89.6"/>
    <d v="2025-01-03T00:00:00"/>
    <d v="2025-01-06T00:00:00"/>
    <x v="2"/>
    <s v="App"/>
    <n v="5"/>
    <s v="California"/>
    <s v="San Diego County"/>
    <n v="3"/>
    <n v="1"/>
    <x v="2"/>
  </r>
  <r>
    <x v="72"/>
    <x v="10"/>
    <n v="18"/>
    <n v="28.4"/>
    <n v="511.2"/>
    <d v="2025-01-03T00:00:00"/>
    <d v="2025-01-06T00:00:00"/>
    <x v="2"/>
    <s v="Instagram"/>
    <n v="5"/>
    <s v="California"/>
    <s v="San Francisco"/>
    <n v="3"/>
    <n v="1"/>
    <x v="2"/>
  </r>
  <r>
    <x v="73"/>
    <x v="0"/>
    <n v="2"/>
    <n v="17.899999999999999"/>
    <n v="35.799999999999997"/>
    <d v="2025-01-03T00:00:00"/>
    <d v="2025-01-04T00:00:00"/>
    <x v="2"/>
    <s v="App"/>
    <n v="5"/>
    <s v="California"/>
    <s v="San Mateo County"/>
    <n v="1"/>
    <n v="1"/>
    <x v="2"/>
  </r>
  <r>
    <x v="74"/>
    <x v="9"/>
    <n v="2"/>
    <n v="48.4"/>
    <n v="96.8"/>
    <d v="2025-01-03T00:00:00"/>
    <d v="2025-01-06T00:00:00"/>
    <x v="1"/>
    <s v="Website"/>
    <n v="4"/>
    <s v="California"/>
    <s v="San Mateo County"/>
    <n v="3"/>
    <n v="1"/>
    <x v="1"/>
  </r>
  <r>
    <x v="75"/>
    <x v="12"/>
    <n v="4"/>
    <n v="44.4"/>
    <n v="177.6"/>
    <d v="2025-01-03T00:00:00"/>
    <d v="2025-01-04T00:00:00"/>
    <x v="3"/>
    <s v="Website"/>
    <n v="3"/>
    <s v="California"/>
    <s v="Santa Clara County"/>
    <n v="1"/>
    <n v="1"/>
    <x v="3"/>
  </r>
  <r>
    <x v="76"/>
    <x v="2"/>
    <n v="8"/>
    <n v="103.7"/>
    <n v="829.6"/>
    <d v="2025-01-03T00:00:00"/>
    <d v="2025-01-04T00:00:00"/>
    <x v="2"/>
    <s v="App"/>
    <n v="3"/>
    <s v="California"/>
    <s v="Stanislaus County"/>
    <n v="1"/>
    <n v="1"/>
    <x v="2"/>
  </r>
  <r>
    <x v="77"/>
    <x v="5"/>
    <n v="4"/>
    <n v="58.6"/>
    <n v="234.4"/>
    <d v="2025-01-03T00:00:00"/>
    <d v="2025-01-05T00:00:00"/>
    <x v="1"/>
    <s v="Instagram"/>
    <n v="4"/>
    <s v="California"/>
    <s v="Stanislaus County"/>
    <n v="2"/>
    <n v="1"/>
    <x v="1"/>
  </r>
  <r>
    <x v="78"/>
    <x v="9"/>
    <n v="4"/>
    <n v="54.8"/>
    <n v="219.2"/>
    <d v="2025-01-03T00:00:00"/>
    <d v="2025-01-07T00:00:00"/>
    <x v="2"/>
    <s v="Target.com"/>
    <n v="3"/>
    <s v="California"/>
    <s v="Ventura County"/>
    <n v="4"/>
    <n v="1"/>
    <x v="2"/>
  </r>
  <r>
    <x v="79"/>
    <x v="12"/>
    <n v="3"/>
    <n v="78.8"/>
    <n v="236.39999999999998"/>
    <d v="2025-01-03T00:00:00"/>
    <d v="2025-01-09T00:00:00"/>
    <x v="2"/>
    <s v="Partner App"/>
    <n v="3"/>
    <s v="California"/>
    <s v="Alameda County"/>
    <n v="6"/>
    <n v="1"/>
    <x v="2"/>
  </r>
  <r>
    <x v="80"/>
    <x v="18"/>
    <n v="5"/>
    <n v="36.799999999999997"/>
    <n v="184"/>
    <d v="2025-01-03T00:00:00"/>
    <d v="2025-01-06T00:00:00"/>
    <x v="1"/>
    <s v="Partner App"/>
    <n v="3"/>
    <s v="California"/>
    <s v="Kern County"/>
    <n v="3"/>
    <n v="1"/>
    <x v="1"/>
  </r>
  <r>
    <x v="81"/>
    <x v="6"/>
    <n v="6"/>
    <n v="50.6"/>
    <n v="303.60000000000002"/>
    <d v="2025-01-03T00:00:00"/>
    <d v="2025-01-05T00:00:00"/>
    <x v="2"/>
    <s v="Instagram"/>
    <n v="4"/>
    <s v="California"/>
    <s v="Los Angeles County"/>
    <n v="2"/>
    <n v="1"/>
    <x v="2"/>
  </r>
  <r>
    <x v="82"/>
    <x v="15"/>
    <n v="3"/>
    <n v="36.799999999999997"/>
    <n v="110.39999999999999"/>
    <d v="2025-01-03T00:00:00"/>
    <d v="2025-01-03T00:00:00"/>
    <x v="1"/>
    <s v="Target.com"/>
    <n v="3"/>
    <s v="California"/>
    <s v="Los Angeles County"/>
    <n v="0"/>
    <n v="1"/>
    <x v="1"/>
  </r>
  <r>
    <x v="83"/>
    <x v="8"/>
    <n v="9"/>
    <n v="41.8"/>
    <n v="376.2"/>
    <d v="2025-01-04T00:00:00"/>
    <d v="2025-01-10T00:00:00"/>
    <x v="2"/>
    <s v="Instagram"/>
    <n v="4"/>
    <s v="California"/>
    <s v="Los Angeles County"/>
    <n v="6"/>
    <n v="1"/>
    <x v="2"/>
  </r>
  <r>
    <x v="84"/>
    <x v="18"/>
    <n v="1"/>
    <n v="77.3"/>
    <n v="77.3"/>
    <d v="2025-01-04T00:00:00"/>
    <d v="2025-01-05T00:00:00"/>
    <x v="1"/>
    <s v="Partner App"/>
    <n v="2"/>
    <s v="California"/>
    <s v="Los Angeles County"/>
    <n v="1"/>
    <n v="1"/>
    <x v="1"/>
  </r>
  <r>
    <x v="85"/>
    <x v="8"/>
    <n v="4"/>
    <n v="19.8"/>
    <n v="79.2"/>
    <d v="2025-01-04T00:00:00"/>
    <d v="2025-01-10T00:00:00"/>
    <x v="1"/>
    <s v="Website"/>
    <n v="5"/>
    <s v="California"/>
    <s v="Los Angeles County"/>
    <n v="6"/>
    <n v="1"/>
    <x v="1"/>
  </r>
  <r>
    <x v="86"/>
    <x v="13"/>
    <n v="4"/>
    <n v="15.5"/>
    <n v="62"/>
    <d v="2025-01-04T00:00:00"/>
    <d v="2025-01-05T00:00:00"/>
    <x v="2"/>
    <s v="Website"/>
    <n v="5"/>
    <s v="California"/>
    <s v="Los Angeles County"/>
    <n v="1"/>
    <n v="1"/>
    <x v="2"/>
  </r>
  <r>
    <x v="87"/>
    <x v="12"/>
    <n v="1"/>
    <n v="46.8"/>
    <n v="46.8"/>
    <d v="2025-01-04T00:00:00"/>
    <d v="2025-01-08T00:00:00"/>
    <x v="1"/>
    <s v="App"/>
    <n v="5"/>
    <s v="California"/>
    <s v="Los Angeles County"/>
    <n v="4"/>
    <n v="1"/>
    <x v="1"/>
  </r>
  <r>
    <x v="88"/>
    <x v="9"/>
    <n v="9"/>
    <n v="28.6"/>
    <n v="257.40000000000003"/>
    <d v="2025-01-04T00:00:00"/>
    <d v="2025-01-08T00:00:00"/>
    <x v="1"/>
    <s v="App"/>
    <n v="5"/>
    <s v="California"/>
    <s v="Los Angeles County"/>
    <n v="4"/>
    <n v="1"/>
    <x v="1"/>
  </r>
  <r>
    <x v="89"/>
    <x v="2"/>
    <n v="1"/>
    <n v="97.7"/>
    <n v="97.7"/>
    <d v="2025-01-04T00:00:00"/>
    <d v="2025-01-07T00:00:00"/>
    <x v="2"/>
    <s v="Website"/>
    <n v="4"/>
    <s v="California"/>
    <s v="Los Angeles County"/>
    <n v="3"/>
    <n v="1"/>
    <x v="2"/>
  </r>
  <r>
    <x v="90"/>
    <x v="9"/>
    <n v="5"/>
    <n v="54.7"/>
    <n v="273.5"/>
    <d v="2025-01-04T00:00:00"/>
    <d v="2025-01-07T00:00:00"/>
    <x v="0"/>
    <s v="App"/>
    <n v="5"/>
    <s v="California"/>
    <s v="Riverside County"/>
    <n v="3"/>
    <n v="1"/>
    <x v="0"/>
  </r>
  <r>
    <x v="91"/>
    <x v="2"/>
    <n v="6"/>
    <n v="130.5"/>
    <n v="783"/>
    <d v="2025-01-04T00:00:00"/>
    <d v="2025-01-06T00:00:00"/>
    <x v="2"/>
    <s v="App"/>
    <n v="3"/>
    <s v="California"/>
    <s v="Riverside County"/>
    <n v="2"/>
    <n v="1"/>
    <x v="2"/>
  </r>
  <r>
    <x v="92"/>
    <x v="11"/>
    <n v="2"/>
    <n v="50.4"/>
    <n v="100.8"/>
    <d v="2025-01-04T00:00:00"/>
    <d v="2025-01-06T00:00:00"/>
    <x v="1"/>
    <s v="Target.com"/>
    <n v="5"/>
    <s v="California"/>
    <s v="Sacramento County"/>
    <n v="2"/>
    <n v="1"/>
    <x v="1"/>
  </r>
  <r>
    <x v="93"/>
    <x v="6"/>
    <n v="13"/>
    <n v="61.5"/>
    <n v="799.5"/>
    <d v="2025-01-04T00:00:00"/>
    <d v="2025-01-05T00:00:00"/>
    <x v="0"/>
    <s v="Instagram"/>
    <n v="3"/>
    <s v="California"/>
    <s v="Santa Clara County"/>
    <n v="1"/>
    <n v="1"/>
    <x v="0"/>
  </r>
  <r>
    <x v="94"/>
    <x v="9"/>
    <n v="4"/>
    <n v="30.1"/>
    <n v="120.4"/>
    <d v="2025-01-04T00:00:00"/>
    <d v="2025-01-05T00:00:00"/>
    <x v="2"/>
    <s v="App"/>
    <n v="5"/>
    <s v="California"/>
    <s v="Alameda County"/>
    <n v="1"/>
    <n v="1"/>
    <x v="2"/>
  </r>
  <r>
    <x v="95"/>
    <x v="2"/>
    <n v="5"/>
    <n v="74.8"/>
    <n v="374"/>
    <d v="2025-01-04T00:00:00"/>
    <d v="2025-01-05T00:00:00"/>
    <x v="2"/>
    <s v="Website"/>
    <n v="4"/>
    <s v="California"/>
    <s v="Contra Costa County"/>
    <n v="1"/>
    <n v="1"/>
    <x v="2"/>
  </r>
  <r>
    <x v="96"/>
    <x v="16"/>
    <n v="3"/>
    <n v="64.900000000000006"/>
    <n v="194.70000000000002"/>
    <d v="2025-01-04T00:00:00"/>
    <d v="2025-01-11T00:00:00"/>
    <x v="1"/>
    <s v="App"/>
    <n v="4"/>
    <s v="California"/>
    <s v="Fresno County"/>
    <n v="7"/>
    <n v="1"/>
    <x v="1"/>
  </r>
  <r>
    <x v="97"/>
    <x v="9"/>
    <n v="2"/>
    <n v="50.5"/>
    <n v="101"/>
    <d v="2025-01-04T00:00:00"/>
    <d v="2025-01-06T00:00:00"/>
    <x v="1"/>
    <s v="Website"/>
    <n v="4"/>
    <s v="California"/>
    <s v="Kern County"/>
    <n v="2"/>
    <n v="1"/>
    <x v="1"/>
  </r>
  <r>
    <x v="98"/>
    <x v="11"/>
    <n v="7"/>
    <n v="63"/>
    <n v="441"/>
    <d v="2025-01-04T00:00:00"/>
    <d v="2025-01-07T00:00:00"/>
    <x v="1"/>
    <s v="Instagram"/>
    <n v="5"/>
    <s v="California"/>
    <s v="Los Angeles County"/>
    <n v="3"/>
    <n v="1"/>
    <x v="1"/>
  </r>
  <r>
    <x v="99"/>
    <x v="2"/>
    <n v="3"/>
    <n v="93.6"/>
    <n v="280.79999999999995"/>
    <d v="2025-01-04T00:00:00"/>
    <d v="2025-01-17T00:00:00"/>
    <x v="2"/>
    <s v="App"/>
    <n v="5"/>
    <s v="California"/>
    <s v="Los Angeles County"/>
    <n v="13"/>
    <n v="1"/>
    <x v="2"/>
  </r>
  <r>
    <x v="100"/>
    <x v="5"/>
    <n v="30"/>
    <n v="41.4"/>
    <n v="1242"/>
    <d v="2025-01-04T00:00:00"/>
    <d v="2025-01-08T00:00:00"/>
    <x v="1"/>
    <s v="Target.com"/>
    <n v="5"/>
    <s v="California"/>
    <s v="Los Angeles County"/>
    <n v="4"/>
    <n v="1"/>
    <x v="1"/>
  </r>
  <r>
    <x v="101"/>
    <x v="2"/>
    <n v="2"/>
    <n v="160"/>
    <n v="320"/>
    <d v="2025-01-05T00:00:00"/>
    <d v="2025-01-06T00:00:00"/>
    <x v="1"/>
    <s v="Target.com"/>
    <n v="5"/>
    <s v="California"/>
    <s v="Placer County"/>
    <n v="1"/>
    <n v="2"/>
    <x v="1"/>
  </r>
  <r>
    <x v="102"/>
    <x v="19"/>
    <n v="11"/>
    <n v="10.5"/>
    <n v="115.5"/>
    <d v="2025-01-05T00:00:00"/>
    <d v="2025-01-08T00:00:00"/>
    <x v="2"/>
    <s v="Partner App"/>
    <n v="4"/>
    <s v="California"/>
    <s v="San Diego County"/>
    <n v="3"/>
    <n v="2"/>
    <x v="2"/>
  </r>
  <r>
    <x v="103"/>
    <x v="10"/>
    <n v="2"/>
    <n v="53"/>
    <n v="106"/>
    <d v="2025-01-05T00:00:00"/>
    <d v="2025-01-05T00:00:00"/>
    <x v="1"/>
    <s v="Target.com"/>
    <n v="2"/>
    <s v="California"/>
    <s v="San Francisco"/>
    <n v="0"/>
    <n v="2"/>
    <x v="1"/>
  </r>
  <r>
    <x v="104"/>
    <x v="8"/>
    <n v="3"/>
    <n v="18.5"/>
    <n v="55.5"/>
    <d v="2025-01-05T00:00:00"/>
    <d v="2025-01-10T00:00:00"/>
    <x v="2"/>
    <s v="Website"/>
    <n v="5"/>
    <s v="California"/>
    <s v="Santa Clara County"/>
    <n v="5"/>
    <n v="2"/>
    <x v="2"/>
  </r>
  <r>
    <x v="105"/>
    <x v="16"/>
    <n v="3"/>
    <n v="84.5"/>
    <n v="253.5"/>
    <d v="2025-01-05T00:00:00"/>
    <d v="2025-01-07T00:00:00"/>
    <x v="2"/>
    <s v="Partner App"/>
    <n v="3"/>
    <s v="California"/>
    <s v="Ventura County"/>
    <n v="2"/>
    <n v="2"/>
    <x v="2"/>
  </r>
  <r>
    <x v="106"/>
    <x v="15"/>
    <n v="7"/>
    <n v="31.2"/>
    <n v="218.4"/>
    <d v="2025-01-05T00:00:00"/>
    <d v="2025-01-05T00:00:00"/>
    <x v="2"/>
    <s v="Target.com"/>
    <n v="5"/>
    <s v="California"/>
    <s v="Los Angeles County"/>
    <n v="0"/>
    <n v="2"/>
    <x v="2"/>
  </r>
  <r>
    <x v="107"/>
    <x v="8"/>
    <n v="18"/>
    <n v="32.6"/>
    <n v="586.80000000000007"/>
    <d v="2025-01-05T00:00:00"/>
    <d v="2025-01-06T00:00:00"/>
    <x v="1"/>
    <s v="Website"/>
    <n v="3"/>
    <s v="California"/>
    <s v="Los Angeles County"/>
    <n v="1"/>
    <n v="2"/>
    <x v="1"/>
  </r>
  <r>
    <x v="108"/>
    <x v="10"/>
    <n v="4"/>
    <n v="45.4"/>
    <n v="181.6"/>
    <d v="2025-01-05T00:00:00"/>
    <d v="2025-01-07T00:00:00"/>
    <x v="1"/>
    <s v="Website"/>
    <n v="4"/>
    <s v="California"/>
    <s v="Los Angeles County"/>
    <n v="2"/>
    <n v="2"/>
    <x v="1"/>
  </r>
  <r>
    <x v="109"/>
    <x v="2"/>
    <n v="12"/>
    <n v="120"/>
    <n v="1440"/>
    <d v="2025-01-05T00:00:00"/>
    <d v="2025-01-06T00:00:00"/>
    <x v="2"/>
    <s v="Target.com"/>
    <n v="2"/>
    <s v="California"/>
    <s v="Los Angeles County"/>
    <n v="1"/>
    <n v="2"/>
    <x v="2"/>
  </r>
  <r>
    <x v="110"/>
    <x v="0"/>
    <n v="4"/>
    <n v="18.899999999999999"/>
    <n v="75.599999999999994"/>
    <d v="2025-01-05T00:00:00"/>
    <d v="2025-01-07T00:00:00"/>
    <x v="1"/>
    <s v="App"/>
    <n v="5"/>
    <s v="California"/>
    <s v="Los Angeles County"/>
    <n v="2"/>
    <n v="2"/>
    <x v="1"/>
  </r>
  <r>
    <x v="111"/>
    <x v="4"/>
    <n v="1"/>
    <n v="32"/>
    <n v="32"/>
    <d v="2025-01-05T00:00:00"/>
    <d v="2025-01-07T00:00:00"/>
    <x v="2"/>
    <s v="Partner App"/>
    <n v="4"/>
    <s v="California"/>
    <s v="Los Angeles County"/>
    <n v="2"/>
    <n v="2"/>
    <x v="2"/>
  </r>
  <r>
    <x v="112"/>
    <x v="7"/>
    <n v="2"/>
    <n v="37.299999999999997"/>
    <n v="74.599999999999994"/>
    <d v="2025-01-05T00:00:00"/>
    <d v="2025-01-06T00:00:00"/>
    <x v="1"/>
    <s v="Target.com"/>
    <n v="4"/>
    <s v="California"/>
    <s v="Los Angeles County"/>
    <n v="1"/>
    <n v="2"/>
    <x v="1"/>
  </r>
  <r>
    <x v="113"/>
    <x v="18"/>
    <n v="1"/>
    <n v="119.8"/>
    <n v="119.8"/>
    <d v="2025-01-05T00:00:00"/>
    <d v="2025-01-06T00:00:00"/>
    <x v="1"/>
    <s v="Website"/>
    <n v="3"/>
    <s v="California"/>
    <s v="Los Angeles County"/>
    <n v="1"/>
    <n v="2"/>
    <x v="1"/>
  </r>
  <r>
    <x v="114"/>
    <x v="10"/>
    <n v="2"/>
    <n v="26.4"/>
    <n v="52.8"/>
    <d v="2025-01-05T00:00:00"/>
    <d v="2025-01-08T00:00:00"/>
    <x v="1"/>
    <s v="Target.com"/>
    <n v="4"/>
    <s v="California"/>
    <s v="Los Angeles County"/>
    <n v="3"/>
    <n v="2"/>
    <x v="1"/>
  </r>
  <r>
    <x v="115"/>
    <x v="6"/>
    <n v="6"/>
    <n v="76.5"/>
    <n v="459"/>
    <d v="2025-01-05T00:00:00"/>
    <d v="2025-01-06T00:00:00"/>
    <x v="2"/>
    <s v="Website"/>
    <n v="3"/>
    <s v="California"/>
    <s v="Los Angeles County"/>
    <n v="1"/>
    <n v="2"/>
    <x v="2"/>
  </r>
  <r>
    <x v="116"/>
    <x v="4"/>
    <n v="10"/>
    <n v="45.7"/>
    <n v="457"/>
    <d v="2025-01-05T00:00:00"/>
    <d v="2025-01-06T00:00:00"/>
    <x v="2"/>
    <s v="Target.com"/>
    <n v="4"/>
    <s v="California"/>
    <s v="Merced County"/>
    <n v="1"/>
    <n v="2"/>
    <x v="2"/>
  </r>
  <r>
    <x v="117"/>
    <x v="1"/>
    <n v="12"/>
    <n v="92.6"/>
    <n v="1111.1999999999998"/>
    <d v="2025-01-05T00:00:00"/>
    <d v="2025-01-07T00:00:00"/>
    <x v="2"/>
    <s v="Target.com"/>
    <n v="4"/>
    <s v="California"/>
    <s v="Orange County"/>
    <n v="2"/>
    <n v="2"/>
    <x v="2"/>
  </r>
  <r>
    <x v="118"/>
    <x v="6"/>
    <n v="6"/>
    <n v="60.1"/>
    <n v="360.6"/>
    <d v="2025-01-05T00:00:00"/>
    <d v="2025-01-06T00:00:00"/>
    <x v="1"/>
    <s v="Website"/>
    <n v="4"/>
    <s v="California"/>
    <s v="Riverside County"/>
    <n v="1"/>
    <n v="2"/>
    <x v="1"/>
  </r>
  <r>
    <x v="119"/>
    <x v="1"/>
    <n v="3"/>
    <n v="73"/>
    <n v="219"/>
    <d v="2025-01-05T00:00:00"/>
    <d v="2025-01-06T00:00:00"/>
    <x v="2"/>
    <s v="Instagram"/>
    <n v="3"/>
    <s v="California"/>
    <s v="Sacramento County"/>
    <n v="1"/>
    <n v="2"/>
    <x v="2"/>
  </r>
  <r>
    <x v="120"/>
    <x v="6"/>
    <n v="3"/>
    <n v="44.3"/>
    <n v="132.89999999999998"/>
    <d v="2025-01-05T00:00:00"/>
    <d v="2025-01-09T00:00:00"/>
    <x v="0"/>
    <s v="Target.com"/>
    <n v="5"/>
    <s v="California"/>
    <s v="Sacramento County"/>
    <n v="4"/>
    <n v="2"/>
    <x v="0"/>
  </r>
  <r>
    <x v="121"/>
    <x v="6"/>
    <n v="3"/>
    <n v="63.3"/>
    <n v="189.89999999999998"/>
    <d v="2025-01-05T00:00:00"/>
    <d v="2025-01-06T00:00:00"/>
    <x v="1"/>
    <s v="Target.com"/>
    <n v="4"/>
    <s v="California"/>
    <s v="Sacramento County"/>
    <n v="1"/>
    <n v="2"/>
    <x v="1"/>
  </r>
  <r>
    <x v="122"/>
    <x v="12"/>
    <n v="1"/>
    <n v="66.8"/>
    <n v="66.8"/>
    <d v="2025-01-05T00:00:00"/>
    <d v="2025-01-06T00:00:00"/>
    <x v="2"/>
    <s v="Website"/>
    <n v="4"/>
    <s v="California"/>
    <s v="Sacramento County"/>
    <n v="1"/>
    <n v="2"/>
    <x v="2"/>
  </r>
  <r>
    <x v="123"/>
    <x v="2"/>
    <n v="2"/>
    <n v="59.7"/>
    <n v="119.4"/>
    <d v="2025-01-05T00:00:00"/>
    <d v="2025-01-06T00:00:00"/>
    <x v="2"/>
    <s v="App"/>
    <n v="4"/>
    <s v="California"/>
    <s v="San Bernardino County"/>
    <n v="1"/>
    <n v="2"/>
    <x v="2"/>
  </r>
  <r>
    <x v="124"/>
    <x v="1"/>
    <n v="6"/>
    <n v="92"/>
    <n v="552"/>
    <d v="2025-01-05T00:00:00"/>
    <d v="2025-01-07T00:00:00"/>
    <x v="1"/>
    <s v="App"/>
    <n v="2"/>
    <s v="California"/>
    <s v="San Bernardino County"/>
    <n v="2"/>
    <n v="2"/>
    <x v="1"/>
  </r>
  <r>
    <x v="125"/>
    <x v="7"/>
    <n v="2"/>
    <n v="87.6"/>
    <n v="175.2"/>
    <d v="2025-01-05T00:00:00"/>
    <d v="2025-01-07T00:00:00"/>
    <x v="1"/>
    <s v="Website"/>
    <n v="3"/>
    <s v="California"/>
    <s v="San Diego County"/>
    <n v="2"/>
    <n v="2"/>
    <x v="1"/>
  </r>
  <r>
    <x v="126"/>
    <x v="6"/>
    <n v="3"/>
    <n v="84.5"/>
    <n v="253.5"/>
    <d v="2025-01-05T00:00:00"/>
    <d v="2025-01-06T00:00:00"/>
    <x v="2"/>
    <s v="Website"/>
    <n v="3"/>
    <s v="California"/>
    <s v="San Diego County"/>
    <n v="1"/>
    <n v="2"/>
    <x v="2"/>
  </r>
  <r>
    <x v="127"/>
    <x v="1"/>
    <n v="2"/>
    <n v="116.3"/>
    <n v="232.6"/>
    <d v="2025-01-06T00:00:00"/>
    <d v="2025-01-08T00:00:00"/>
    <x v="1"/>
    <s v="Target.com"/>
    <n v="5"/>
    <s v="California"/>
    <s v="San Diego County"/>
    <n v="2"/>
    <n v="2"/>
    <x v="1"/>
  </r>
  <r>
    <x v="128"/>
    <x v="6"/>
    <n v="5"/>
    <n v="52.7"/>
    <n v="263.5"/>
    <d v="2025-01-06T00:00:00"/>
    <d v="2025-01-10T00:00:00"/>
    <x v="1"/>
    <s v="App"/>
    <n v="4"/>
    <s v="California"/>
    <s v="San Diego County"/>
    <n v="4"/>
    <n v="2"/>
    <x v="1"/>
  </r>
  <r>
    <x v="129"/>
    <x v="16"/>
    <n v="3"/>
    <n v="34.200000000000003"/>
    <n v="102.60000000000001"/>
    <d v="2025-01-06T00:00:00"/>
    <d v="2025-01-07T00:00:00"/>
    <x v="1"/>
    <s v="App"/>
    <n v="5"/>
    <s v="California"/>
    <s v="San Joaquin County"/>
    <n v="1"/>
    <n v="2"/>
    <x v="1"/>
  </r>
  <r>
    <x v="130"/>
    <x v="9"/>
    <n v="1"/>
    <n v="23.3"/>
    <n v="23.3"/>
    <d v="2025-01-06T00:00:00"/>
    <d v="2025-01-15T00:00:00"/>
    <x v="3"/>
    <s v="Target.com"/>
    <n v="5"/>
    <s v="California"/>
    <s v="San Mateo County"/>
    <n v="9"/>
    <n v="2"/>
    <x v="3"/>
  </r>
  <r>
    <x v="131"/>
    <x v="0"/>
    <n v="26"/>
    <n v="25.9"/>
    <n v="673.4"/>
    <d v="2025-01-06T00:00:00"/>
    <d v="2025-01-09T00:00:00"/>
    <x v="2"/>
    <s v="Partner App"/>
    <n v="3"/>
    <s v="California"/>
    <s v="San Mateo County"/>
    <n v="3"/>
    <n v="2"/>
    <x v="2"/>
  </r>
  <r>
    <x v="132"/>
    <x v="6"/>
    <n v="29"/>
    <n v="54.9"/>
    <n v="1592.1"/>
    <d v="2025-01-06T00:00:00"/>
    <d v="2025-01-07T00:00:00"/>
    <x v="1"/>
    <s v="Website"/>
    <n v="5"/>
    <s v="California"/>
    <s v="San Mateo County"/>
    <n v="1"/>
    <n v="2"/>
    <x v="1"/>
  </r>
  <r>
    <x v="133"/>
    <x v="5"/>
    <n v="3"/>
    <n v="75.8"/>
    <n v="227.39999999999998"/>
    <d v="2025-01-06T00:00:00"/>
    <d v="2025-01-11T00:00:00"/>
    <x v="3"/>
    <s v="Website"/>
    <n v="4"/>
    <s v="California"/>
    <s v="Sonoma County"/>
    <n v="5"/>
    <n v="2"/>
    <x v="3"/>
  </r>
  <r>
    <x v="134"/>
    <x v="1"/>
    <n v="9"/>
    <n v="44.9"/>
    <n v="404.09999999999997"/>
    <d v="2025-01-06T00:00:00"/>
    <d v="2025-01-09T00:00:00"/>
    <x v="2"/>
    <s v="Target.com"/>
    <n v="5"/>
    <s v="California"/>
    <s v="Fresno County"/>
    <n v="3"/>
    <n v="2"/>
    <x v="2"/>
  </r>
  <r>
    <x v="135"/>
    <x v="11"/>
    <n v="2"/>
    <n v="48.8"/>
    <n v="97.6"/>
    <d v="2025-01-06T00:00:00"/>
    <d v="2025-01-08T00:00:00"/>
    <x v="2"/>
    <s v="Instagram"/>
    <n v="4"/>
    <s v="California"/>
    <s v="Glenn County"/>
    <n v="2"/>
    <n v="2"/>
    <x v="2"/>
  </r>
  <r>
    <x v="136"/>
    <x v="15"/>
    <n v="1"/>
    <n v="20.3"/>
    <n v="20.3"/>
    <d v="2025-01-06T00:00:00"/>
    <d v="2025-01-07T00:00:00"/>
    <x v="2"/>
    <s v="App"/>
    <n v="5"/>
    <s v="California"/>
    <s v="Kern County"/>
    <n v="1"/>
    <n v="2"/>
    <x v="2"/>
  </r>
  <r>
    <x v="137"/>
    <x v="5"/>
    <n v="7"/>
    <n v="36.4"/>
    <n v="254.79999999999998"/>
    <d v="2025-01-06T00:00:00"/>
    <d v="2025-01-09T00:00:00"/>
    <x v="2"/>
    <s v="App"/>
    <n v="3"/>
    <s v="California"/>
    <s v="Los Angeles County"/>
    <n v="3"/>
    <n v="2"/>
    <x v="2"/>
  </r>
  <r>
    <x v="138"/>
    <x v="0"/>
    <n v="1"/>
    <n v="19"/>
    <n v="19"/>
    <d v="2025-01-06T00:00:00"/>
    <d v="2025-01-11T00:00:00"/>
    <x v="2"/>
    <s v="Website"/>
    <n v="5"/>
    <s v="California"/>
    <s v="Los Angeles County"/>
    <n v="5"/>
    <n v="2"/>
    <x v="2"/>
  </r>
  <r>
    <x v="139"/>
    <x v="8"/>
    <n v="1"/>
    <n v="17.8"/>
    <n v="17.8"/>
    <d v="2025-01-06T00:00:00"/>
    <d v="2025-01-06T00:00:00"/>
    <x v="1"/>
    <s v="App"/>
    <n v="4"/>
    <s v="California"/>
    <s v="Los Angeles County"/>
    <n v="0"/>
    <n v="2"/>
    <x v="1"/>
  </r>
  <r>
    <x v="140"/>
    <x v="2"/>
    <n v="6"/>
    <n v="139.6"/>
    <n v="837.59999999999991"/>
    <d v="2025-01-06T00:00:00"/>
    <d v="2025-01-09T00:00:00"/>
    <x v="1"/>
    <s v="App"/>
    <n v="4"/>
    <s v="California"/>
    <s v="Los Angeles County"/>
    <n v="3"/>
    <n v="2"/>
    <x v="1"/>
  </r>
  <r>
    <x v="141"/>
    <x v="9"/>
    <n v="1"/>
    <n v="31.7"/>
    <n v="31.7"/>
    <d v="2025-01-06T00:00:00"/>
    <d v="2025-01-06T00:00:00"/>
    <x v="0"/>
    <s v="App"/>
    <n v="4"/>
    <s v="California"/>
    <s v="Los Angeles County"/>
    <n v="0"/>
    <n v="2"/>
    <x v="0"/>
  </r>
  <r>
    <x v="142"/>
    <x v="8"/>
    <n v="8"/>
    <n v="26.3"/>
    <n v="210.4"/>
    <d v="2025-01-06T00:00:00"/>
    <d v="2025-01-09T00:00:00"/>
    <x v="2"/>
    <s v="Partner App"/>
    <n v="2"/>
    <s v="California"/>
    <s v="Los Angeles County"/>
    <n v="3"/>
    <n v="2"/>
    <x v="2"/>
  </r>
  <r>
    <x v="143"/>
    <x v="4"/>
    <n v="2"/>
    <n v="47.8"/>
    <n v="95.6"/>
    <d v="2025-01-06T00:00:00"/>
    <d v="2025-01-07T00:00:00"/>
    <x v="0"/>
    <s v="App"/>
    <n v="4"/>
    <s v="California"/>
    <s v="Los Angeles County"/>
    <n v="1"/>
    <n v="2"/>
    <x v="0"/>
  </r>
  <r>
    <x v="144"/>
    <x v="9"/>
    <n v="3"/>
    <n v="69.400000000000006"/>
    <n v="208.20000000000002"/>
    <d v="2025-01-06T00:00:00"/>
    <d v="2025-01-10T00:00:00"/>
    <x v="2"/>
    <s v="App"/>
    <n v="4"/>
    <s v="California"/>
    <s v="Los Angeles County"/>
    <n v="4"/>
    <n v="2"/>
    <x v="2"/>
  </r>
  <r>
    <x v="145"/>
    <x v="18"/>
    <n v="12"/>
    <n v="25.8"/>
    <n v="309.60000000000002"/>
    <d v="2025-01-06T00:00:00"/>
    <d v="2025-01-07T00:00:00"/>
    <x v="1"/>
    <s v="Partner App"/>
    <n v="2"/>
    <s v="California"/>
    <s v="Los Angeles County"/>
    <n v="1"/>
    <n v="2"/>
    <x v="1"/>
  </r>
  <r>
    <x v="146"/>
    <x v="0"/>
    <n v="4"/>
    <n v="26.4"/>
    <n v="105.6"/>
    <d v="2025-01-06T00:00:00"/>
    <d v="2025-01-07T00:00:00"/>
    <x v="1"/>
    <s v="Website"/>
    <n v="5"/>
    <s v="California"/>
    <s v="Los Angeles County"/>
    <n v="1"/>
    <n v="2"/>
    <x v="1"/>
  </r>
  <r>
    <x v="147"/>
    <x v="8"/>
    <n v="4"/>
    <n v="15.7"/>
    <n v="62.8"/>
    <d v="2025-01-06T00:00:00"/>
    <d v="2025-01-07T00:00:00"/>
    <x v="1"/>
    <s v="Target.com"/>
    <n v="4"/>
    <s v="California"/>
    <s v="Los Angeles County"/>
    <n v="1"/>
    <n v="2"/>
    <x v="1"/>
  </r>
  <r>
    <x v="148"/>
    <x v="8"/>
    <n v="1"/>
    <n v="39.700000000000003"/>
    <n v="39.700000000000003"/>
    <d v="2025-01-06T00:00:00"/>
    <d v="2025-01-10T00:00:00"/>
    <x v="1"/>
    <s v="App"/>
    <n v="4"/>
    <s v="California"/>
    <s v="Los Angeles County"/>
    <n v="4"/>
    <n v="2"/>
    <x v="1"/>
  </r>
  <r>
    <x v="149"/>
    <x v="10"/>
    <n v="4"/>
    <n v="31.1"/>
    <n v="124.4"/>
    <d v="2025-01-06T00:00:00"/>
    <d v="2025-01-08T00:00:00"/>
    <x v="2"/>
    <s v="Target.com"/>
    <n v="3"/>
    <s v="California"/>
    <s v="Los Angeles County"/>
    <n v="2"/>
    <n v="2"/>
    <x v="2"/>
  </r>
  <r>
    <x v="150"/>
    <x v="13"/>
    <n v="15"/>
    <n v="23.4"/>
    <n v="351"/>
    <d v="2025-01-06T00:00:00"/>
    <d v="2025-01-15T00:00:00"/>
    <x v="1"/>
    <s v="App"/>
    <n v="4"/>
    <s v="California"/>
    <s v="Los Angeles County"/>
    <n v="9"/>
    <n v="2"/>
    <x v="1"/>
  </r>
  <r>
    <x v="151"/>
    <x v="1"/>
    <n v="4"/>
    <n v="57.1"/>
    <n v="228.4"/>
    <d v="2025-01-07T00:00:00"/>
    <d v="2025-01-08T00:00:00"/>
    <x v="1"/>
    <s v="Target.com"/>
    <n v="4"/>
    <s v="California"/>
    <s v="Orange County"/>
    <n v="1"/>
    <n v="2"/>
    <x v="1"/>
  </r>
  <r>
    <x v="152"/>
    <x v="2"/>
    <n v="5"/>
    <n v="89.9"/>
    <n v="449.5"/>
    <d v="2025-01-07T00:00:00"/>
    <d v="2025-01-07T00:00:00"/>
    <x v="2"/>
    <s v="App"/>
    <n v="1"/>
    <s v="California"/>
    <s v="Riverside County"/>
    <n v="0"/>
    <n v="2"/>
    <x v="2"/>
  </r>
  <r>
    <x v="153"/>
    <x v="10"/>
    <n v="7"/>
    <n v="48.1"/>
    <n v="336.7"/>
    <d v="2025-01-07T00:00:00"/>
    <d v="2025-01-09T00:00:00"/>
    <x v="2"/>
    <s v="Website"/>
    <n v="5"/>
    <s v="California"/>
    <s v="Sacramento County"/>
    <n v="2"/>
    <n v="2"/>
    <x v="2"/>
  </r>
  <r>
    <x v="154"/>
    <x v="8"/>
    <n v="2"/>
    <n v="29.3"/>
    <n v="58.6"/>
    <d v="2025-01-07T00:00:00"/>
    <d v="2025-01-07T00:00:00"/>
    <x v="2"/>
    <s v="Website"/>
    <n v="3"/>
    <s v="California"/>
    <s v="Sacramento County"/>
    <n v="0"/>
    <n v="2"/>
    <x v="2"/>
  </r>
  <r>
    <x v="155"/>
    <x v="8"/>
    <n v="4"/>
    <n v="28.8"/>
    <n v="115.2"/>
    <d v="2025-01-07T00:00:00"/>
    <d v="2025-01-08T00:00:00"/>
    <x v="2"/>
    <s v="App"/>
    <n v="2"/>
    <s v="California"/>
    <s v="Sacramento County"/>
    <n v="1"/>
    <n v="2"/>
    <x v="2"/>
  </r>
  <r>
    <x v="156"/>
    <x v="10"/>
    <n v="5"/>
    <n v="40.5"/>
    <n v="202.5"/>
    <d v="2025-01-07T00:00:00"/>
    <d v="2025-01-11T00:00:00"/>
    <x v="2"/>
    <s v="Instagram"/>
    <n v="4"/>
    <s v="California"/>
    <s v="Sacramento County"/>
    <n v="4"/>
    <n v="2"/>
    <x v="2"/>
  </r>
  <r>
    <x v="157"/>
    <x v="18"/>
    <n v="14"/>
    <n v="65.099999999999994"/>
    <n v="911.39999999999986"/>
    <d v="2025-01-07T00:00:00"/>
    <d v="2025-01-08T00:00:00"/>
    <x v="2"/>
    <s v="Partner App"/>
    <n v="4"/>
    <s v="California"/>
    <s v="San Bernardino County"/>
    <n v="1"/>
    <n v="2"/>
    <x v="2"/>
  </r>
  <r>
    <x v="158"/>
    <x v="8"/>
    <n v="4"/>
    <n v="40.299999999999997"/>
    <n v="161.19999999999999"/>
    <d v="2025-01-07T00:00:00"/>
    <d v="2025-01-12T00:00:00"/>
    <x v="2"/>
    <s v="Target.com"/>
    <n v="4"/>
    <s v="California"/>
    <s v="San Bernardino County"/>
    <n v="5"/>
    <n v="2"/>
    <x v="2"/>
  </r>
  <r>
    <x v="159"/>
    <x v="6"/>
    <n v="5"/>
    <n v="51.8"/>
    <n v="259"/>
    <d v="2025-01-07T00:00:00"/>
    <d v="2025-01-08T00:00:00"/>
    <x v="1"/>
    <s v="Target.com"/>
    <n v="5"/>
    <s v="California"/>
    <s v="San Diego County"/>
    <n v="1"/>
    <n v="2"/>
    <x v="1"/>
  </r>
  <r>
    <x v="160"/>
    <x v="6"/>
    <n v="3"/>
    <n v="61.3"/>
    <n v="183.89999999999998"/>
    <d v="2025-01-07T00:00:00"/>
    <d v="2025-01-08T00:00:00"/>
    <x v="2"/>
    <s v="Instagram"/>
    <n v="4"/>
    <s v="California"/>
    <s v="San Diego County"/>
    <n v="1"/>
    <n v="2"/>
    <x v="2"/>
  </r>
  <r>
    <x v="161"/>
    <x v="2"/>
    <n v="4"/>
    <n v="122.5"/>
    <n v="490"/>
    <d v="2025-01-07T00:00:00"/>
    <d v="2025-01-08T00:00:00"/>
    <x v="1"/>
    <s v="App"/>
    <n v="4"/>
    <s v="California"/>
    <s v="San Diego County"/>
    <n v="1"/>
    <n v="2"/>
    <x v="1"/>
  </r>
  <r>
    <x v="162"/>
    <x v="0"/>
    <n v="9"/>
    <n v="12.5"/>
    <n v="112.5"/>
    <d v="2025-01-07T00:00:00"/>
    <d v="2025-01-08T00:00:00"/>
    <x v="0"/>
    <s v="Website"/>
    <n v="5"/>
    <s v="California"/>
    <s v="San Diego County"/>
    <n v="1"/>
    <n v="2"/>
    <x v="0"/>
  </r>
  <r>
    <x v="163"/>
    <x v="15"/>
    <n v="8"/>
    <n v="37.5"/>
    <n v="300"/>
    <d v="2025-01-07T00:00:00"/>
    <d v="2025-01-08T00:00:00"/>
    <x v="2"/>
    <s v="App"/>
    <n v="4"/>
    <s v="California"/>
    <s v="San Mateo County"/>
    <n v="1"/>
    <n v="2"/>
    <x v="2"/>
  </r>
  <r>
    <x v="164"/>
    <x v="6"/>
    <n v="3"/>
    <n v="40"/>
    <n v="120"/>
    <d v="2025-01-07T00:00:00"/>
    <d v="2025-01-10T00:00:00"/>
    <x v="1"/>
    <s v="App"/>
    <n v="2"/>
    <s v="California"/>
    <s v="Santa Clara County"/>
    <n v="3"/>
    <n v="2"/>
    <x v="1"/>
  </r>
  <r>
    <x v="165"/>
    <x v="17"/>
    <n v="8"/>
    <n v="38.5"/>
    <n v="308"/>
    <d v="2025-01-07T00:00:00"/>
    <d v="2025-01-12T00:00:00"/>
    <x v="2"/>
    <s v="Target.com"/>
    <n v="3"/>
    <s v="California"/>
    <s v="Santa Clara County"/>
    <n v="5"/>
    <n v="2"/>
    <x v="2"/>
  </r>
  <r>
    <x v="166"/>
    <x v="2"/>
    <n v="2"/>
    <n v="86.4"/>
    <n v="172.8"/>
    <d v="2025-01-07T00:00:00"/>
    <d v="2025-01-09T00:00:00"/>
    <x v="2"/>
    <s v="App"/>
    <n v="4"/>
    <s v="California"/>
    <s v="Sonoma County"/>
    <n v="2"/>
    <n v="2"/>
    <x v="2"/>
  </r>
  <r>
    <x v="167"/>
    <x v="10"/>
    <n v="1"/>
    <n v="50.7"/>
    <n v="50.7"/>
    <d v="2025-01-07T00:00:00"/>
    <d v="2025-01-11T00:00:00"/>
    <x v="2"/>
    <s v="Website"/>
    <n v="4"/>
    <s v="California"/>
    <s v="Sonoma County"/>
    <n v="4"/>
    <n v="2"/>
    <x v="2"/>
  </r>
  <r>
    <x v="168"/>
    <x v="10"/>
    <n v="2"/>
    <n v="61"/>
    <n v="122"/>
    <d v="2025-01-07T00:00:00"/>
    <d v="2025-01-18T00:00:00"/>
    <x v="2"/>
    <s v="Partner App"/>
    <n v="3"/>
    <s v="California"/>
    <s v="Sonoma County"/>
    <n v="11"/>
    <n v="2"/>
    <x v="2"/>
  </r>
  <r>
    <x v="169"/>
    <x v="4"/>
    <n v="2"/>
    <n v="19.899999999999999"/>
    <n v="39.799999999999997"/>
    <d v="2025-01-07T00:00:00"/>
    <d v="2025-01-10T00:00:00"/>
    <x v="2"/>
    <s v="Website"/>
    <n v="4"/>
    <s v="California"/>
    <s v="Yolo County"/>
    <n v="3"/>
    <n v="2"/>
    <x v="2"/>
  </r>
  <r>
    <x v="170"/>
    <x v="5"/>
    <n v="1"/>
    <n v="78.3"/>
    <n v="78.3"/>
    <d v="2025-01-07T00:00:00"/>
    <d v="2025-01-07T00:00:00"/>
    <x v="2"/>
    <s v="App"/>
    <n v="5"/>
    <s v="California"/>
    <s v="Contra Costa County"/>
    <n v="0"/>
    <n v="2"/>
    <x v="2"/>
  </r>
  <r>
    <x v="171"/>
    <x v="0"/>
    <n v="19"/>
    <n v="10.4"/>
    <n v="197.6"/>
    <d v="2025-01-07T00:00:00"/>
    <d v="2025-01-09T00:00:00"/>
    <x v="1"/>
    <s v="App"/>
    <n v="5"/>
    <s v="California"/>
    <s v="Fresno County"/>
    <n v="2"/>
    <n v="2"/>
    <x v="1"/>
  </r>
  <r>
    <x v="172"/>
    <x v="10"/>
    <n v="1"/>
    <n v="36.1"/>
    <n v="36.1"/>
    <d v="2025-01-07T00:00:00"/>
    <d v="2025-01-10T00:00:00"/>
    <x v="1"/>
    <s v="Instagram"/>
    <n v="5"/>
    <s v="California"/>
    <s v="Los Angeles County"/>
    <n v="3"/>
    <n v="2"/>
    <x v="1"/>
  </r>
  <r>
    <x v="173"/>
    <x v="14"/>
    <n v="2"/>
    <n v="17.3"/>
    <n v="34.6"/>
    <d v="2025-01-07T00:00:00"/>
    <d v="2025-01-09T00:00:00"/>
    <x v="2"/>
    <s v="Website"/>
    <n v="5"/>
    <s v="California"/>
    <s v="Los Angeles County"/>
    <n v="2"/>
    <n v="2"/>
    <x v="2"/>
  </r>
  <r>
    <x v="174"/>
    <x v="10"/>
    <n v="2"/>
    <n v="30.5"/>
    <n v="61"/>
    <d v="2025-01-07T00:00:00"/>
    <d v="2025-01-08T00:00:00"/>
    <x v="2"/>
    <s v="Website"/>
    <n v="5"/>
    <s v="California"/>
    <s v="Los Angeles County"/>
    <n v="1"/>
    <n v="2"/>
    <x v="2"/>
  </r>
  <r>
    <x v="175"/>
    <x v="18"/>
    <n v="62"/>
    <n v="70.099999999999994"/>
    <n v="4346.2"/>
    <d v="2025-01-07T00:00:00"/>
    <d v="2025-01-07T00:00:00"/>
    <x v="2"/>
    <s v="Target.com"/>
    <n v="4"/>
    <s v="California"/>
    <s v="Los Angeles County"/>
    <n v="0"/>
    <n v="2"/>
    <x v="2"/>
  </r>
  <r>
    <x v="176"/>
    <x v="3"/>
    <n v="1"/>
    <n v="76.099999999999994"/>
    <n v="76.099999999999994"/>
    <d v="2025-01-07T00:00:00"/>
    <d v="2025-01-07T00:00:00"/>
    <x v="2"/>
    <s v="Target.com"/>
    <n v="3"/>
    <s v="California"/>
    <s v="Los Angeles County"/>
    <n v="0"/>
    <n v="2"/>
    <x v="2"/>
  </r>
  <r>
    <x v="177"/>
    <x v="15"/>
    <n v="13"/>
    <n v="34.200000000000003"/>
    <n v="444.6"/>
    <d v="2025-01-07T00:00:00"/>
    <d v="2025-01-08T00:00:00"/>
    <x v="1"/>
    <s v="App"/>
    <n v="4"/>
    <s v="California"/>
    <s v="Los Angeles County"/>
    <n v="1"/>
    <n v="2"/>
    <x v="1"/>
  </r>
  <r>
    <x v="178"/>
    <x v="8"/>
    <n v="5"/>
    <n v="30.3"/>
    <n v="151.5"/>
    <d v="2025-01-07T00:00:00"/>
    <d v="2025-01-12T00:00:00"/>
    <x v="2"/>
    <s v="Partner App"/>
    <n v="4"/>
    <s v="California"/>
    <s v="Los Angeles County"/>
    <n v="5"/>
    <n v="2"/>
    <x v="2"/>
  </r>
  <r>
    <x v="179"/>
    <x v="6"/>
    <n v="5"/>
    <n v="52.5"/>
    <n v="262.5"/>
    <d v="2025-01-07T00:00:00"/>
    <d v="2025-01-11T00:00:00"/>
    <x v="0"/>
    <s v="Instagram"/>
    <n v="4"/>
    <s v="California"/>
    <s v="Los Angeles County"/>
    <n v="4"/>
    <n v="2"/>
    <x v="0"/>
  </r>
  <r>
    <x v="180"/>
    <x v="9"/>
    <n v="11"/>
    <n v="28.7"/>
    <n v="315.7"/>
    <d v="2025-01-07T00:00:00"/>
    <d v="2025-01-08T00:00:00"/>
    <x v="2"/>
    <s v="Target.com"/>
    <n v="4"/>
    <s v="California"/>
    <s v="Los Angeles County"/>
    <n v="1"/>
    <n v="2"/>
    <x v="2"/>
  </r>
  <r>
    <x v="181"/>
    <x v="7"/>
    <n v="7"/>
    <n v="52"/>
    <n v="364"/>
    <d v="2025-01-07T00:00:00"/>
    <d v="2025-01-08T00:00:00"/>
    <x v="1"/>
    <s v="Website"/>
    <n v="2"/>
    <s v="California"/>
    <s v="Los Angeles County"/>
    <n v="1"/>
    <n v="2"/>
    <x v="1"/>
  </r>
  <r>
    <x v="182"/>
    <x v="0"/>
    <n v="1"/>
    <n v="13.3"/>
    <n v="13.3"/>
    <d v="2025-01-08T00:00:00"/>
    <d v="2025-01-12T00:00:00"/>
    <x v="2"/>
    <s v="Target.com"/>
    <n v="3"/>
    <s v="California"/>
    <s v="Los Angeles County"/>
    <n v="4"/>
    <n v="2"/>
    <x v="2"/>
  </r>
  <r>
    <x v="183"/>
    <x v="0"/>
    <n v="3"/>
    <n v="15.7"/>
    <n v="47.099999999999994"/>
    <d v="2025-01-08T00:00:00"/>
    <d v="2025-01-09T00:00:00"/>
    <x v="2"/>
    <s v="Website"/>
    <n v="4"/>
    <s v="California"/>
    <s v="Mendocino County"/>
    <n v="1"/>
    <n v="2"/>
    <x v="2"/>
  </r>
  <r>
    <x v="184"/>
    <x v="8"/>
    <n v="2"/>
    <n v="25.6"/>
    <n v="51.2"/>
    <d v="2025-01-08T00:00:00"/>
    <d v="2025-01-09T00:00:00"/>
    <x v="1"/>
    <s v="App"/>
    <n v="5"/>
    <s v="California"/>
    <s v="Riverside County"/>
    <n v="1"/>
    <n v="2"/>
    <x v="1"/>
  </r>
  <r>
    <x v="185"/>
    <x v="8"/>
    <n v="1"/>
    <n v="43.4"/>
    <n v="43.4"/>
    <d v="2025-01-08T00:00:00"/>
    <d v="2025-01-13T00:00:00"/>
    <x v="1"/>
    <s v="App"/>
    <n v="4"/>
    <s v="California"/>
    <s v="Sacramento County"/>
    <n v="5"/>
    <n v="2"/>
    <x v="1"/>
  </r>
  <r>
    <x v="186"/>
    <x v="11"/>
    <n v="9"/>
    <n v="33.4"/>
    <n v="300.59999999999997"/>
    <d v="2025-01-08T00:00:00"/>
    <d v="2025-01-08T00:00:00"/>
    <x v="2"/>
    <s v="App"/>
    <n v="4"/>
    <s v="California"/>
    <s v="San Diego County"/>
    <n v="0"/>
    <n v="2"/>
    <x v="2"/>
  </r>
  <r>
    <x v="187"/>
    <x v="8"/>
    <n v="19"/>
    <n v="55"/>
    <n v="1045"/>
    <d v="2025-01-08T00:00:00"/>
    <d v="2025-01-09T00:00:00"/>
    <x v="2"/>
    <s v="Website"/>
    <n v="5"/>
    <s v="California"/>
    <s v="San Diego County"/>
    <n v="1"/>
    <n v="2"/>
    <x v="2"/>
  </r>
  <r>
    <x v="188"/>
    <x v="8"/>
    <n v="3"/>
    <n v="23.6"/>
    <n v="70.800000000000011"/>
    <d v="2025-01-08T00:00:00"/>
    <d v="2025-01-09T00:00:00"/>
    <x v="1"/>
    <s v="App"/>
    <n v="5"/>
    <s v="California"/>
    <s v="San Diego County"/>
    <n v="1"/>
    <n v="2"/>
    <x v="1"/>
  </r>
  <r>
    <x v="189"/>
    <x v="12"/>
    <n v="9"/>
    <n v="104"/>
    <n v="936"/>
    <d v="2025-01-08T00:00:00"/>
    <d v="2025-01-10T00:00:00"/>
    <x v="2"/>
    <s v="Target.com"/>
    <n v="5"/>
    <s v="California"/>
    <s v="San Francisco"/>
    <n v="2"/>
    <n v="2"/>
    <x v="2"/>
  </r>
  <r>
    <x v="190"/>
    <x v="6"/>
    <n v="2"/>
    <n v="51.8"/>
    <n v="103.6"/>
    <d v="2025-01-08T00:00:00"/>
    <d v="2025-01-12T00:00:00"/>
    <x v="0"/>
    <s v="App"/>
    <n v="5"/>
    <s v="California"/>
    <s v="Santa Barbara County"/>
    <n v="4"/>
    <n v="2"/>
    <x v="0"/>
  </r>
  <r>
    <x v="191"/>
    <x v="10"/>
    <n v="5"/>
    <n v="34.5"/>
    <n v="172.5"/>
    <d v="2025-01-08T00:00:00"/>
    <d v="2025-01-10T00:00:00"/>
    <x v="0"/>
    <s v="Target.com"/>
    <n v="5"/>
    <s v="California"/>
    <s v="Santa Clara County"/>
    <n v="2"/>
    <n v="2"/>
    <x v="0"/>
  </r>
  <r>
    <x v="192"/>
    <x v="6"/>
    <n v="2"/>
    <n v="51.8"/>
    <n v="103.6"/>
    <d v="2025-01-08T00:00:00"/>
    <d v="2025-01-10T00:00:00"/>
    <x v="1"/>
    <s v="Website"/>
    <n v="5"/>
    <s v="California"/>
    <s v="Siskiyou County"/>
    <n v="2"/>
    <n v="2"/>
    <x v="1"/>
  </r>
  <r>
    <x v="193"/>
    <x v="18"/>
    <n v="43"/>
    <n v="131.5"/>
    <n v="5654.5"/>
    <d v="2025-01-08T00:00:00"/>
    <d v="2025-01-09T00:00:00"/>
    <x v="2"/>
    <s v="App"/>
    <n v="5"/>
    <s v="California"/>
    <s v="Sonoma County"/>
    <n v="1"/>
    <n v="2"/>
    <x v="2"/>
  </r>
  <r>
    <x v="194"/>
    <x v="8"/>
    <n v="7"/>
    <n v="47.8"/>
    <n v="334.59999999999997"/>
    <d v="2025-01-08T00:00:00"/>
    <d v="2025-01-08T00:00:00"/>
    <x v="2"/>
    <s v="App"/>
    <n v="4"/>
    <s v="California"/>
    <s v="Stanislaus County"/>
    <n v="0"/>
    <n v="2"/>
    <x v="2"/>
  </r>
  <r>
    <x v="195"/>
    <x v="0"/>
    <n v="2"/>
    <n v="10.199999999999999"/>
    <n v="20.399999999999999"/>
    <d v="2025-01-08T00:00:00"/>
    <d v="2025-01-10T00:00:00"/>
    <x v="2"/>
    <s v="App"/>
    <n v="4"/>
    <s v="California"/>
    <s v="Stanislaus County"/>
    <n v="2"/>
    <n v="2"/>
    <x v="2"/>
  </r>
  <r>
    <x v="196"/>
    <x v="8"/>
    <n v="8"/>
    <n v="41"/>
    <n v="328"/>
    <d v="2025-01-08T00:00:00"/>
    <d v="2025-01-08T00:00:00"/>
    <x v="2"/>
    <s v="Website"/>
    <n v="5"/>
    <s v="California"/>
    <s v="Stanislaus County"/>
    <n v="0"/>
    <n v="2"/>
    <x v="2"/>
  </r>
  <r>
    <x v="197"/>
    <x v="10"/>
    <n v="7"/>
    <n v="50.8"/>
    <n v="355.59999999999997"/>
    <d v="2025-01-08T00:00:00"/>
    <d v="2025-01-11T00:00:00"/>
    <x v="2"/>
    <s v="Website"/>
    <n v="4"/>
    <s v="California"/>
    <s v="Alameda County"/>
    <n v="3"/>
    <n v="2"/>
    <x v="2"/>
  </r>
  <r>
    <x v="198"/>
    <x v="18"/>
    <n v="3"/>
    <n v="39.6"/>
    <n v="118.80000000000001"/>
    <d v="2025-01-08T00:00:00"/>
    <d v="2025-01-09T00:00:00"/>
    <x v="1"/>
    <s v="Target.com"/>
    <n v="5"/>
    <s v="California"/>
    <s v="Contra Costa County"/>
    <n v="1"/>
    <n v="2"/>
    <x v="1"/>
  </r>
  <r>
    <x v="199"/>
    <x v="5"/>
    <n v="2"/>
    <n v="69.5"/>
    <n v="139"/>
    <d v="2025-01-08T00:00:00"/>
    <d v="2025-01-10T00:00:00"/>
    <x v="1"/>
    <s v="App"/>
    <n v="5"/>
    <s v="California"/>
    <s v="Fresno County"/>
    <n v="2"/>
    <n v="2"/>
    <x v="1"/>
  </r>
  <r>
    <x v="200"/>
    <x v="8"/>
    <n v="8"/>
    <n v="32.6"/>
    <n v="260.8"/>
    <d v="2025-01-08T00:00:00"/>
    <d v="2025-01-11T00:00:00"/>
    <x v="1"/>
    <s v="Website"/>
    <n v="4"/>
    <s v="California"/>
    <s v="Los Angeles County"/>
    <n v="3"/>
    <n v="2"/>
    <x v="1"/>
  </r>
  <r>
    <x v="201"/>
    <x v="7"/>
    <n v="2"/>
    <n v="49.1"/>
    <n v="98.2"/>
    <d v="2025-01-08T00:00:00"/>
    <d v="2025-01-16T00:00:00"/>
    <x v="1"/>
    <s v="Instagram"/>
    <n v="5"/>
    <s v="California"/>
    <s v="Los Angeles County"/>
    <n v="8"/>
    <n v="2"/>
    <x v="1"/>
  </r>
  <r>
    <x v="202"/>
    <x v="6"/>
    <n v="2"/>
    <n v="49.4"/>
    <n v="98.8"/>
    <d v="2025-01-09T00:00:00"/>
    <d v="2025-01-10T00:00:00"/>
    <x v="2"/>
    <s v="Target.com"/>
    <n v="4"/>
    <s v="California"/>
    <s v="Los Angeles County"/>
    <n v="1"/>
    <n v="2"/>
    <x v="2"/>
  </r>
  <r>
    <x v="203"/>
    <x v="7"/>
    <n v="7"/>
    <n v="65.099999999999994"/>
    <n v="455.69999999999993"/>
    <d v="2025-01-09T00:00:00"/>
    <d v="2025-01-12T00:00:00"/>
    <x v="2"/>
    <s v="Target.com"/>
    <n v="5"/>
    <s v="California"/>
    <s v="Los Angeles County"/>
    <n v="3"/>
    <n v="2"/>
    <x v="2"/>
  </r>
  <r>
    <x v="204"/>
    <x v="3"/>
    <n v="2"/>
    <n v="52.1"/>
    <n v="104.2"/>
    <d v="2025-01-09T00:00:00"/>
    <d v="2025-01-13T00:00:00"/>
    <x v="2"/>
    <s v="Target.com"/>
    <n v="4"/>
    <s v="California"/>
    <s v="Los Angeles County"/>
    <n v="4"/>
    <n v="2"/>
    <x v="2"/>
  </r>
  <r>
    <x v="205"/>
    <x v="2"/>
    <n v="4"/>
    <n v="129.19999999999999"/>
    <n v="516.79999999999995"/>
    <d v="2025-01-09T00:00:00"/>
    <d v="2025-01-10T00:00:00"/>
    <x v="2"/>
    <s v="Website"/>
    <n v="4"/>
    <s v="California"/>
    <s v="Los Angeles County"/>
    <n v="1"/>
    <n v="2"/>
    <x v="2"/>
  </r>
  <r>
    <x v="206"/>
    <x v="1"/>
    <n v="19"/>
    <n v="81.8"/>
    <n v="1554.2"/>
    <d v="2025-01-09T00:00:00"/>
    <d v="2025-01-09T00:00:00"/>
    <x v="2"/>
    <s v="Website"/>
    <n v="3"/>
    <s v="California"/>
    <s v="Los Angeles County"/>
    <n v="0"/>
    <n v="2"/>
    <x v="2"/>
  </r>
  <r>
    <x v="207"/>
    <x v="17"/>
    <n v="1"/>
    <n v="24.9"/>
    <n v="24.9"/>
    <d v="2025-01-09T00:00:00"/>
    <d v="2025-01-13T00:00:00"/>
    <x v="2"/>
    <s v="Website"/>
    <n v="4"/>
    <s v="California"/>
    <s v="Los Angeles County"/>
    <n v="4"/>
    <n v="2"/>
    <x v="2"/>
  </r>
  <r>
    <x v="208"/>
    <x v="0"/>
    <n v="3"/>
    <n v="49.4"/>
    <n v="148.19999999999999"/>
    <d v="2025-01-09T00:00:00"/>
    <d v="2025-01-12T00:00:00"/>
    <x v="2"/>
    <s v="Partner App"/>
    <n v="2"/>
    <s v="California"/>
    <s v="Los Angeles County"/>
    <n v="3"/>
    <n v="2"/>
    <x v="2"/>
  </r>
  <r>
    <x v="209"/>
    <x v="8"/>
    <n v="2"/>
    <n v="22.7"/>
    <n v="45.4"/>
    <d v="2025-01-09T00:00:00"/>
    <d v="2025-01-10T00:00:00"/>
    <x v="1"/>
    <s v="Instagram"/>
    <n v="5"/>
    <s v="California"/>
    <s v="Los Angeles County"/>
    <n v="1"/>
    <n v="2"/>
    <x v="1"/>
  </r>
  <r>
    <x v="210"/>
    <x v="1"/>
    <n v="1"/>
    <n v="77.3"/>
    <n v="77.3"/>
    <d v="2025-01-09T00:00:00"/>
    <d v="2025-01-09T00:00:00"/>
    <x v="2"/>
    <s v="App"/>
    <n v="5"/>
    <s v="California"/>
    <s v="Sacramento County"/>
    <n v="0"/>
    <n v="2"/>
    <x v="2"/>
  </r>
  <r>
    <x v="211"/>
    <x v="1"/>
    <n v="5"/>
    <n v="109.1"/>
    <n v="545.5"/>
    <d v="2025-01-09T00:00:00"/>
    <d v="2025-01-12T00:00:00"/>
    <x v="2"/>
    <s v="App"/>
    <n v="4"/>
    <s v="California"/>
    <s v="Sacramento County"/>
    <n v="3"/>
    <n v="2"/>
    <x v="2"/>
  </r>
  <r>
    <x v="212"/>
    <x v="2"/>
    <n v="4"/>
    <n v="53.9"/>
    <n v="215.6"/>
    <d v="2025-01-09T00:00:00"/>
    <d v="2025-01-10T00:00:00"/>
    <x v="1"/>
    <s v="App"/>
    <n v="3"/>
    <s v="California"/>
    <s v="San Diego County"/>
    <n v="1"/>
    <n v="2"/>
    <x v="1"/>
  </r>
  <r>
    <x v="213"/>
    <x v="9"/>
    <n v="26"/>
    <n v="21.2"/>
    <n v="551.19999999999993"/>
    <d v="2025-01-09T00:00:00"/>
    <d v="2025-01-09T00:00:00"/>
    <x v="2"/>
    <s v="App"/>
    <n v="4"/>
    <s v="California"/>
    <s v="San Mateo County"/>
    <n v="0"/>
    <n v="2"/>
    <x v="2"/>
  </r>
  <r>
    <x v="214"/>
    <x v="16"/>
    <n v="4"/>
    <n v="69"/>
    <n v="276"/>
    <d v="2025-01-09T00:00:00"/>
    <d v="2025-01-11T00:00:00"/>
    <x v="2"/>
    <s v="Website"/>
    <n v="3"/>
    <s v="California"/>
    <s v="Sonoma County"/>
    <n v="2"/>
    <n v="2"/>
    <x v="2"/>
  </r>
  <r>
    <x v="215"/>
    <x v="6"/>
    <n v="3"/>
    <n v="46.2"/>
    <n v="138.60000000000002"/>
    <d v="2025-01-09T00:00:00"/>
    <d v="2025-01-11T00:00:00"/>
    <x v="2"/>
    <s v="App"/>
    <n v="5"/>
    <s v="California"/>
    <s v="Sutter County"/>
    <n v="2"/>
    <n v="2"/>
    <x v="2"/>
  </r>
  <r>
    <x v="216"/>
    <x v="1"/>
    <n v="5"/>
    <n v="97.4"/>
    <n v="487"/>
    <d v="2025-01-09T00:00:00"/>
    <d v="2025-01-13T00:00:00"/>
    <x v="2"/>
    <s v="Partner App"/>
    <n v="5"/>
    <s v="California"/>
    <s v="Alameda County"/>
    <n v="4"/>
    <n v="2"/>
    <x v="2"/>
  </r>
  <r>
    <x v="217"/>
    <x v="8"/>
    <n v="5"/>
    <n v="21"/>
    <n v="105"/>
    <d v="2025-01-09T00:00:00"/>
    <d v="2025-01-10T00:00:00"/>
    <x v="1"/>
    <s v="App"/>
    <n v="3"/>
    <s v="California"/>
    <s v="Alameda County"/>
    <n v="1"/>
    <n v="2"/>
    <x v="1"/>
  </r>
  <r>
    <x v="218"/>
    <x v="5"/>
    <n v="2"/>
    <n v="32.700000000000003"/>
    <n v="65.400000000000006"/>
    <d v="2025-01-10T00:00:00"/>
    <d v="2025-01-13T00:00:00"/>
    <x v="2"/>
    <s v="Website"/>
    <n v="4"/>
    <s v="California"/>
    <s v="Fresno County"/>
    <n v="3"/>
    <n v="2"/>
    <x v="2"/>
  </r>
  <r>
    <x v="219"/>
    <x v="6"/>
    <n v="4"/>
    <n v="48"/>
    <n v="192"/>
    <d v="2025-01-10T00:00:00"/>
    <d v="2025-01-11T00:00:00"/>
    <x v="1"/>
    <s v="Instagram"/>
    <n v="4"/>
    <s v="California"/>
    <s v="Los Angeles County"/>
    <n v="1"/>
    <n v="2"/>
    <x v="1"/>
  </r>
  <r>
    <x v="220"/>
    <x v="6"/>
    <n v="3"/>
    <n v="68.2"/>
    <n v="204.60000000000002"/>
    <d v="2025-01-10T00:00:00"/>
    <d v="2025-01-14T00:00:00"/>
    <x v="0"/>
    <s v="App"/>
    <n v="5"/>
    <s v="California"/>
    <s v="Los Angeles County"/>
    <n v="4"/>
    <n v="2"/>
    <x v="0"/>
  </r>
  <r>
    <x v="221"/>
    <x v="5"/>
    <n v="1"/>
    <n v="45.4"/>
    <n v="45.4"/>
    <d v="2025-01-10T00:00:00"/>
    <d v="2025-01-12T00:00:00"/>
    <x v="1"/>
    <s v="Website"/>
    <n v="4"/>
    <s v="California"/>
    <s v="Los Angeles County"/>
    <n v="2"/>
    <n v="2"/>
    <x v="1"/>
  </r>
  <r>
    <x v="222"/>
    <x v="12"/>
    <n v="2"/>
    <n v="53.9"/>
    <n v="107.8"/>
    <d v="2025-01-10T00:00:00"/>
    <d v="2025-01-11T00:00:00"/>
    <x v="2"/>
    <s v="Target.com"/>
    <n v="4"/>
    <s v="California"/>
    <s v="Los Angeles County"/>
    <n v="1"/>
    <n v="2"/>
    <x v="2"/>
  </r>
  <r>
    <x v="223"/>
    <x v="2"/>
    <n v="4"/>
    <n v="62.1"/>
    <n v="248.4"/>
    <d v="2025-01-10T00:00:00"/>
    <d v="2025-01-14T00:00:00"/>
    <x v="2"/>
    <s v="App"/>
    <n v="4"/>
    <s v="California"/>
    <s v="Nevada County"/>
    <n v="4"/>
    <n v="2"/>
    <x v="2"/>
  </r>
  <r>
    <x v="224"/>
    <x v="13"/>
    <n v="7"/>
    <n v="33.1"/>
    <n v="231.70000000000002"/>
    <d v="2025-01-10T00:00:00"/>
    <d v="2025-01-15T00:00:00"/>
    <x v="1"/>
    <s v="Website"/>
    <n v="4"/>
    <s v="California"/>
    <s v="Sacramento County"/>
    <n v="5"/>
    <n v="2"/>
    <x v="1"/>
  </r>
  <r>
    <x v="225"/>
    <x v="18"/>
    <n v="5"/>
    <n v="35.200000000000003"/>
    <n v="176"/>
    <d v="2025-01-10T00:00:00"/>
    <d v="2025-01-10T00:00:00"/>
    <x v="2"/>
    <s v="Website"/>
    <n v="4"/>
    <s v="California"/>
    <s v="Sacramento County"/>
    <n v="0"/>
    <n v="2"/>
    <x v="2"/>
  </r>
  <r>
    <x v="226"/>
    <x v="9"/>
    <n v="3"/>
    <n v="32.1"/>
    <n v="96.300000000000011"/>
    <d v="2025-01-10T00:00:00"/>
    <d v="2025-01-15T00:00:00"/>
    <x v="1"/>
    <s v="Instagram"/>
    <n v="4"/>
    <s v="California"/>
    <s v="San Diego County"/>
    <n v="5"/>
    <n v="2"/>
    <x v="1"/>
  </r>
  <r>
    <x v="227"/>
    <x v="11"/>
    <n v="1"/>
    <n v="38.1"/>
    <n v="38.1"/>
    <d v="2025-01-10T00:00:00"/>
    <d v="2025-01-15T00:00:00"/>
    <x v="2"/>
    <s v="App"/>
    <n v="5"/>
    <s v="California"/>
    <s v="San Diego County"/>
    <n v="5"/>
    <n v="2"/>
    <x v="2"/>
  </r>
  <r>
    <x v="228"/>
    <x v="8"/>
    <n v="1"/>
    <n v="65.2"/>
    <n v="65.2"/>
    <d v="2025-01-10T00:00:00"/>
    <d v="2025-01-15T00:00:00"/>
    <x v="2"/>
    <s v="Instagram"/>
    <n v="3"/>
    <s v="California"/>
    <s v="San Diego County"/>
    <n v="5"/>
    <n v="2"/>
    <x v="2"/>
  </r>
  <r>
    <x v="229"/>
    <x v="10"/>
    <n v="7"/>
    <n v="55.2"/>
    <n v="386.40000000000003"/>
    <d v="2025-01-10T00:00:00"/>
    <d v="2025-01-11T00:00:00"/>
    <x v="1"/>
    <s v="Target.com"/>
    <n v="4"/>
    <s v="California"/>
    <s v="Santa Clara County"/>
    <n v="1"/>
    <n v="2"/>
    <x v="1"/>
  </r>
  <r>
    <x v="230"/>
    <x v="6"/>
    <n v="1"/>
    <n v="62"/>
    <n v="62"/>
    <d v="2025-01-10T00:00:00"/>
    <d v="2025-01-14T00:00:00"/>
    <x v="2"/>
    <s v="App"/>
    <n v="4"/>
    <s v="California"/>
    <s v="Santa Clara County"/>
    <n v="4"/>
    <n v="2"/>
    <x v="2"/>
  </r>
  <r>
    <x v="231"/>
    <x v="7"/>
    <n v="3"/>
    <n v="45.9"/>
    <n v="137.69999999999999"/>
    <d v="2025-01-10T00:00:00"/>
    <d v="2025-01-11T00:00:00"/>
    <x v="2"/>
    <s v="Target.com"/>
    <n v="4"/>
    <s v="California"/>
    <s v="Santa Cruz County"/>
    <n v="1"/>
    <n v="2"/>
    <x v="2"/>
  </r>
  <r>
    <x v="232"/>
    <x v="18"/>
    <n v="3"/>
    <n v="58.3"/>
    <n v="174.89999999999998"/>
    <d v="2025-01-10T00:00:00"/>
    <d v="2025-01-10T00:00:00"/>
    <x v="1"/>
    <s v="Website"/>
    <n v="3"/>
    <s v="California"/>
    <s v="Sonoma County"/>
    <n v="0"/>
    <n v="2"/>
    <x v="1"/>
  </r>
  <r>
    <x v="233"/>
    <x v="8"/>
    <n v="2"/>
    <n v="22.3"/>
    <n v="44.6"/>
    <d v="2025-01-10T00:00:00"/>
    <d v="2025-01-13T00:00:00"/>
    <x v="2"/>
    <s v="App"/>
    <n v="5"/>
    <s v="California"/>
    <s v="Tulare County"/>
    <n v="3"/>
    <n v="2"/>
    <x v="2"/>
  </r>
  <r>
    <x v="234"/>
    <x v="19"/>
    <n v="5"/>
    <n v="24"/>
    <n v="120"/>
    <d v="2025-01-10T00:00:00"/>
    <d v="2025-01-11T00:00:00"/>
    <x v="1"/>
    <s v="Partner App"/>
    <n v="4"/>
    <s v="California"/>
    <s v="Contra Costa County"/>
    <n v="1"/>
    <n v="2"/>
    <x v="1"/>
  </r>
  <r>
    <x v="235"/>
    <x v="0"/>
    <n v="10"/>
    <n v="21.3"/>
    <n v="213"/>
    <d v="2025-01-10T00:00:00"/>
    <d v="2025-01-10T00:00:00"/>
    <x v="2"/>
    <s v="Website"/>
    <n v="5"/>
    <s v="California"/>
    <s v="Kern County"/>
    <n v="0"/>
    <n v="2"/>
    <x v="2"/>
  </r>
  <r>
    <x v="236"/>
    <x v="6"/>
    <n v="41"/>
    <n v="57.8"/>
    <n v="2369.7999999999997"/>
    <d v="2025-01-10T00:00:00"/>
    <d v="2025-01-12T00:00:00"/>
    <x v="2"/>
    <s v="App"/>
    <n v="5"/>
    <s v="California"/>
    <s v="Los Angeles County"/>
    <n v="2"/>
    <n v="2"/>
    <x v="2"/>
  </r>
  <r>
    <x v="237"/>
    <x v="10"/>
    <n v="3"/>
    <n v="67.599999999999994"/>
    <n v="202.79999999999998"/>
    <d v="2025-01-10T00:00:00"/>
    <d v="2025-01-11T00:00:00"/>
    <x v="2"/>
    <s v="App"/>
    <n v="4"/>
    <s v="California"/>
    <s v="Los Angeles County"/>
    <n v="1"/>
    <n v="2"/>
    <x v="2"/>
  </r>
  <r>
    <x v="238"/>
    <x v="6"/>
    <n v="6"/>
    <n v="66.7"/>
    <n v="400.20000000000005"/>
    <d v="2025-01-10T00:00:00"/>
    <d v="2025-01-14T00:00:00"/>
    <x v="1"/>
    <s v="Partner App"/>
    <n v="3"/>
    <s v="California"/>
    <s v="Los Angeles County"/>
    <n v="4"/>
    <n v="2"/>
    <x v="1"/>
  </r>
  <r>
    <x v="239"/>
    <x v="1"/>
    <n v="4"/>
    <n v="53.1"/>
    <n v="212.4"/>
    <d v="2025-01-10T00:00:00"/>
    <d v="2025-01-12T00:00:00"/>
    <x v="2"/>
    <s v="Website"/>
    <n v="4"/>
    <s v="California"/>
    <s v="Los Angeles County"/>
    <n v="2"/>
    <n v="2"/>
    <x v="2"/>
  </r>
  <r>
    <x v="240"/>
    <x v="12"/>
    <n v="3"/>
    <n v="57.4"/>
    <n v="172.2"/>
    <d v="2025-01-10T00:00:00"/>
    <d v="2025-01-13T00:00:00"/>
    <x v="2"/>
    <s v="App"/>
    <n v="5"/>
    <s v="California"/>
    <s v="Mendocino County"/>
    <n v="3"/>
    <n v="2"/>
    <x v="2"/>
  </r>
  <r>
    <x v="241"/>
    <x v="2"/>
    <n v="5"/>
    <n v="58.1"/>
    <n v="290.5"/>
    <d v="2025-01-10T00:00:00"/>
    <d v="2025-01-10T00:00:00"/>
    <x v="1"/>
    <s v="Target.com"/>
    <n v="5"/>
    <s v="California"/>
    <s v="Sacramento County"/>
    <n v="0"/>
    <n v="2"/>
    <x v="1"/>
  </r>
  <r>
    <x v="242"/>
    <x v="5"/>
    <n v="3"/>
    <n v="31.8"/>
    <n v="95.4"/>
    <d v="2025-01-11T00:00:00"/>
    <d v="2025-01-13T00:00:00"/>
    <x v="1"/>
    <s v="Instagram"/>
    <n v="4"/>
    <s v="California"/>
    <s v="Sacramento County"/>
    <n v="2"/>
    <n v="2"/>
    <x v="1"/>
  </r>
  <r>
    <x v="243"/>
    <x v="4"/>
    <n v="3"/>
    <n v="31.5"/>
    <n v="94.5"/>
    <d v="2025-01-11T00:00:00"/>
    <d v="2025-01-14T00:00:00"/>
    <x v="1"/>
    <s v="App"/>
    <n v="3"/>
    <s v="California"/>
    <s v="San Diego County"/>
    <n v="3"/>
    <n v="2"/>
    <x v="1"/>
  </r>
  <r>
    <x v="244"/>
    <x v="6"/>
    <n v="7"/>
    <n v="55.9"/>
    <n v="391.3"/>
    <d v="2025-01-11T00:00:00"/>
    <d v="2025-01-15T00:00:00"/>
    <x v="2"/>
    <s v="Website"/>
    <n v="5"/>
    <s v="California"/>
    <s v="San Diego County"/>
    <n v="4"/>
    <n v="2"/>
    <x v="2"/>
  </r>
  <r>
    <x v="245"/>
    <x v="8"/>
    <n v="2"/>
    <n v="36.4"/>
    <n v="72.8"/>
    <d v="2025-01-11T00:00:00"/>
    <d v="2025-01-12T00:00:00"/>
    <x v="1"/>
    <s v="Website"/>
    <n v="3"/>
    <s v="California"/>
    <s v="San Mateo County"/>
    <n v="1"/>
    <n v="2"/>
    <x v="1"/>
  </r>
  <r>
    <x v="246"/>
    <x v="1"/>
    <n v="5"/>
    <n v="47.3"/>
    <n v="236.5"/>
    <d v="2025-01-11T00:00:00"/>
    <d v="2025-01-14T00:00:00"/>
    <x v="1"/>
    <s v="Target.com"/>
    <n v="4"/>
    <s v="California"/>
    <s v="Santa Barbara County"/>
    <n v="3"/>
    <n v="2"/>
    <x v="1"/>
  </r>
  <r>
    <x v="247"/>
    <x v="6"/>
    <n v="3"/>
    <n v="82.5"/>
    <n v="247.5"/>
    <d v="2025-01-11T00:00:00"/>
    <d v="2025-01-12T00:00:00"/>
    <x v="1"/>
    <s v="App"/>
    <n v="4"/>
    <s v="California"/>
    <s v="Santa Clara County"/>
    <n v="1"/>
    <n v="2"/>
    <x v="1"/>
  </r>
  <r>
    <x v="248"/>
    <x v="0"/>
    <n v="1"/>
    <n v="14.3"/>
    <n v="14.3"/>
    <d v="2025-01-11T00:00:00"/>
    <d v="2025-01-12T00:00:00"/>
    <x v="2"/>
    <s v="App"/>
    <n v="4"/>
    <s v="California"/>
    <s v="Alameda County"/>
    <n v="1"/>
    <n v="2"/>
    <x v="2"/>
  </r>
  <r>
    <x v="249"/>
    <x v="2"/>
    <n v="6"/>
    <n v="57.6"/>
    <n v="345.6"/>
    <d v="2025-01-11T00:00:00"/>
    <d v="2025-01-25T00:00:00"/>
    <x v="2"/>
    <s v="App"/>
    <n v="4"/>
    <s v="California"/>
    <s v="Alameda County"/>
    <n v="14"/>
    <n v="2"/>
    <x v="2"/>
  </r>
  <r>
    <x v="250"/>
    <x v="2"/>
    <n v="3"/>
    <n v="142.4"/>
    <n v="427.20000000000005"/>
    <d v="2025-01-11T00:00:00"/>
    <d v="2025-01-13T00:00:00"/>
    <x v="1"/>
    <s v="Partner App"/>
    <n v="3"/>
    <s v="California"/>
    <s v="Alameda County"/>
    <n v="2"/>
    <n v="2"/>
    <x v="1"/>
  </r>
  <r>
    <x v="251"/>
    <x v="12"/>
    <n v="1"/>
    <n v="30.2"/>
    <n v="30.2"/>
    <d v="2025-01-11T00:00:00"/>
    <d v="2025-01-15T00:00:00"/>
    <x v="1"/>
    <s v="Website"/>
    <n v="5"/>
    <s v="California"/>
    <s v="Fresno County"/>
    <n v="4"/>
    <n v="2"/>
    <x v="1"/>
  </r>
  <r>
    <x v="252"/>
    <x v="18"/>
    <n v="3"/>
    <n v="65.3"/>
    <n v="195.89999999999998"/>
    <d v="2025-01-11T00:00:00"/>
    <d v="2025-01-12T00:00:00"/>
    <x v="3"/>
    <s v="Website"/>
    <n v="4"/>
    <s v="California"/>
    <s v="Imperial County"/>
    <n v="1"/>
    <n v="2"/>
    <x v="3"/>
  </r>
  <r>
    <x v="253"/>
    <x v="0"/>
    <n v="2"/>
    <n v="33.4"/>
    <n v="66.8"/>
    <d v="2025-01-11T00:00:00"/>
    <d v="2025-01-12T00:00:00"/>
    <x v="1"/>
    <s v="Website"/>
    <n v="3"/>
    <s v="California"/>
    <s v="Kern County"/>
    <n v="1"/>
    <n v="2"/>
    <x v="1"/>
  </r>
  <r>
    <x v="254"/>
    <x v="7"/>
    <n v="2"/>
    <n v="45.1"/>
    <n v="90.2"/>
    <d v="2025-01-11T00:00:00"/>
    <d v="2025-01-19T00:00:00"/>
    <x v="1"/>
    <s v="App"/>
    <n v="4"/>
    <s v="California"/>
    <s v="Kings County"/>
    <n v="8"/>
    <n v="2"/>
    <x v="1"/>
  </r>
  <r>
    <x v="255"/>
    <x v="2"/>
    <n v="7"/>
    <n v="61.7"/>
    <n v="431.90000000000003"/>
    <d v="2025-01-11T00:00:00"/>
    <d v="2025-01-13T00:00:00"/>
    <x v="2"/>
    <s v="Partner App"/>
    <n v="4"/>
    <s v="California"/>
    <s v="Los Angeles County"/>
    <n v="2"/>
    <n v="2"/>
    <x v="2"/>
  </r>
  <r>
    <x v="256"/>
    <x v="9"/>
    <n v="3"/>
    <n v="45.1"/>
    <n v="135.30000000000001"/>
    <d v="2025-01-12T00:00:00"/>
    <d v="2025-01-13T00:00:00"/>
    <x v="1"/>
    <s v="Partner App"/>
    <n v="3"/>
    <s v="California"/>
    <s v="Los Angeles County"/>
    <n v="1"/>
    <n v="3"/>
    <x v="1"/>
  </r>
  <r>
    <x v="257"/>
    <x v="15"/>
    <n v="5"/>
    <n v="22.7"/>
    <n v="113.5"/>
    <d v="2025-01-12T00:00:00"/>
    <d v="2025-01-17T00:00:00"/>
    <x v="1"/>
    <s v="App"/>
    <n v="5"/>
    <s v="California"/>
    <s v="Plumas County"/>
    <n v="5"/>
    <n v="3"/>
    <x v="1"/>
  </r>
  <r>
    <x v="258"/>
    <x v="8"/>
    <n v="1"/>
    <n v="17.600000000000001"/>
    <n v="17.600000000000001"/>
    <d v="2025-01-12T00:00:00"/>
    <d v="2025-01-13T00:00:00"/>
    <x v="2"/>
    <s v="App"/>
    <n v="5"/>
    <s v="California"/>
    <s v="Riverside County"/>
    <n v="1"/>
    <n v="3"/>
    <x v="2"/>
  </r>
  <r>
    <x v="259"/>
    <x v="14"/>
    <n v="2"/>
    <n v="11.3"/>
    <n v="22.6"/>
    <d v="2025-01-12T00:00:00"/>
    <d v="2025-01-15T00:00:00"/>
    <x v="2"/>
    <s v="Instagram"/>
    <n v="5"/>
    <s v="California"/>
    <s v="Riverside County"/>
    <n v="3"/>
    <n v="3"/>
    <x v="2"/>
  </r>
  <r>
    <x v="260"/>
    <x v="6"/>
    <n v="3"/>
    <n v="53.4"/>
    <n v="160.19999999999999"/>
    <d v="2025-01-12T00:00:00"/>
    <d v="2025-01-15T00:00:00"/>
    <x v="1"/>
    <s v="Instagram"/>
    <n v="5"/>
    <s v="California"/>
    <s v="San Benito County"/>
    <n v="3"/>
    <n v="3"/>
    <x v="1"/>
  </r>
  <r>
    <x v="261"/>
    <x v="6"/>
    <n v="11"/>
    <n v="51.1"/>
    <n v="562.1"/>
    <d v="2025-01-12T00:00:00"/>
    <d v="2025-01-14T00:00:00"/>
    <x v="2"/>
    <s v="Target.com"/>
    <n v="5"/>
    <s v="California"/>
    <s v="San Diego County"/>
    <n v="2"/>
    <n v="3"/>
    <x v="2"/>
  </r>
  <r>
    <x v="262"/>
    <x v="8"/>
    <n v="2"/>
    <n v="27.5"/>
    <n v="55"/>
    <d v="2025-01-12T00:00:00"/>
    <d v="2025-01-13T00:00:00"/>
    <x v="1"/>
    <s v="Partner App"/>
    <n v="3"/>
    <s v="California"/>
    <s v="San Diego County"/>
    <n v="1"/>
    <n v="3"/>
    <x v="1"/>
  </r>
  <r>
    <x v="263"/>
    <x v="9"/>
    <n v="1"/>
    <n v="33.5"/>
    <n v="33.5"/>
    <d v="2025-01-12T00:00:00"/>
    <d v="2025-01-14T00:00:00"/>
    <x v="2"/>
    <s v="App"/>
    <n v="2"/>
    <s v="California"/>
    <s v="San Diego County"/>
    <n v="2"/>
    <n v="3"/>
    <x v="2"/>
  </r>
  <r>
    <x v="264"/>
    <x v="4"/>
    <n v="1"/>
    <n v="59.5"/>
    <n v="59.5"/>
    <d v="2025-01-12T00:00:00"/>
    <d v="2025-01-12T00:00:00"/>
    <x v="1"/>
    <s v="App"/>
    <n v="5"/>
    <s v="California"/>
    <s v="Sonoma County"/>
    <n v="0"/>
    <n v="3"/>
    <x v="1"/>
  </r>
  <r>
    <x v="265"/>
    <x v="17"/>
    <n v="4"/>
    <n v="23.5"/>
    <n v="94"/>
    <d v="2025-01-12T00:00:00"/>
    <d v="2025-01-13T00:00:00"/>
    <x v="2"/>
    <s v="Instagram"/>
    <n v="1"/>
    <s v="California"/>
    <s v="Stanislaus County"/>
    <n v="1"/>
    <n v="3"/>
    <x v="2"/>
  </r>
  <r>
    <x v="266"/>
    <x v="6"/>
    <n v="1"/>
    <n v="49.7"/>
    <n v="49.7"/>
    <d v="2025-01-12T00:00:00"/>
    <d v="2025-01-13T00:00:00"/>
    <x v="0"/>
    <s v="Website"/>
    <n v="5"/>
    <s v="California"/>
    <s v="Tulare County"/>
    <n v="1"/>
    <n v="3"/>
    <x v="0"/>
  </r>
  <r>
    <x v="267"/>
    <x v="6"/>
    <n v="4"/>
    <n v="44.2"/>
    <n v="176.8"/>
    <d v="2025-01-12T00:00:00"/>
    <d v="2025-01-15T00:00:00"/>
    <x v="2"/>
    <s v="App"/>
    <n v="5"/>
    <s v="California"/>
    <s v="Alameda County"/>
    <n v="3"/>
    <n v="3"/>
    <x v="2"/>
  </r>
  <r>
    <x v="268"/>
    <x v="8"/>
    <n v="1"/>
    <n v="22.1"/>
    <n v="22.1"/>
    <d v="2025-01-12T00:00:00"/>
    <d v="2025-01-16T00:00:00"/>
    <x v="2"/>
    <s v="Website"/>
    <n v="3"/>
    <s v="California"/>
    <s v="Imperial County"/>
    <n v="4"/>
    <n v="3"/>
    <x v="2"/>
  </r>
  <r>
    <x v="269"/>
    <x v="6"/>
    <n v="3"/>
    <n v="90.9"/>
    <n v="272.70000000000005"/>
    <d v="2025-01-12T00:00:00"/>
    <d v="2025-01-13T00:00:00"/>
    <x v="2"/>
    <s v="Target.com"/>
    <n v="2"/>
    <s v="California"/>
    <s v="Los Angeles County"/>
    <n v="1"/>
    <n v="3"/>
    <x v="2"/>
  </r>
  <r>
    <x v="270"/>
    <x v="8"/>
    <n v="3"/>
    <n v="44.5"/>
    <n v="133.5"/>
    <d v="2025-01-12T00:00:00"/>
    <d v="2025-01-13T00:00:00"/>
    <x v="2"/>
    <s v="Website"/>
    <n v="4"/>
    <s v="California"/>
    <s v="Los Angeles County"/>
    <n v="1"/>
    <n v="3"/>
    <x v="2"/>
  </r>
  <r>
    <x v="271"/>
    <x v="9"/>
    <n v="6"/>
    <n v="32.299999999999997"/>
    <n v="193.79999999999998"/>
    <d v="2025-01-12T00:00:00"/>
    <d v="2025-01-16T00:00:00"/>
    <x v="2"/>
    <s v="App"/>
    <n v="4"/>
    <s v="California"/>
    <s v="Los Angeles County"/>
    <n v="4"/>
    <n v="3"/>
    <x v="2"/>
  </r>
  <r>
    <x v="272"/>
    <x v="17"/>
    <n v="3"/>
    <n v="87.5"/>
    <n v="262.5"/>
    <d v="2025-01-12T00:00:00"/>
    <d v="2025-01-13T00:00:00"/>
    <x v="2"/>
    <s v="Website"/>
    <n v="3"/>
    <s v="California"/>
    <s v="Los Angeles County"/>
    <n v="1"/>
    <n v="3"/>
    <x v="2"/>
  </r>
  <r>
    <x v="273"/>
    <x v="16"/>
    <n v="5"/>
    <n v="48.7"/>
    <n v="243.5"/>
    <d v="2025-01-12T00:00:00"/>
    <d v="2025-01-13T00:00:00"/>
    <x v="1"/>
    <s v="Target.com"/>
    <n v="4"/>
    <s v="California"/>
    <s v="Los Angeles County"/>
    <n v="1"/>
    <n v="3"/>
    <x v="1"/>
  </r>
  <r>
    <x v="274"/>
    <x v="0"/>
    <n v="5"/>
    <n v="22.5"/>
    <n v="112.5"/>
    <d v="2025-01-12T00:00:00"/>
    <d v="2025-01-13T00:00:00"/>
    <x v="1"/>
    <s v="App"/>
    <n v="4"/>
    <s v="California"/>
    <s v="Los Angeles County"/>
    <n v="1"/>
    <n v="3"/>
    <x v="1"/>
  </r>
  <r>
    <x v="275"/>
    <x v="1"/>
    <n v="8"/>
    <n v="65.900000000000006"/>
    <n v="527.20000000000005"/>
    <d v="2025-01-12T00:00:00"/>
    <d v="2025-01-15T00:00:00"/>
    <x v="2"/>
    <s v="Website"/>
    <n v="5"/>
    <s v="California"/>
    <s v="Los Angeles County"/>
    <n v="3"/>
    <n v="3"/>
    <x v="2"/>
  </r>
  <r>
    <x v="276"/>
    <x v="6"/>
    <n v="5"/>
    <n v="41.9"/>
    <n v="209.5"/>
    <d v="2025-01-12T00:00:00"/>
    <d v="2025-01-19T00:00:00"/>
    <x v="0"/>
    <s v="App"/>
    <n v="4"/>
    <s v="California"/>
    <s v="Los Angeles County"/>
    <n v="7"/>
    <n v="3"/>
    <x v="0"/>
  </r>
  <r>
    <x v="277"/>
    <x v="1"/>
    <n v="5"/>
    <n v="67.5"/>
    <n v="337.5"/>
    <d v="2025-01-12T00:00:00"/>
    <d v="2025-01-13T00:00:00"/>
    <x v="2"/>
    <s v="App"/>
    <n v="5"/>
    <s v="California"/>
    <s v="Los Angeles County"/>
    <n v="1"/>
    <n v="3"/>
    <x v="2"/>
  </r>
  <r>
    <x v="278"/>
    <x v="9"/>
    <n v="1"/>
    <n v="60.4"/>
    <n v="60.4"/>
    <d v="2025-01-13T00:00:00"/>
    <d v="2025-01-15T00:00:00"/>
    <x v="2"/>
    <s v="Website"/>
    <n v="3"/>
    <s v="California"/>
    <s v="Los Angeles County"/>
    <n v="2"/>
    <n v="3"/>
    <x v="2"/>
  </r>
  <r>
    <x v="279"/>
    <x v="1"/>
    <n v="7"/>
    <n v="30.4"/>
    <n v="212.79999999999998"/>
    <d v="2025-01-13T00:00:00"/>
    <d v="2025-01-16T00:00:00"/>
    <x v="2"/>
    <s v="Partner App"/>
    <n v="4"/>
    <s v="California"/>
    <s v="Los Angeles County"/>
    <n v="3"/>
    <n v="3"/>
    <x v="2"/>
  </r>
  <r>
    <x v="280"/>
    <x v="14"/>
    <n v="2"/>
    <n v="24.5"/>
    <n v="49"/>
    <d v="2025-01-13T00:00:00"/>
    <d v="2025-01-14T00:00:00"/>
    <x v="1"/>
    <s v="Instagram"/>
    <n v="5"/>
    <s v="California"/>
    <s v="Los Angeles County"/>
    <n v="1"/>
    <n v="3"/>
    <x v="1"/>
  </r>
  <r>
    <x v="281"/>
    <x v="2"/>
    <n v="3"/>
    <n v="105.9"/>
    <n v="317.70000000000005"/>
    <d v="2025-01-13T00:00:00"/>
    <d v="2025-01-18T00:00:00"/>
    <x v="1"/>
    <s v="App"/>
    <n v="4"/>
    <s v="California"/>
    <s v="Madera County"/>
    <n v="5"/>
    <n v="3"/>
    <x v="1"/>
  </r>
  <r>
    <x v="282"/>
    <x v="10"/>
    <n v="24"/>
    <n v="25.9"/>
    <n v="621.59999999999991"/>
    <d v="2025-01-13T00:00:00"/>
    <d v="2025-01-14T00:00:00"/>
    <x v="2"/>
    <s v="Partner App"/>
    <n v="4"/>
    <s v="California"/>
    <s v="Riverside County"/>
    <n v="1"/>
    <n v="3"/>
    <x v="2"/>
  </r>
  <r>
    <x v="283"/>
    <x v="6"/>
    <n v="3"/>
    <n v="66.8"/>
    <n v="200.39999999999998"/>
    <d v="2025-01-13T00:00:00"/>
    <d v="2025-01-13T00:00:00"/>
    <x v="1"/>
    <s v="App"/>
    <n v="4"/>
    <s v="California"/>
    <s v="Riverside County"/>
    <n v="0"/>
    <n v="3"/>
    <x v="1"/>
  </r>
  <r>
    <x v="284"/>
    <x v="6"/>
    <n v="3"/>
    <n v="112.3"/>
    <n v="336.9"/>
    <d v="2025-01-13T00:00:00"/>
    <d v="2025-01-14T00:00:00"/>
    <x v="1"/>
    <s v="Target.com"/>
    <n v="2"/>
    <s v="California"/>
    <s v="Sacramento County"/>
    <n v="1"/>
    <n v="3"/>
    <x v="1"/>
  </r>
  <r>
    <x v="285"/>
    <x v="1"/>
    <n v="6"/>
    <n v="94.1"/>
    <n v="564.59999999999991"/>
    <d v="2025-01-13T00:00:00"/>
    <d v="2025-01-14T00:00:00"/>
    <x v="2"/>
    <s v="App"/>
    <n v="2"/>
    <s v="California"/>
    <s v="Sacramento County"/>
    <n v="1"/>
    <n v="3"/>
    <x v="2"/>
  </r>
  <r>
    <x v="286"/>
    <x v="5"/>
    <n v="1"/>
    <n v="40.700000000000003"/>
    <n v="40.700000000000003"/>
    <d v="2025-01-13T00:00:00"/>
    <d v="2025-01-16T00:00:00"/>
    <x v="2"/>
    <s v="Target.com"/>
    <n v="4"/>
    <s v="California"/>
    <s v="Sacramento County"/>
    <n v="3"/>
    <n v="3"/>
    <x v="2"/>
  </r>
  <r>
    <x v="287"/>
    <x v="3"/>
    <n v="2"/>
    <n v="71.400000000000006"/>
    <n v="142.80000000000001"/>
    <d v="2025-01-13T00:00:00"/>
    <d v="2025-01-14T00:00:00"/>
    <x v="1"/>
    <s v="App"/>
    <n v="4"/>
    <s v="California"/>
    <s v="San Bernardino County"/>
    <n v="1"/>
    <n v="3"/>
    <x v="1"/>
  </r>
  <r>
    <x v="288"/>
    <x v="0"/>
    <n v="18"/>
    <n v="15.6"/>
    <n v="280.8"/>
    <d v="2025-01-13T00:00:00"/>
    <d v="2025-01-14T00:00:00"/>
    <x v="1"/>
    <s v="Website"/>
    <n v="1"/>
    <s v="California"/>
    <s v="San Diego County"/>
    <n v="1"/>
    <n v="3"/>
    <x v="1"/>
  </r>
  <r>
    <x v="289"/>
    <x v="10"/>
    <n v="4"/>
    <n v="37.799999999999997"/>
    <n v="151.19999999999999"/>
    <d v="2025-01-13T00:00:00"/>
    <d v="2025-01-14T00:00:00"/>
    <x v="1"/>
    <s v="Target.com"/>
    <n v="5"/>
    <s v="California"/>
    <s v="San Diego County"/>
    <n v="1"/>
    <n v="3"/>
    <x v="1"/>
  </r>
  <r>
    <x v="290"/>
    <x v="4"/>
    <n v="3"/>
    <n v="28.1"/>
    <n v="84.300000000000011"/>
    <d v="2025-01-13T00:00:00"/>
    <d v="2025-01-17T00:00:00"/>
    <x v="1"/>
    <s v="App"/>
    <n v="4"/>
    <s v="California"/>
    <s v="San Diego County"/>
    <n v="4"/>
    <n v="3"/>
    <x v="1"/>
  </r>
  <r>
    <x v="291"/>
    <x v="7"/>
    <n v="6"/>
    <n v="51.4"/>
    <n v="308.39999999999998"/>
    <d v="2025-01-13T00:00:00"/>
    <d v="2025-01-17T00:00:00"/>
    <x v="1"/>
    <s v="App"/>
    <n v="4"/>
    <s v="California"/>
    <s v="San Diego County"/>
    <n v="4"/>
    <n v="3"/>
    <x v="1"/>
  </r>
  <r>
    <x v="292"/>
    <x v="7"/>
    <n v="2"/>
    <n v="97.7"/>
    <n v="195.4"/>
    <d v="2025-01-13T00:00:00"/>
    <d v="2025-01-15T00:00:00"/>
    <x v="2"/>
    <s v="Partner App"/>
    <n v="5"/>
    <s v="California"/>
    <s v="San Francisco"/>
    <n v="2"/>
    <n v="3"/>
    <x v="2"/>
  </r>
  <r>
    <x v="293"/>
    <x v="1"/>
    <n v="4"/>
    <n v="63.8"/>
    <n v="255.2"/>
    <d v="2025-01-13T00:00:00"/>
    <d v="2025-01-14T00:00:00"/>
    <x v="1"/>
    <s v="Target.com"/>
    <n v="4"/>
    <s v="California"/>
    <s v="Solano County"/>
    <n v="1"/>
    <n v="3"/>
    <x v="1"/>
  </r>
  <r>
    <x v="294"/>
    <x v="13"/>
    <n v="2"/>
    <n v="20.100000000000001"/>
    <n v="40.200000000000003"/>
    <d v="2025-01-13T00:00:00"/>
    <d v="2025-01-15T00:00:00"/>
    <x v="1"/>
    <s v="App"/>
    <n v="5"/>
    <s v="California"/>
    <s v="Tulare County"/>
    <n v="2"/>
    <n v="3"/>
    <x v="1"/>
  </r>
  <r>
    <x v="295"/>
    <x v="11"/>
    <n v="3"/>
    <n v="50.4"/>
    <n v="151.19999999999999"/>
    <d v="2025-01-13T00:00:00"/>
    <d v="2025-01-16T00:00:00"/>
    <x v="2"/>
    <s v="Instagram"/>
    <n v="4"/>
    <s v="California"/>
    <s v="Ventura County"/>
    <n v="3"/>
    <n v="3"/>
    <x v="2"/>
  </r>
  <r>
    <x v="296"/>
    <x v="0"/>
    <n v="1"/>
    <n v="16.2"/>
    <n v="16.2"/>
    <d v="2025-01-13T00:00:00"/>
    <d v="2025-01-26T00:00:00"/>
    <x v="2"/>
    <s v="Website"/>
    <n v="4"/>
    <s v="California"/>
    <s v="Contra Costa County"/>
    <n v="13"/>
    <n v="3"/>
    <x v="2"/>
  </r>
  <r>
    <x v="297"/>
    <x v="6"/>
    <n v="7"/>
    <n v="80.900000000000006"/>
    <n v="566.30000000000007"/>
    <d v="2025-01-13T00:00:00"/>
    <d v="2025-01-15T00:00:00"/>
    <x v="1"/>
    <s v="Partner App"/>
    <n v="2"/>
    <s v="California"/>
    <s v="Fresno County"/>
    <n v="2"/>
    <n v="3"/>
    <x v="1"/>
  </r>
  <r>
    <x v="298"/>
    <x v="9"/>
    <n v="6"/>
    <n v="95.2"/>
    <n v="571.20000000000005"/>
    <d v="2025-01-13T00:00:00"/>
    <d v="2025-01-15T00:00:00"/>
    <x v="2"/>
    <s v="App"/>
    <n v="5"/>
    <s v="California"/>
    <s v="Fresno County"/>
    <n v="2"/>
    <n v="3"/>
    <x v="2"/>
  </r>
  <r>
    <x v="299"/>
    <x v="5"/>
    <n v="8"/>
    <n v="70.400000000000006"/>
    <n v="563.20000000000005"/>
    <d v="2025-01-13T00:00:00"/>
    <d v="2025-01-14T00:00:00"/>
    <x v="1"/>
    <s v="Website"/>
    <n v="3"/>
    <s v="California"/>
    <s v="Los Angeles County"/>
    <n v="1"/>
    <n v="3"/>
    <x v="1"/>
  </r>
  <r>
    <x v="300"/>
    <x v="0"/>
    <n v="5"/>
    <n v="10.7"/>
    <n v="53.5"/>
    <d v="2025-01-13T00:00:00"/>
    <d v="2025-01-17T00:00:00"/>
    <x v="2"/>
    <s v="Target.com"/>
    <n v="4"/>
    <s v="California"/>
    <s v="Los Angeles County"/>
    <n v="4"/>
    <n v="3"/>
    <x v="2"/>
  </r>
  <r>
    <x v="301"/>
    <x v="8"/>
    <n v="5"/>
    <n v="19.600000000000001"/>
    <n v="98"/>
    <d v="2025-01-13T00:00:00"/>
    <d v="2025-01-15T00:00:00"/>
    <x v="2"/>
    <s v="App"/>
    <n v="1"/>
    <s v="California"/>
    <s v="Los Angeles County"/>
    <n v="2"/>
    <n v="3"/>
    <x v="2"/>
  </r>
  <r>
    <x v="302"/>
    <x v="8"/>
    <n v="11"/>
    <n v="34.700000000000003"/>
    <n v="381.70000000000005"/>
    <d v="2025-01-13T00:00:00"/>
    <d v="2025-01-15T00:00:00"/>
    <x v="2"/>
    <s v="App"/>
    <n v="5"/>
    <s v="California"/>
    <s v="Los Angeles County"/>
    <n v="2"/>
    <n v="3"/>
    <x v="2"/>
  </r>
  <r>
    <x v="303"/>
    <x v="10"/>
    <n v="9"/>
    <n v="34.1"/>
    <n v="306.90000000000003"/>
    <d v="2025-01-13T00:00:00"/>
    <d v="2025-01-14T00:00:00"/>
    <x v="2"/>
    <s v="Partner App"/>
    <n v="3"/>
    <s v="California"/>
    <s v="Los Angeles County"/>
    <n v="1"/>
    <n v="3"/>
    <x v="2"/>
  </r>
  <r>
    <x v="304"/>
    <x v="0"/>
    <n v="49"/>
    <n v="29.3"/>
    <n v="1435.7"/>
    <d v="2025-01-13T00:00:00"/>
    <d v="2025-01-13T00:00:00"/>
    <x v="1"/>
    <s v="App"/>
    <n v="3"/>
    <s v="California"/>
    <s v="Los Angeles County"/>
    <n v="0"/>
    <n v="3"/>
    <x v="1"/>
  </r>
  <r>
    <x v="305"/>
    <x v="1"/>
    <n v="1"/>
    <n v="55.2"/>
    <n v="55.2"/>
    <d v="2025-01-13T00:00:00"/>
    <d v="2025-01-14T00:00:00"/>
    <x v="2"/>
    <s v="App"/>
    <n v="3"/>
    <s v="California"/>
    <s v="Los Angeles County"/>
    <n v="1"/>
    <n v="3"/>
    <x v="2"/>
  </r>
  <r>
    <x v="306"/>
    <x v="18"/>
    <n v="3"/>
    <n v="26"/>
    <n v="78"/>
    <d v="2025-01-13T00:00:00"/>
    <d v="2025-01-16T00:00:00"/>
    <x v="2"/>
    <s v="App"/>
    <n v="5"/>
    <s v="California"/>
    <s v="Los Angeles County"/>
    <n v="3"/>
    <n v="3"/>
    <x v="2"/>
  </r>
  <r>
    <x v="307"/>
    <x v="14"/>
    <n v="2"/>
    <n v="14.2"/>
    <n v="28.4"/>
    <d v="2025-01-13T00:00:00"/>
    <d v="2025-01-18T00:00:00"/>
    <x v="2"/>
    <s v="Instagram"/>
    <n v="4"/>
    <s v="California"/>
    <s v="Modoc County"/>
    <n v="5"/>
    <n v="3"/>
    <x v="2"/>
  </r>
  <r>
    <x v="308"/>
    <x v="8"/>
    <n v="9"/>
    <n v="22.7"/>
    <n v="204.29999999999998"/>
    <d v="2025-01-14T00:00:00"/>
    <d v="2025-01-15T00:00:00"/>
    <x v="1"/>
    <s v="Website"/>
    <n v="4"/>
    <s v="California"/>
    <s v="Sacramento County"/>
    <n v="1"/>
    <n v="3"/>
    <x v="1"/>
  </r>
  <r>
    <x v="309"/>
    <x v="0"/>
    <n v="15"/>
    <n v="19.8"/>
    <n v="297"/>
    <d v="2025-01-14T00:00:00"/>
    <d v="2025-01-14T00:00:00"/>
    <x v="2"/>
    <s v="App"/>
    <n v="5"/>
    <s v="California"/>
    <s v="Sacramento County"/>
    <n v="0"/>
    <n v="3"/>
    <x v="2"/>
  </r>
  <r>
    <x v="310"/>
    <x v="0"/>
    <n v="3"/>
    <n v="31.7"/>
    <n v="95.1"/>
    <d v="2025-01-14T00:00:00"/>
    <d v="2025-01-15T00:00:00"/>
    <x v="1"/>
    <s v="Target.com"/>
    <n v="4"/>
    <s v="California"/>
    <s v="Sacramento County"/>
    <n v="1"/>
    <n v="3"/>
    <x v="1"/>
  </r>
  <r>
    <x v="311"/>
    <x v="8"/>
    <n v="4"/>
    <n v="30.4"/>
    <n v="121.6"/>
    <d v="2025-01-14T00:00:00"/>
    <d v="2025-01-18T00:00:00"/>
    <x v="1"/>
    <s v="App"/>
    <n v="4"/>
    <s v="California"/>
    <s v="Sacramento County"/>
    <n v="4"/>
    <n v="3"/>
    <x v="1"/>
  </r>
  <r>
    <x v="312"/>
    <x v="0"/>
    <n v="4"/>
    <n v="25.6"/>
    <n v="102.4"/>
    <d v="2025-01-14T00:00:00"/>
    <d v="2025-01-15T00:00:00"/>
    <x v="1"/>
    <s v="Instagram"/>
    <n v="4"/>
    <s v="California"/>
    <s v="San Diego County"/>
    <n v="1"/>
    <n v="3"/>
    <x v="1"/>
  </r>
  <r>
    <x v="313"/>
    <x v="5"/>
    <n v="2"/>
    <n v="34.9"/>
    <n v="69.8"/>
    <d v="2025-01-14T00:00:00"/>
    <d v="2025-01-15T00:00:00"/>
    <x v="2"/>
    <s v="Target.com"/>
    <n v="4"/>
    <s v="California"/>
    <s v="San Mateo County"/>
    <n v="1"/>
    <n v="3"/>
    <x v="2"/>
  </r>
  <r>
    <x v="314"/>
    <x v="7"/>
    <n v="6"/>
    <n v="42.7"/>
    <n v="256.20000000000005"/>
    <d v="2025-01-14T00:00:00"/>
    <d v="2025-01-17T00:00:00"/>
    <x v="1"/>
    <s v="Target.com"/>
    <n v="3"/>
    <s v="California"/>
    <s v="Santa Clara County"/>
    <n v="3"/>
    <n v="3"/>
    <x v="1"/>
  </r>
  <r>
    <x v="315"/>
    <x v="8"/>
    <n v="1"/>
    <n v="23.9"/>
    <n v="23.9"/>
    <d v="2025-01-14T00:00:00"/>
    <d v="2025-01-16T00:00:00"/>
    <x v="2"/>
    <s v="Instagram"/>
    <n v="4"/>
    <s v="California"/>
    <s v="Santa Clara County"/>
    <n v="2"/>
    <n v="3"/>
    <x v="2"/>
  </r>
  <r>
    <x v="316"/>
    <x v="6"/>
    <n v="1"/>
    <n v="124.3"/>
    <n v="124.3"/>
    <d v="2025-01-14T00:00:00"/>
    <d v="2025-01-15T00:00:00"/>
    <x v="0"/>
    <s v="Target.com"/>
    <n v="3"/>
    <s v="California"/>
    <s v="Alameda County"/>
    <n v="1"/>
    <n v="3"/>
    <x v="0"/>
  </r>
  <r>
    <x v="317"/>
    <x v="8"/>
    <n v="6"/>
    <n v="35.9"/>
    <n v="215.39999999999998"/>
    <d v="2025-01-14T00:00:00"/>
    <d v="2025-01-15T00:00:00"/>
    <x v="2"/>
    <s v="App"/>
    <n v="3"/>
    <s v="California"/>
    <s v="Contra Costa County"/>
    <n v="1"/>
    <n v="3"/>
    <x v="2"/>
  </r>
  <r>
    <x v="318"/>
    <x v="2"/>
    <n v="2"/>
    <n v="69.099999999999994"/>
    <n v="138.19999999999999"/>
    <d v="2025-01-14T00:00:00"/>
    <d v="2025-01-17T00:00:00"/>
    <x v="2"/>
    <s v="App"/>
    <n v="5"/>
    <s v="California"/>
    <s v="Kern County"/>
    <n v="3"/>
    <n v="3"/>
    <x v="2"/>
  </r>
  <r>
    <x v="319"/>
    <x v="7"/>
    <n v="1"/>
    <n v="58.4"/>
    <n v="58.4"/>
    <d v="2025-01-14T00:00:00"/>
    <d v="2025-01-18T00:00:00"/>
    <x v="1"/>
    <s v="App"/>
    <n v="4"/>
    <s v="California"/>
    <s v="Kern County"/>
    <n v="4"/>
    <n v="3"/>
    <x v="1"/>
  </r>
  <r>
    <x v="320"/>
    <x v="5"/>
    <n v="1"/>
    <n v="65.2"/>
    <n v="65.2"/>
    <d v="2025-01-14T00:00:00"/>
    <d v="2025-01-16T00:00:00"/>
    <x v="3"/>
    <s v="Partner App"/>
    <n v="2"/>
    <s v="California"/>
    <s v="Los Angeles County"/>
    <n v="2"/>
    <n v="3"/>
    <x v="3"/>
  </r>
  <r>
    <x v="321"/>
    <x v="8"/>
    <n v="17"/>
    <n v="32.700000000000003"/>
    <n v="555.90000000000009"/>
    <d v="2025-01-14T00:00:00"/>
    <d v="2025-01-21T00:00:00"/>
    <x v="0"/>
    <s v="Partner App"/>
    <n v="4"/>
    <s v="California"/>
    <s v="Los Angeles County"/>
    <n v="7"/>
    <n v="3"/>
    <x v="0"/>
  </r>
  <r>
    <x v="322"/>
    <x v="10"/>
    <n v="7"/>
    <n v="24.4"/>
    <n v="170.79999999999998"/>
    <d v="2025-01-14T00:00:00"/>
    <d v="2025-01-15T00:00:00"/>
    <x v="2"/>
    <s v="App"/>
    <n v="4"/>
    <s v="California"/>
    <s v="Los Angeles County"/>
    <n v="1"/>
    <n v="3"/>
    <x v="2"/>
  </r>
  <r>
    <x v="323"/>
    <x v="14"/>
    <n v="2"/>
    <n v="50.4"/>
    <n v="100.8"/>
    <d v="2025-01-14T00:00:00"/>
    <d v="2025-01-20T00:00:00"/>
    <x v="1"/>
    <s v="App"/>
    <n v="3"/>
    <s v="California"/>
    <s v="Los Angeles County"/>
    <n v="6"/>
    <n v="3"/>
    <x v="1"/>
  </r>
  <r>
    <x v="324"/>
    <x v="1"/>
    <n v="2"/>
    <n v="100"/>
    <n v="200"/>
    <d v="2025-01-14T00:00:00"/>
    <d v="2025-01-15T00:00:00"/>
    <x v="2"/>
    <s v="App"/>
    <n v="4"/>
    <s v="California"/>
    <s v="Los Angeles County"/>
    <n v="1"/>
    <n v="3"/>
    <x v="2"/>
  </r>
  <r>
    <x v="325"/>
    <x v="10"/>
    <n v="3"/>
    <n v="43"/>
    <n v="129"/>
    <d v="2025-01-15T00:00:00"/>
    <d v="2025-01-15T00:00:00"/>
    <x v="2"/>
    <s v="Target.com"/>
    <n v="3"/>
    <s v="California"/>
    <s v="Los Angeles County"/>
    <n v="0"/>
    <n v="3"/>
    <x v="2"/>
  </r>
  <r>
    <x v="326"/>
    <x v="1"/>
    <n v="5"/>
    <n v="64.400000000000006"/>
    <n v="322"/>
    <d v="2025-01-15T00:00:00"/>
    <d v="2025-01-17T00:00:00"/>
    <x v="1"/>
    <s v="Target.com"/>
    <n v="3"/>
    <s v="California"/>
    <s v="Los Angeles County"/>
    <n v="2"/>
    <n v="3"/>
    <x v="1"/>
  </r>
  <r>
    <x v="327"/>
    <x v="18"/>
    <n v="2"/>
    <n v="57.4"/>
    <n v="114.8"/>
    <d v="2025-01-15T00:00:00"/>
    <d v="2025-01-16T00:00:00"/>
    <x v="1"/>
    <s v="Target.com"/>
    <n v="3"/>
    <s v="California"/>
    <s v="Los Angeles County"/>
    <n v="1"/>
    <n v="3"/>
    <x v="1"/>
  </r>
  <r>
    <x v="328"/>
    <x v="2"/>
    <n v="3"/>
    <n v="55.1"/>
    <n v="165.3"/>
    <d v="2025-01-15T00:00:00"/>
    <d v="2025-01-18T00:00:00"/>
    <x v="2"/>
    <s v="Website"/>
    <n v="4"/>
    <s v="California"/>
    <s v="Los Angeles County"/>
    <n v="3"/>
    <n v="3"/>
    <x v="2"/>
  </r>
  <r>
    <x v="329"/>
    <x v="7"/>
    <n v="4"/>
    <n v="45.4"/>
    <n v="181.6"/>
    <d v="2025-01-15T00:00:00"/>
    <d v="2025-01-16T00:00:00"/>
    <x v="2"/>
    <s v="Website"/>
    <n v="4"/>
    <s v="California"/>
    <s v="Los Angeles County"/>
    <n v="1"/>
    <n v="3"/>
    <x v="2"/>
  </r>
  <r>
    <x v="330"/>
    <x v="3"/>
    <n v="3"/>
    <n v="93.3"/>
    <n v="279.89999999999998"/>
    <d v="2025-01-15T00:00:00"/>
    <d v="2025-01-16T00:00:00"/>
    <x v="2"/>
    <s v="App"/>
    <n v="4"/>
    <s v="California"/>
    <s v="Mariposa County"/>
    <n v="1"/>
    <n v="3"/>
    <x v="2"/>
  </r>
  <r>
    <x v="331"/>
    <x v="2"/>
    <n v="19"/>
    <n v="158.19999999999999"/>
    <n v="3005.7999999999997"/>
    <d v="2025-01-15T00:00:00"/>
    <d v="2025-01-16T00:00:00"/>
    <x v="2"/>
    <s v="Website"/>
    <n v="5"/>
    <s v="California"/>
    <s v="Napa County"/>
    <n v="1"/>
    <n v="3"/>
    <x v="2"/>
  </r>
  <r>
    <x v="332"/>
    <x v="2"/>
    <n v="2"/>
    <n v="74.900000000000006"/>
    <n v="149.80000000000001"/>
    <d v="2025-01-15T00:00:00"/>
    <d v="2025-01-17T00:00:00"/>
    <x v="1"/>
    <s v="Instagram"/>
    <n v="4"/>
    <s v="California"/>
    <s v="Sacramento County"/>
    <n v="2"/>
    <n v="3"/>
    <x v="1"/>
  </r>
  <r>
    <x v="333"/>
    <x v="8"/>
    <n v="7"/>
    <n v="26"/>
    <n v="182"/>
    <d v="2025-01-15T00:00:00"/>
    <d v="2025-01-18T00:00:00"/>
    <x v="2"/>
    <s v="Website"/>
    <n v="4"/>
    <s v="California"/>
    <s v="San Diego County"/>
    <n v="3"/>
    <n v="3"/>
    <x v="2"/>
  </r>
  <r>
    <x v="334"/>
    <x v="9"/>
    <n v="6"/>
    <n v="37.5"/>
    <n v="225"/>
    <d v="2025-01-15T00:00:00"/>
    <d v="2025-01-16T00:00:00"/>
    <x v="2"/>
    <s v="App"/>
    <n v="3"/>
    <s v="California"/>
    <s v="San Diego County"/>
    <n v="1"/>
    <n v="3"/>
    <x v="2"/>
  </r>
  <r>
    <x v="335"/>
    <x v="6"/>
    <n v="2"/>
    <n v="75.8"/>
    <n v="151.6"/>
    <d v="2025-01-15T00:00:00"/>
    <d v="2025-01-21T00:00:00"/>
    <x v="1"/>
    <s v="App"/>
    <n v="4"/>
    <s v="California"/>
    <s v="San Diego County"/>
    <n v="6"/>
    <n v="3"/>
    <x v="1"/>
  </r>
  <r>
    <x v="336"/>
    <x v="7"/>
    <n v="1"/>
    <n v="48.5"/>
    <n v="48.5"/>
    <d v="2025-01-15T00:00:00"/>
    <d v="2025-01-27T00:00:00"/>
    <x v="0"/>
    <s v="Partner App"/>
    <n v="5"/>
    <s v="California"/>
    <s v="San Diego County"/>
    <n v="12"/>
    <n v="3"/>
    <x v="0"/>
  </r>
  <r>
    <x v="337"/>
    <x v="6"/>
    <n v="3"/>
    <n v="98.9"/>
    <n v="296.70000000000005"/>
    <d v="2025-01-15T00:00:00"/>
    <d v="2025-01-17T00:00:00"/>
    <x v="2"/>
    <s v="Partner App"/>
    <n v="3"/>
    <s v="California"/>
    <s v="San Diego County"/>
    <n v="2"/>
    <n v="3"/>
    <x v="2"/>
  </r>
  <r>
    <x v="338"/>
    <x v="1"/>
    <n v="12"/>
    <n v="50.9"/>
    <n v="610.79999999999995"/>
    <d v="2025-01-15T00:00:00"/>
    <d v="2025-01-15T00:00:00"/>
    <x v="1"/>
    <s v="Partner App"/>
    <n v="4"/>
    <s v="California"/>
    <s v="San Diego County"/>
    <n v="0"/>
    <n v="3"/>
    <x v="1"/>
  </r>
  <r>
    <x v="339"/>
    <x v="12"/>
    <n v="6"/>
    <n v="84.7"/>
    <n v="508.20000000000005"/>
    <d v="2025-01-15T00:00:00"/>
    <d v="2025-01-15T00:00:00"/>
    <x v="2"/>
    <s v="Target.com"/>
    <n v="4"/>
    <s v="California"/>
    <s v="San Diego County"/>
    <n v="0"/>
    <n v="3"/>
    <x v="2"/>
  </r>
  <r>
    <x v="340"/>
    <x v="8"/>
    <n v="1"/>
    <n v="20.7"/>
    <n v="20.7"/>
    <d v="2025-01-15T00:00:00"/>
    <d v="2025-01-17T00:00:00"/>
    <x v="2"/>
    <s v="Instagram"/>
    <n v="5"/>
    <s v="California"/>
    <s v="San Diego County"/>
    <n v="2"/>
    <n v="3"/>
    <x v="2"/>
  </r>
  <r>
    <x v="341"/>
    <x v="12"/>
    <n v="9"/>
    <n v="57.8"/>
    <n v="520.19999999999993"/>
    <d v="2025-01-15T00:00:00"/>
    <d v="2025-01-26T00:00:00"/>
    <x v="1"/>
    <s v="App"/>
    <n v="2"/>
    <s v="California"/>
    <s v="San Francisco"/>
    <n v="11"/>
    <n v="3"/>
    <x v="1"/>
  </r>
  <r>
    <x v="342"/>
    <x v="2"/>
    <n v="2"/>
    <n v="106.9"/>
    <n v="213.8"/>
    <d v="2025-01-15T00:00:00"/>
    <d v="2025-01-17T00:00:00"/>
    <x v="2"/>
    <s v="App"/>
    <n v="5"/>
    <s v="California"/>
    <s v="San Luis Obispo County"/>
    <n v="2"/>
    <n v="3"/>
    <x v="2"/>
  </r>
  <r>
    <x v="343"/>
    <x v="3"/>
    <n v="5"/>
    <n v="45.2"/>
    <n v="226"/>
    <d v="2025-01-15T00:00:00"/>
    <d v="2025-01-19T00:00:00"/>
    <x v="2"/>
    <s v="Website"/>
    <n v="4"/>
    <s v="California"/>
    <s v="Alameda County"/>
    <n v="4"/>
    <n v="3"/>
    <x v="2"/>
  </r>
  <r>
    <x v="344"/>
    <x v="8"/>
    <n v="13"/>
    <n v="34.6"/>
    <n v="449.8"/>
    <d v="2025-01-15T00:00:00"/>
    <d v="2025-01-15T00:00:00"/>
    <x v="2"/>
    <s v="Website"/>
    <n v="3"/>
    <s v="California"/>
    <s v="Alameda County"/>
    <n v="0"/>
    <n v="3"/>
    <x v="2"/>
  </r>
  <r>
    <x v="345"/>
    <x v="15"/>
    <n v="1"/>
    <n v="43.8"/>
    <n v="43.8"/>
    <d v="2025-01-15T00:00:00"/>
    <d v="2025-01-17T00:00:00"/>
    <x v="0"/>
    <s v="App"/>
    <n v="5"/>
    <s v="California"/>
    <s v="Alameda County"/>
    <n v="2"/>
    <n v="3"/>
    <x v="0"/>
  </r>
  <r>
    <x v="346"/>
    <x v="15"/>
    <n v="1"/>
    <n v="20.399999999999999"/>
    <n v="20.399999999999999"/>
    <d v="2025-01-15T00:00:00"/>
    <d v="2025-01-17T00:00:00"/>
    <x v="1"/>
    <s v="Partner App"/>
    <n v="3"/>
    <s v="California"/>
    <s v="Alameda County"/>
    <n v="2"/>
    <n v="3"/>
    <x v="1"/>
  </r>
  <r>
    <x v="347"/>
    <x v="1"/>
    <n v="1"/>
    <n v="36.700000000000003"/>
    <n v="36.700000000000003"/>
    <d v="2025-01-15T00:00:00"/>
    <d v="2025-01-16T00:00:00"/>
    <x v="1"/>
    <s v="App"/>
    <n v="3"/>
    <s v="California"/>
    <s v="Contra Costa County"/>
    <n v="1"/>
    <n v="3"/>
    <x v="1"/>
  </r>
  <r>
    <x v="348"/>
    <x v="8"/>
    <n v="3"/>
    <n v="27.2"/>
    <n v="81.599999999999994"/>
    <d v="2025-01-15T00:00:00"/>
    <d v="2025-01-19T00:00:00"/>
    <x v="1"/>
    <s v="App"/>
    <n v="5"/>
    <s v="California"/>
    <s v="Contra Costa County"/>
    <n v="4"/>
    <n v="3"/>
    <x v="1"/>
  </r>
  <r>
    <x v="349"/>
    <x v="6"/>
    <n v="1"/>
    <n v="58.2"/>
    <n v="58.2"/>
    <d v="2025-01-15T00:00:00"/>
    <d v="2025-01-16T00:00:00"/>
    <x v="2"/>
    <s v="App"/>
    <n v="5"/>
    <s v="California"/>
    <s v="El Dorado County"/>
    <n v="1"/>
    <n v="3"/>
    <x v="2"/>
  </r>
  <r>
    <x v="350"/>
    <x v="8"/>
    <n v="3"/>
    <n v="25.6"/>
    <n v="76.800000000000011"/>
    <d v="2025-01-15T00:00:00"/>
    <d v="2025-01-16T00:00:00"/>
    <x v="1"/>
    <s v="Partner App"/>
    <n v="2"/>
    <s v="California"/>
    <s v="Fresno County"/>
    <n v="1"/>
    <n v="3"/>
    <x v="1"/>
  </r>
  <r>
    <x v="351"/>
    <x v="10"/>
    <n v="1"/>
    <n v="21.2"/>
    <n v="21.2"/>
    <d v="2025-01-15T00:00:00"/>
    <d v="2025-01-15T00:00:00"/>
    <x v="2"/>
    <s v="Website"/>
    <n v="5"/>
    <s v="California"/>
    <s v="Los Angeles County"/>
    <n v="0"/>
    <n v="3"/>
    <x v="2"/>
  </r>
  <r>
    <x v="352"/>
    <x v="6"/>
    <n v="2"/>
    <n v="48.2"/>
    <n v="96.4"/>
    <d v="2025-01-15T00:00:00"/>
    <d v="2025-01-23T00:00:00"/>
    <x v="2"/>
    <s v="App"/>
    <n v="5"/>
    <s v="California"/>
    <s v="Los Angeles County"/>
    <n v="8"/>
    <n v="3"/>
    <x v="2"/>
  </r>
  <r>
    <x v="353"/>
    <x v="1"/>
    <n v="4"/>
    <n v="83.4"/>
    <n v="333.6"/>
    <d v="2025-01-16T00:00:00"/>
    <d v="2025-01-17T00:00:00"/>
    <x v="1"/>
    <s v="App"/>
    <n v="4"/>
    <s v="California"/>
    <s v="Los Angeles County"/>
    <n v="1"/>
    <n v="3"/>
    <x v="1"/>
  </r>
  <r>
    <x v="354"/>
    <x v="9"/>
    <n v="3"/>
    <n v="45.3"/>
    <n v="135.89999999999998"/>
    <d v="2025-01-16T00:00:00"/>
    <d v="2025-01-22T00:00:00"/>
    <x v="1"/>
    <s v="Target.com"/>
    <n v="3"/>
    <s v="California"/>
    <s v="Los Angeles County"/>
    <n v="6"/>
    <n v="3"/>
    <x v="1"/>
  </r>
  <r>
    <x v="355"/>
    <x v="17"/>
    <n v="1"/>
    <n v="42"/>
    <n v="42"/>
    <d v="2025-01-16T00:00:00"/>
    <d v="2025-01-17T00:00:00"/>
    <x v="0"/>
    <s v="App"/>
    <n v="4"/>
    <s v="California"/>
    <s v="Los Angeles County"/>
    <n v="1"/>
    <n v="3"/>
    <x v="0"/>
  </r>
  <r>
    <x v="356"/>
    <x v="0"/>
    <n v="9"/>
    <n v="21.8"/>
    <n v="196.20000000000002"/>
    <d v="2025-01-16T00:00:00"/>
    <d v="2025-01-18T00:00:00"/>
    <x v="2"/>
    <s v="Website"/>
    <n v="4"/>
    <s v="California"/>
    <s v="Los Angeles County"/>
    <n v="2"/>
    <n v="3"/>
    <x v="2"/>
  </r>
  <r>
    <x v="357"/>
    <x v="8"/>
    <n v="18"/>
    <n v="21.4"/>
    <n v="385.2"/>
    <d v="2025-01-16T00:00:00"/>
    <d v="2025-01-19T00:00:00"/>
    <x v="2"/>
    <s v="Website"/>
    <n v="5"/>
    <s v="California"/>
    <s v="Los Angeles County"/>
    <n v="3"/>
    <n v="3"/>
    <x v="2"/>
  </r>
  <r>
    <x v="358"/>
    <x v="10"/>
    <n v="3"/>
    <n v="45"/>
    <n v="135"/>
    <d v="2025-01-16T00:00:00"/>
    <d v="2025-01-16T00:00:00"/>
    <x v="2"/>
    <s v="Website"/>
    <n v="5"/>
    <s v="California"/>
    <s v="Los Angeles County"/>
    <n v="0"/>
    <n v="3"/>
    <x v="2"/>
  </r>
  <r>
    <x v="359"/>
    <x v="14"/>
    <n v="1"/>
    <n v="39.6"/>
    <n v="39.6"/>
    <d v="2025-01-16T00:00:00"/>
    <d v="2025-01-17T00:00:00"/>
    <x v="1"/>
    <s v="App"/>
    <n v="5"/>
    <s v="California"/>
    <s v="Los Angeles County"/>
    <n v="1"/>
    <n v="3"/>
    <x v="1"/>
  </r>
  <r>
    <x v="360"/>
    <x v="12"/>
    <n v="3"/>
    <n v="79.8"/>
    <n v="239.39999999999998"/>
    <d v="2025-01-16T00:00:00"/>
    <d v="2025-01-22T00:00:00"/>
    <x v="2"/>
    <s v="Website"/>
    <n v="2"/>
    <s v="California"/>
    <s v="Los Angeles County"/>
    <n v="6"/>
    <n v="3"/>
    <x v="2"/>
  </r>
  <r>
    <x v="361"/>
    <x v="1"/>
    <n v="4"/>
    <n v="63.6"/>
    <n v="254.4"/>
    <d v="2025-01-16T00:00:00"/>
    <d v="2025-01-17T00:00:00"/>
    <x v="3"/>
    <s v="App"/>
    <n v="5"/>
    <s v="California"/>
    <s v="Merced County"/>
    <n v="1"/>
    <n v="3"/>
    <x v="3"/>
  </r>
  <r>
    <x v="362"/>
    <x v="7"/>
    <n v="10"/>
    <n v="92.7"/>
    <n v="927"/>
    <d v="2025-01-16T00:00:00"/>
    <d v="2025-01-20T00:00:00"/>
    <x v="1"/>
    <s v="Website"/>
    <n v="5"/>
    <s v="California"/>
    <s v="Sacramento County"/>
    <n v="4"/>
    <n v="3"/>
    <x v="1"/>
  </r>
  <r>
    <x v="363"/>
    <x v="1"/>
    <n v="4"/>
    <n v="48.4"/>
    <n v="193.6"/>
    <d v="2025-01-16T00:00:00"/>
    <d v="2025-01-18T00:00:00"/>
    <x v="2"/>
    <s v="Website"/>
    <n v="5"/>
    <s v="California"/>
    <s v="Sacramento County"/>
    <n v="2"/>
    <n v="3"/>
    <x v="2"/>
  </r>
  <r>
    <x v="364"/>
    <x v="9"/>
    <n v="8"/>
    <n v="36"/>
    <n v="288"/>
    <d v="2025-01-16T00:00:00"/>
    <d v="2025-01-19T00:00:00"/>
    <x v="1"/>
    <s v="Target.com"/>
    <n v="5"/>
    <s v="California"/>
    <s v="San Diego County"/>
    <n v="3"/>
    <n v="3"/>
    <x v="1"/>
  </r>
  <r>
    <x v="365"/>
    <x v="8"/>
    <n v="12"/>
    <n v="27"/>
    <n v="324"/>
    <d v="2025-01-16T00:00:00"/>
    <d v="2025-01-18T00:00:00"/>
    <x v="2"/>
    <s v="Target.com"/>
    <n v="3"/>
    <s v="California"/>
    <s v="San Diego County"/>
    <n v="2"/>
    <n v="3"/>
    <x v="2"/>
  </r>
  <r>
    <x v="366"/>
    <x v="2"/>
    <n v="8"/>
    <n v="53.9"/>
    <n v="431.2"/>
    <d v="2025-01-16T00:00:00"/>
    <d v="2025-01-17T00:00:00"/>
    <x v="0"/>
    <s v="App"/>
    <n v="4"/>
    <s v="California"/>
    <s v="San Diego County"/>
    <n v="1"/>
    <n v="3"/>
    <x v="0"/>
  </r>
  <r>
    <x v="367"/>
    <x v="3"/>
    <n v="9"/>
    <n v="48.4"/>
    <n v="435.59999999999997"/>
    <d v="2025-01-16T00:00:00"/>
    <d v="2025-01-17T00:00:00"/>
    <x v="2"/>
    <s v="Website"/>
    <n v="4"/>
    <s v="California"/>
    <s v="San Mateo County"/>
    <n v="1"/>
    <n v="3"/>
    <x v="2"/>
  </r>
  <r>
    <x v="368"/>
    <x v="17"/>
    <n v="2"/>
    <n v="49.9"/>
    <n v="99.8"/>
    <d v="2025-01-16T00:00:00"/>
    <d v="2025-01-21T00:00:00"/>
    <x v="1"/>
    <s v="Partner App"/>
    <n v="2"/>
    <s v="California"/>
    <s v="Santa Barbara County"/>
    <n v="5"/>
    <n v="3"/>
    <x v="1"/>
  </r>
  <r>
    <x v="369"/>
    <x v="1"/>
    <n v="3"/>
    <n v="51.7"/>
    <n v="155.10000000000002"/>
    <d v="2025-01-16T00:00:00"/>
    <d v="2025-01-17T00:00:00"/>
    <x v="2"/>
    <s v="App"/>
    <n v="5"/>
    <s v="California"/>
    <s v="Santa Clara County"/>
    <n v="1"/>
    <n v="3"/>
    <x v="2"/>
  </r>
  <r>
    <x v="370"/>
    <x v="8"/>
    <n v="3"/>
    <n v="41.8"/>
    <n v="125.39999999999999"/>
    <d v="2025-01-16T00:00:00"/>
    <d v="2025-01-18T00:00:00"/>
    <x v="2"/>
    <s v="Target.com"/>
    <n v="4"/>
    <s v="California"/>
    <s v="Sonoma County"/>
    <n v="2"/>
    <n v="3"/>
    <x v="2"/>
  </r>
  <r>
    <x v="371"/>
    <x v="4"/>
    <n v="4"/>
    <n v="36.200000000000003"/>
    <n v="144.80000000000001"/>
    <d v="2025-01-17T00:00:00"/>
    <d v="2025-01-18T00:00:00"/>
    <x v="1"/>
    <s v="Target.com"/>
    <n v="5"/>
    <s v="California"/>
    <s v="Alameda County"/>
    <n v="1"/>
    <n v="3"/>
    <x v="1"/>
  </r>
  <r>
    <x v="372"/>
    <x v="2"/>
    <n v="1"/>
    <n v="150.9"/>
    <n v="150.9"/>
    <d v="2025-01-17T00:00:00"/>
    <d v="2025-01-27T00:00:00"/>
    <x v="1"/>
    <s v="App"/>
    <n v="4"/>
    <s v="California"/>
    <s v="Contra Costa County"/>
    <n v="10"/>
    <n v="3"/>
    <x v="1"/>
  </r>
  <r>
    <x v="373"/>
    <x v="18"/>
    <n v="4"/>
    <n v="77.599999999999994"/>
    <n v="310.39999999999998"/>
    <d v="2025-01-17T00:00:00"/>
    <d v="2025-01-18T00:00:00"/>
    <x v="0"/>
    <s v="Target.com"/>
    <n v="4"/>
    <s v="California"/>
    <s v="Los Angeles County"/>
    <n v="1"/>
    <n v="3"/>
    <x v="0"/>
  </r>
  <r>
    <x v="374"/>
    <x v="13"/>
    <n v="5"/>
    <n v="65.5"/>
    <n v="327.5"/>
    <d v="2025-01-17T00:00:00"/>
    <d v="2025-01-17T00:00:00"/>
    <x v="1"/>
    <s v="Website"/>
    <n v="4"/>
    <s v="California"/>
    <s v="Los Angeles County"/>
    <n v="0"/>
    <n v="3"/>
    <x v="1"/>
  </r>
  <r>
    <x v="375"/>
    <x v="6"/>
    <n v="3"/>
    <n v="90.1"/>
    <n v="270.29999999999995"/>
    <d v="2025-01-17T00:00:00"/>
    <d v="2025-01-19T00:00:00"/>
    <x v="2"/>
    <s v="App"/>
    <n v="4"/>
    <s v="California"/>
    <s v="Los Angeles County"/>
    <n v="2"/>
    <n v="3"/>
    <x v="2"/>
  </r>
  <r>
    <x v="376"/>
    <x v="1"/>
    <n v="2"/>
    <n v="108.3"/>
    <n v="216.6"/>
    <d v="2025-01-17T00:00:00"/>
    <d v="2025-01-20T00:00:00"/>
    <x v="3"/>
    <s v="Partner App"/>
    <n v="4"/>
    <s v="California"/>
    <s v="Los Angeles County"/>
    <n v="3"/>
    <n v="3"/>
    <x v="3"/>
  </r>
  <r>
    <x v="377"/>
    <x v="5"/>
    <n v="3"/>
    <n v="59.9"/>
    <n v="179.7"/>
    <d v="2025-01-17T00:00:00"/>
    <d v="2025-01-21T00:00:00"/>
    <x v="2"/>
    <s v="App"/>
    <n v="4"/>
    <s v="California"/>
    <s v="Los Angeles County"/>
    <n v="4"/>
    <n v="3"/>
    <x v="2"/>
  </r>
  <r>
    <x v="378"/>
    <x v="2"/>
    <n v="17"/>
    <n v="139"/>
    <n v="2363"/>
    <d v="2025-01-17T00:00:00"/>
    <d v="2025-01-19T00:00:00"/>
    <x v="2"/>
    <s v="Website"/>
    <n v="2"/>
    <s v="California"/>
    <s v="Los Angeles County"/>
    <n v="2"/>
    <n v="3"/>
    <x v="2"/>
  </r>
  <r>
    <x v="379"/>
    <x v="6"/>
    <n v="3"/>
    <n v="87.3"/>
    <n v="261.89999999999998"/>
    <d v="2025-01-17T00:00:00"/>
    <d v="2025-01-18T00:00:00"/>
    <x v="2"/>
    <s v="App"/>
    <n v="4"/>
    <s v="California"/>
    <s v="Los Angeles County"/>
    <n v="1"/>
    <n v="3"/>
    <x v="2"/>
  </r>
  <r>
    <x v="380"/>
    <x v="11"/>
    <n v="4"/>
    <n v="42.3"/>
    <n v="169.2"/>
    <d v="2025-01-17T00:00:00"/>
    <d v="2025-01-17T00:00:00"/>
    <x v="1"/>
    <s v="App"/>
    <n v="4"/>
    <s v="California"/>
    <s v="Los Angeles County"/>
    <n v="0"/>
    <n v="3"/>
    <x v="1"/>
  </r>
  <r>
    <x v="381"/>
    <x v="14"/>
    <n v="8"/>
    <n v="103.6"/>
    <n v="828.8"/>
    <d v="2025-01-17T00:00:00"/>
    <d v="2025-01-18T00:00:00"/>
    <x v="3"/>
    <s v="App"/>
    <n v="3"/>
    <s v="California"/>
    <s v="Los Angeles County"/>
    <n v="1"/>
    <n v="3"/>
    <x v="3"/>
  </r>
  <r>
    <x v="382"/>
    <x v="6"/>
    <n v="2"/>
    <n v="90.9"/>
    <n v="181.8"/>
    <d v="2025-01-17T00:00:00"/>
    <d v="2025-01-18T00:00:00"/>
    <x v="1"/>
    <s v="Website"/>
    <n v="4"/>
    <s v="California"/>
    <s v="Sacramento County"/>
    <n v="1"/>
    <n v="3"/>
    <x v="1"/>
  </r>
  <r>
    <x v="383"/>
    <x v="9"/>
    <n v="16"/>
    <n v="100.9"/>
    <n v="1614.4"/>
    <d v="2025-01-17T00:00:00"/>
    <d v="2025-01-18T00:00:00"/>
    <x v="2"/>
    <s v="Website"/>
    <n v="4"/>
    <s v="California"/>
    <s v="Sacramento County"/>
    <n v="1"/>
    <n v="3"/>
    <x v="2"/>
  </r>
  <r>
    <x v="384"/>
    <x v="4"/>
    <n v="5"/>
    <n v="36"/>
    <n v="180"/>
    <d v="2025-01-17T00:00:00"/>
    <d v="2025-01-19T00:00:00"/>
    <x v="2"/>
    <s v="Website"/>
    <n v="4"/>
    <s v="California"/>
    <s v="San Bernardino County"/>
    <n v="2"/>
    <n v="3"/>
    <x v="2"/>
  </r>
  <r>
    <x v="385"/>
    <x v="6"/>
    <n v="6"/>
    <n v="83.3"/>
    <n v="499.79999999999995"/>
    <d v="2025-01-17T00:00:00"/>
    <d v="2025-01-20T00:00:00"/>
    <x v="0"/>
    <s v="Target.com"/>
    <n v="4"/>
    <s v="California"/>
    <s v="San Bernardino County"/>
    <n v="3"/>
    <n v="3"/>
    <x v="0"/>
  </r>
  <r>
    <x v="386"/>
    <x v="2"/>
    <n v="17"/>
    <n v="60.3"/>
    <n v="1025.0999999999999"/>
    <d v="2025-01-17T00:00:00"/>
    <d v="2025-01-18T00:00:00"/>
    <x v="1"/>
    <s v="Target.com"/>
    <n v="3"/>
    <s v="California"/>
    <s v="San Bernardino County"/>
    <n v="1"/>
    <n v="3"/>
    <x v="1"/>
  </r>
  <r>
    <x v="387"/>
    <x v="2"/>
    <n v="6"/>
    <n v="120.3"/>
    <n v="721.8"/>
    <d v="2025-01-17T00:00:00"/>
    <d v="2025-01-18T00:00:00"/>
    <x v="1"/>
    <s v="Target.com"/>
    <n v="4"/>
    <s v="California"/>
    <s v="San Diego County"/>
    <n v="1"/>
    <n v="3"/>
    <x v="1"/>
  </r>
  <r>
    <x v="388"/>
    <x v="4"/>
    <n v="10"/>
    <n v="34"/>
    <n v="340"/>
    <d v="2025-01-17T00:00:00"/>
    <d v="2025-01-21T00:00:00"/>
    <x v="2"/>
    <s v="Target.com"/>
    <n v="4"/>
    <s v="California"/>
    <s v="San Diego County"/>
    <n v="4"/>
    <n v="3"/>
    <x v="2"/>
  </r>
  <r>
    <x v="389"/>
    <x v="10"/>
    <n v="5"/>
    <n v="42.6"/>
    <n v="213"/>
    <d v="2025-01-17T00:00:00"/>
    <d v="2025-01-20T00:00:00"/>
    <x v="1"/>
    <s v="Website"/>
    <n v="4"/>
    <s v="California"/>
    <s v="San Diego County"/>
    <n v="3"/>
    <n v="3"/>
    <x v="1"/>
  </r>
  <r>
    <x v="390"/>
    <x v="5"/>
    <n v="20"/>
    <n v="47.4"/>
    <n v="948"/>
    <d v="2025-01-17T00:00:00"/>
    <d v="2025-01-17T00:00:00"/>
    <x v="2"/>
    <s v="Target.com"/>
    <n v="3"/>
    <s v="California"/>
    <s v="San Francisco"/>
    <n v="0"/>
    <n v="3"/>
    <x v="2"/>
  </r>
  <r>
    <x v="391"/>
    <x v="2"/>
    <n v="1"/>
    <n v="74"/>
    <n v="74"/>
    <d v="2025-01-18T00:00:00"/>
    <d v="2025-01-19T00:00:00"/>
    <x v="1"/>
    <s v="Website"/>
    <n v="4"/>
    <s v="California"/>
    <s v="Santa Clara County"/>
    <n v="1"/>
    <n v="3"/>
    <x v="1"/>
  </r>
  <r>
    <x v="392"/>
    <x v="2"/>
    <n v="5"/>
    <n v="60.4"/>
    <n v="302"/>
    <d v="2025-01-18T00:00:00"/>
    <d v="2025-01-21T00:00:00"/>
    <x v="2"/>
    <s v="Website"/>
    <n v="2"/>
    <s v="California"/>
    <s v="Sonoma County"/>
    <n v="3"/>
    <n v="3"/>
    <x v="2"/>
  </r>
  <r>
    <x v="393"/>
    <x v="12"/>
    <n v="2"/>
    <n v="69.3"/>
    <n v="138.6"/>
    <d v="2025-01-18T00:00:00"/>
    <d v="2025-01-21T00:00:00"/>
    <x v="1"/>
    <s v="Website"/>
    <n v="3"/>
    <s v="California"/>
    <s v="Ventura County"/>
    <n v="3"/>
    <n v="3"/>
    <x v="1"/>
  </r>
  <r>
    <x v="394"/>
    <x v="5"/>
    <n v="5"/>
    <n v="81"/>
    <n v="405"/>
    <d v="2025-01-18T00:00:00"/>
    <d v="2025-01-24T00:00:00"/>
    <x v="1"/>
    <s v="Instagram"/>
    <n v="4"/>
    <s v="California"/>
    <s v="Alameda County"/>
    <n v="6"/>
    <n v="3"/>
    <x v="1"/>
  </r>
  <r>
    <x v="395"/>
    <x v="15"/>
    <n v="3"/>
    <n v="41.5"/>
    <n v="124.5"/>
    <d v="2025-01-18T00:00:00"/>
    <d v="2025-01-20T00:00:00"/>
    <x v="3"/>
    <s v="Website"/>
    <n v="4"/>
    <s v="California"/>
    <s v="Alameda County"/>
    <n v="2"/>
    <n v="3"/>
    <x v="3"/>
  </r>
  <r>
    <x v="396"/>
    <x v="18"/>
    <n v="2"/>
    <n v="69.7"/>
    <n v="139.4"/>
    <d v="2025-01-18T00:00:00"/>
    <d v="2025-01-23T00:00:00"/>
    <x v="1"/>
    <s v="Website"/>
    <n v="4"/>
    <s v="California"/>
    <s v="Alameda County"/>
    <n v="5"/>
    <n v="3"/>
    <x v="1"/>
  </r>
  <r>
    <x v="397"/>
    <x v="2"/>
    <n v="5"/>
    <n v="83.6"/>
    <n v="418"/>
    <d v="2025-01-18T00:00:00"/>
    <d v="2025-01-18T00:00:00"/>
    <x v="2"/>
    <s v="Partner App"/>
    <n v="4"/>
    <s v="California"/>
    <s v="Contra Costa County"/>
    <n v="0"/>
    <n v="3"/>
    <x v="2"/>
  </r>
  <r>
    <x v="398"/>
    <x v="8"/>
    <n v="7"/>
    <n v="21.5"/>
    <n v="150.5"/>
    <d v="2025-01-18T00:00:00"/>
    <d v="2025-01-20T00:00:00"/>
    <x v="1"/>
    <s v="Website"/>
    <n v="2"/>
    <s v="California"/>
    <s v="Kings County"/>
    <n v="2"/>
    <n v="3"/>
    <x v="1"/>
  </r>
  <r>
    <x v="399"/>
    <x v="8"/>
    <n v="8"/>
    <n v="28.6"/>
    <n v="228.8"/>
    <d v="2025-01-18T00:00:00"/>
    <d v="2025-01-19T00:00:00"/>
    <x v="1"/>
    <s v="App"/>
    <n v="4"/>
    <s v="California"/>
    <s v="Los Angeles County"/>
    <n v="1"/>
    <n v="3"/>
    <x v="1"/>
  </r>
  <r>
    <x v="400"/>
    <x v="8"/>
    <n v="6"/>
    <n v="18.8"/>
    <n v="112.80000000000001"/>
    <d v="2025-01-18T00:00:00"/>
    <d v="2025-01-21T00:00:00"/>
    <x v="1"/>
    <s v="Instagram"/>
    <n v="5"/>
    <s v="California"/>
    <s v="Los Angeles County"/>
    <n v="3"/>
    <n v="3"/>
    <x v="1"/>
  </r>
  <r>
    <x v="401"/>
    <x v="10"/>
    <n v="4"/>
    <n v="35.1"/>
    <n v="140.4"/>
    <d v="2025-01-18T00:00:00"/>
    <d v="2025-01-18T00:00:00"/>
    <x v="2"/>
    <s v="Website"/>
    <n v="3"/>
    <s v="California"/>
    <s v="Los Angeles County"/>
    <n v="0"/>
    <n v="3"/>
    <x v="2"/>
  </r>
  <r>
    <x v="402"/>
    <x v="0"/>
    <n v="2"/>
    <n v="12.7"/>
    <n v="25.4"/>
    <d v="2025-01-18T00:00:00"/>
    <d v="2025-01-20T00:00:00"/>
    <x v="2"/>
    <s v="Website"/>
    <n v="5"/>
    <s v="California"/>
    <s v="Los Angeles County"/>
    <n v="2"/>
    <n v="3"/>
    <x v="2"/>
  </r>
  <r>
    <x v="403"/>
    <x v="8"/>
    <n v="5"/>
    <n v="27.4"/>
    <n v="137"/>
    <d v="2025-01-18T00:00:00"/>
    <d v="2025-01-20T00:00:00"/>
    <x v="3"/>
    <s v="App"/>
    <n v="4"/>
    <s v="California"/>
    <s v="Los Angeles County"/>
    <n v="2"/>
    <n v="3"/>
    <x v="3"/>
  </r>
  <r>
    <x v="404"/>
    <x v="10"/>
    <n v="2"/>
    <n v="61.3"/>
    <n v="122.6"/>
    <d v="2025-01-18T00:00:00"/>
    <d v="2025-01-19T00:00:00"/>
    <x v="2"/>
    <s v="Website"/>
    <n v="4"/>
    <s v="California"/>
    <s v="Sacramento County"/>
    <n v="1"/>
    <n v="3"/>
    <x v="2"/>
  </r>
  <r>
    <x v="405"/>
    <x v="8"/>
    <n v="2"/>
    <n v="64.7"/>
    <n v="129.4"/>
    <d v="2025-01-18T00:00:00"/>
    <d v="2025-01-20T00:00:00"/>
    <x v="2"/>
    <s v="Instagram"/>
    <n v="5"/>
    <s v="California"/>
    <s v="Sacramento County"/>
    <n v="2"/>
    <n v="3"/>
    <x v="2"/>
  </r>
  <r>
    <x v="406"/>
    <x v="7"/>
    <n v="4"/>
    <n v="91.4"/>
    <n v="365.6"/>
    <d v="2025-01-18T00:00:00"/>
    <d v="2025-01-20T00:00:00"/>
    <x v="2"/>
    <s v="App"/>
    <n v="4"/>
    <s v="California"/>
    <s v="San Diego County"/>
    <n v="2"/>
    <n v="3"/>
    <x v="2"/>
  </r>
  <r>
    <x v="407"/>
    <x v="0"/>
    <n v="2"/>
    <n v="33.1"/>
    <n v="66.2"/>
    <d v="2025-01-19T00:00:00"/>
    <d v="2025-01-20T00:00:00"/>
    <x v="1"/>
    <s v="App"/>
    <n v="5"/>
    <s v="California"/>
    <s v="San Diego County"/>
    <n v="1"/>
    <n v="4"/>
    <x v="1"/>
  </r>
  <r>
    <x v="408"/>
    <x v="3"/>
    <n v="2"/>
    <n v="105.6"/>
    <n v="211.2"/>
    <d v="2025-01-19T00:00:00"/>
    <d v="2025-01-20T00:00:00"/>
    <x v="1"/>
    <s v="Target.com"/>
    <n v="3"/>
    <s v="California"/>
    <s v="San Diego County"/>
    <n v="1"/>
    <n v="4"/>
    <x v="1"/>
  </r>
  <r>
    <x v="409"/>
    <x v="10"/>
    <n v="3"/>
    <n v="46.4"/>
    <n v="139.19999999999999"/>
    <d v="2025-01-19T00:00:00"/>
    <d v="2025-01-20T00:00:00"/>
    <x v="1"/>
    <s v="Target.com"/>
    <n v="4"/>
    <s v="California"/>
    <s v="San Mateo County"/>
    <n v="1"/>
    <n v="4"/>
    <x v="1"/>
  </r>
  <r>
    <x v="410"/>
    <x v="9"/>
    <n v="14"/>
    <n v="35.299999999999997"/>
    <n v="494.19999999999993"/>
    <d v="2025-01-19T00:00:00"/>
    <d v="2025-01-22T00:00:00"/>
    <x v="2"/>
    <s v="Partner App"/>
    <n v="3"/>
    <s v="California"/>
    <s v="Santa Clara County"/>
    <n v="3"/>
    <n v="4"/>
    <x v="2"/>
  </r>
  <r>
    <x v="411"/>
    <x v="0"/>
    <n v="2"/>
    <n v="16.100000000000001"/>
    <n v="32.200000000000003"/>
    <d v="2025-01-19T00:00:00"/>
    <d v="2025-01-21T00:00:00"/>
    <x v="1"/>
    <s v="Instagram"/>
    <n v="5"/>
    <s v="California"/>
    <s v="Santa Cruz County"/>
    <n v="2"/>
    <n v="4"/>
    <x v="1"/>
  </r>
  <r>
    <x v="412"/>
    <x v="4"/>
    <n v="2"/>
    <n v="27.9"/>
    <n v="55.8"/>
    <d v="2025-01-19T00:00:00"/>
    <d v="2025-01-22T00:00:00"/>
    <x v="1"/>
    <s v="App"/>
    <n v="4"/>
    <s v="California"/>
    <s v="Ventura County"/>
    <n v="3"/>
    <n v="4"/>
    <x v="1"/>
  </r>
  <r>
    <x v="413"/>
    <x v="8"/>
    <n v="1"/>
    <n v="47.1"/>
    <n v="47.1"/>
    <d v="2025-01-19T00:00:00"/>
    <d v="2025-01-27T00:00:00"/>
    <x v="2"/>
    <s v="Website"/>
    <n v="4"/>
    <s v="California"/>
    <s v="Fresno County"/>
    <n v="8"/>
    <n v="4"/>
    <x v="2"/>
  </r>
  <r>
    <x v="414"/>
    <x v="6"/>
    <n v="2"/>
    <n v="85"/>
    <n v="170"/>
    <d v="2025-01-19T00:00:00"/>
    <d v="2025-01-22T00:00:00"/>
    <x v="0"/>
    <s v="Target.com"/>
    <n v="5"/>
    <s v="California"/>
    <s v="Kern County"/>
    <n v="3"/>
    <n v="4"/>
    <x v="0"/>
  </r>
  <r>
    <x v="415"/>
    <x v="18"/>
    <n v="2"/>
    <n v="89"/>
    <n v="178"/>
    <d v="2025-01-19T00:00:00"/>
    <d v="2025-01-21T00:00:00"/>
    <x v="2"/>
    <s v="App"/>
    <n v="4"/>
    <s v="California"/>
    <s v="Los Angeles County"/>
    <n v="2"/>
    <n v="4"/>
    <x v="2"/>
  </r>
  <r>
    <x v="416"/>
    <x v="16"/>
    <n v="3"/>
    <n v="36.6"/>
    <n v="109.80000000000001"/>
    <d v="2025-01-19T00:00:00"/>
    <d v="2025-01-20T00:00:00"/>
    <x v="3"/>
    <s v="Instagram"/>
    <n v="5"/>
    <s v="California"/>
    <s v="Los Angeles County"/>
    <n v="1"/>
    <n v="4"/>
    <x v="3"/>
  </r>
  <r>
    <x v="417"/>
    <x v="6"/>
    <n v="7"/>
    <n v="43.5"/>
    <n v="304.5"/>
    <d v="2025-01-19T00:00:00"/>
    <d v="2025-01-20T00:00:00"/>
    <x v="1"/>
    <s v="Website"/>
    <n v="5"/>
    <s v="California"/>
    <s v="Los Angeles County"/>
    <n v="1"/>
    <n v="4"/>
    <x v="1"/>
  </r>
  <r>
    <x v="418"/>
    <x v="9"/>
    <n v="19"/>
    <n v="30.5"/>
    <n v="579.5"/>
    <d v="2025-01-19T00:00:00"/>
    <d v="2025-01-19T00:00:00"/>
    <x v="2"/>
    <s v="Instagram"/>
    <n v="4"/>
    <s v="California"/>
    <s v="Los Angeles County"/>
    <n v="0"/>
    <n v="4"/>
    <x v="2"/>
  </r>
  <r>
    <x v="419"/>
    <x v="1"/>
    <n v="2"/>
    <n v="107.7"/>
    <n v="215.4"/>
    <d v="2025-01-19T00:00:00"/>
    <d v="2025-01-23T00:00:00"/>
    <x v="1"/>
    <s v="Instagram"/>
    <n v="2"/>
    <s v="California"/>
    <s v="Los Angeles County"/>
    <n v="4"/>
    <n v="4"/>
    <x v="1"/>
  </r>
  <r>
    <x v="420"/>
    <x v="17"/>
    <n v="26"/>
    <n v="57.1"/>
    <n v="1484.6000000000001"/>
    <d v="2025-01-19T00:00:00"/>
    <d v="2025-01-20T00:00:00"/>
    <x v="1"/>
    <s v="Website"/>
    <n v="4"/>
    <s v="California"/>
    <s v="Los Angeles County"/>
    <n v="1"/>
    <n v="4"/>
    <x v="1"/>
  </r>
  <r>
    <x v="421"/>
    <x v="2"/>
    <n v="10"/>
    <n v="111.7"/>
    <n v="1117"/>
    <d v="2025-01-19T00:00:00"/>
    <d v="2025-01-20T00:00:00"/>
    <x v="2"/>
    <s v="Partner App"/>
    <n v="5"/>
    <s v="California"/>
    <s v="Los Angeles County"/>
    <n v="1"/>
    <n v="4"/>
    <x v="2"/>
  </r>
  <r>
    <x v="422"/>
    <x v="18"/>
    <n v="7"/>
    <n v="44.3"/>
    <n v="310.09999999999997"/>
    <d v="2025-01-19T00:00:00"/>
    <d v="2025-01-22T00:00:00"/>
    <x v="1"/>
    <s v="Instagram"/>
    <n v="5"/>
    <s v="California"/>
    <s v="Los Angeles County"/>
    <n v="3"/>
    <n v="4"/>
    <x v="1"/>
  </r>
  <r>
    <x v="423"/>
    <x v="2"/>
    <n v="8"/>
    <n v="95.8"/>
    <n v="766.4"/>
    <d v="2025-01-19T00:00:00"/>
    <d v="2025-01-25T00:00:00"/>
    <x v="3"/>
    <s v="App"/>
    <n v="4"/>
    <s v="California"/>
    <s v="Los Angeles County"/>
    <n v="6"/>
    <n v="4"/>
    <x v="3"/>
  </r>
  <r>
    <x v="424"/>
    <x v="10"/>
    <n v="7"/>
    <n v="22.6"/>
    <n v="158.20000000000002"/>
    <d v="2025-01-19T00:00:00"/>
    <d v="2025-01-22T00:00:00"/>
    <x v="2"/>
    <s v="Instagram"/>
    <n v="3"/>
    <s v="California"/>
    <s v="Los Angeles County"/>
    <n v="3"/>
    <n v="4"/>
    <x v="2"/>
  </r>
  <r>
    <x v="425"/>
    <x v="8"/>
    <n v="8"/>
    <n v="25.6"/>
    <n v="204.8"/>
    <d v="2025-01-19T00:00:00"/>
    <d v="2025-01-21T00:00:00"/>
    <x v="2"/>
    <s v="Partner App"/>
    <n v="4"/>
    <s v="California"/>
    <s v="Los Angeles County"/>
    <n v="2"/>
    <n v="4"/>
    <x v="2"/>
  </r>
  <r>
    <x v="426"/>
    <x v="6"/>
    <n v="16"/>
    <n v="54.3"/>
    <n v="868.8"/>
    <d v="2025-01-19T00:00:00"/>
    <d v="2025-01-22T00:00:00"/>
    <x v="2"/>
    <s v="Partner App"/>
    <n v="4"/>
    <s v="California"/>
    <s v="Los Angeles County"/>
    <n v="3"/>
    <n v="4"/>
    <x v="2"/>
  </r>
  <r>
    <x v="427"/>
    <x v="18"/>
    <n v="13"/>
    <n v="51.3"/>
    <n v="666.9"/>
    <d v="2025-01-19T00:00:00"/>
    <d v="2025-01-21T00:00:00"/>
    <x v="1"/>
    <s v="App"/>
    <n v="5"/>
    <s v="California"/>
    <s v="Los Angeles County"/>
    <n v="2"/>
    <n v="4"/>
    <x v="1"/>
  </r>
  <r>
    <x v="428"/>
    <x v="0"/>
    <n v="8"/>
    <n v="25.6"/>
    <n v="204.8"/>
    <d v="2025-01-19T00:00:00"/>
    <d v="2025-01-20T00:00:00"/>
    <x v="2"/>
    <s v="Website"/>
    <n v="3"/>
    <s v="California"/>
    <s v="Los Angeles County"/>
    <n v="1"/>
    <n v="4"/>
    <x v="2"/>
  </r>
  <r>
    <x v="429"/>
    <x v="0"/>
    <n v="2"/>
    <n v="15.6"/>
    <n v="31.2"/>
    <d v="2025-01-19T00:00:00"/>
    <d v="2025-01-20T00:00:00"/>
    <x v="2"/>
    <s v="Target.com"/>
    <n v="5"/>
    <s v="California"/>
    <s v="Los Angeles County"/>
    <n v="1"/>
    <n v="4"/>
    <x v="2"/>
  </r>
  <r>
    <x v="430"/>
    <x v="8"/>
    <n v="3"/>
    <n v="30.3"/>
    <n v="90.9"/>
    <d v="2025-01-19T00:00:00"/>
    <d v="2025-01-23T00:00:00"/>
    <x v="2"/>
    <s v="App"/>
    <n v="3"/>
    <s v="California"/>
    <s v="Los Angeles County"/>
    <n v="4"/>
    <n v="4"/>
    <x v="2"/>
  </r>
  <r>
    <x v="431"/>
    <x v="12"/>
    <n v="2"/>
    <n v="30.3"/>
    <n v="60.6"/>
    <d v="2025-01-19T00:00:00"/>
    <d v="2025-01-24T00:00:00"/>
    <x v="2"/>
    <s v="App"/>
    <n v="5"/>
    <s v="California"/>
    <s v="Madera County"/>
    <n v="5"/>
    <n v="4"/>
    <x v="2"/>
  </r>
  <r>
    <x v="432"/>
    <x v="10"/>
    <n v="3"/>
    <n v="53"/>
    <n v="159"/>
    <d v="2025-01-19T00:00:00"/>
    <d v="2025-01-26T00:00:00"/>
    <x v="2"/>
    <s v="Target.com"/>
    <n v="4"/>
    <s v="California"/>
    <s v="Merced County"/>
    <n v="7"/>
    <n v="4"/>
    <x v="2"/>
  </r>
  <r>
    <x v="433"/>
    <x v="5"/>
    <n v="18"/>
    <n v="59.9"/>
    <n v="1078.2"/>
    <d v="2025-01-19T00:00:00"/>
    <d v="2025-01-22T00:00:00"/>
    <x v="1"/>
    <s v="Target.com"/>
    <n v="2"/>
    <s v="California"/>
    <s v="Orange County"/>
    <n v="3"/>
    <n v="4"/>
    <x v="1"/>
  </r>
  <r>
    <x v="434"/>
    <x v="9"/>
    <n v="2"/>
    <n v="45.7"/>
    <n v="91.4"/>
    <d v="2025-01-19T00:00:00"/>
    <d v="2025-01-20T00:00:00"/>
    <x v="2"/>
    <s v="Website"/>
    <n v="5"/>
    <s v="California"/>
    <s v="Sacramento County"/>
    <n v="1"/>
    <n v="4"/>
    <x v="2"/>
  </r>
  <r>
    <x v="435"/>
    <x v="8"/>
    <n v="4"/>
    <n v="46.1"/>
    <n v="184.4"/>
    <d v="2025-01-19T00:00:00"/>
    <d v="2025-01-20T00:00:00"/>
    <x v="1"/>
    <s v="App"/>
    <n v="4"/>
    <s v="California"/>
    <s v="Sacramento County"/>
    <n v="1"/>
    <n v="4"/>
    <x v="1"/>
  </r>
  <r>
    <x v="436"/>
    <x v="8"/>
    <n v="3"/>
    <n v="17.5"/>
    <n v="52.5"/>
    <d v="2025-01-19T00:00:00"/>
    <d v="2025-01-20T00:00:00"/>
    <x v="2"/>
    <s v="App"/>
    <n v="5"/>
    <s v="California"/>
    <s v="San Diego County"/>
    <n v="1"/>
    <n v="4"/>
    <x v="2"/>
  </r>
  <r>
    <x v="437"/>
    <x v="10"/>
    <n v="3"/>
    <n v="36.5"/>
    <n v="109.5"/>
    <d v="2025-01-19T00:00:00"/>
    <d v="2025-01-30T00:00:00"/>
    <x v="1"/>
    <s v="Target.com"/>
    <n v="4"/>
    <s v="California"/>
    <s v="San Diego County"/>
    <n v="11"/>
    <n v="4"/>
    <x v="1"/>
  </r>
  <r>
    <x v="438"/>
    <x v="8"/>
    <n v="2"/>
    <n v="47.5"/>
    <n v="95"/>
    <d v="2025-01-20T00:00:00"/>
    <d v="2025-01-22T00:00:00"/>
    <x v="2"/>
    <s v="Website"/>
    <n v="4"/>
    <s v="California"/>
    <s v="San Diego County"/>
    <n v="2"/>
    <n v="4"/>
    <x v="2"/>
  </r>
  <r>
    <x v="439"/>
    <x v="6"/>
    <n v="5"/>
    <n v="45.6"/>
    <n v="228"/>
    <d v="2025-01-20T00:00:00"/>
    <d v="2025-01-22T00:00:00"/>
    <x v="2"/>
    <s v="App"/>
    <n v="5"/>
    <s v="California"/>
    <s v="San Diego County"/>
    <n v="2"/>
    <n v="4"/>
    <x v="2"/>
  </r>
  <r>
    <x v="440"/>
    <x v="9"/>
    <n v="2"/>
    <n v="50.5"/>
    <n v="101"/>
    <d v="2025-01-20T00:00:00"/>
    <d v="2025-01-22T00:00:00"/>
    <x v="1"/>
    <s v="App"/>
    <n v="3"/>
    <s v="California"/>
    <s v="San Francisco"/>
    <n v="2"/>
    <n v="4"/>
    <x v="1"/>
  </r>
  <r>
    <x v="441"/>
    <x v="2"/>
    <n v="10"/>
    <n v="99.8"/>
    <n v="998"/>
    <d v="2025-01-20T00:00:00"/>
    <d v="2025-01-23T00:00:00"/>
    <x v="2"/>
    <s v="Target.com"/>
    <n v="3"/>
    <s v="California"/>
    <s v="San Francisco"/>
    <n v="3"/>
    <n v="4"/>
    <x v="2"/>
  </r>
  <r>
    <x v="442"/>
    <x v="8"/>
    <n v="15"/>
    <n v="19.2"/>
    <n v="288"/>
    <d v="2025-01-20T00:00:00"/>
    <d v="2025-01-22T00:00:00"/>
    <x v="3"/>
    <s v="Partner App"/>
    <n v="3"/>
    <s v="California"/>
    <s v="San Joaquin County"/>
    <n v="2"/>
    <n v="4"/>
    <x v="3"/>
  </r>
  <r>
    <x v="443"/>
    <x v="17"/>
    <n v="3"/>
    <n v="22.6"/>
    <n v="67.800000000000011"/>
    <d v="2025-01-20T00:00:00"/>
    <d v="2025-01-21T00:00:00"/>
    <x v="1"/>
    <s v="Website"/>
    <n v="4"/>
    <s v="California"/>
    <s v="Santa Clara County"/>
    <n v="1"/>
    <n v="4"/>
    <x v="1"/>
  </r>
  <r>
    <x v="444"/>
    <x v="1"/>
    <n v="15"/>
    <n v="126.9"/>
    <n v="1903.5"/>
    <d v="2025-01-20T00:00:00"/>
    <d v="2025-01-22T00:00:00"/>
    <x v="2"/>
    <s v="App"/>
    <n v="5"/>
    <s v="California"/>
    <s v="Santa Clara County"/>
    <n v="2"/>
    <n v="4"/>
    <x v="2"/>
  </r>
  <r>
    <x v="445"/>
    <x v="2"/>
    <n v="2"/>
    <n v="100.3"/>
    <n v="200.6"/>
    <d v="2025-01-20T00:00:00"/>
    <d v="2025-01-21T00:00:00"/>
    <x v="2"/>
    <s v="App"/>
    <n v="3"/>
    <s v="California"/>
    <s v="Santa Clara County"/>
    <n v="1"/>
    <n v="4"/>
    <x v="2"/>
  </r>
  <r>
    <x v="446"/>
    <x v="4"/>
    <n v="18"/>
    <n v="24.6"/>
    <n v="442.8"/>
    <d v="2025-01-20T00:00:00"/>
    <d v="2025-01-21T00:00:00"/>
    <x v="2"/>
    <s v="Partner App"/>
    <n v="4"/>
    <s v="California"/>
    <s v="Ventura County"/>
    <n v="1"/>
    <n v="4"/>
    <x v="2"/>
  </r>
  <r>
    <x v="447"/>
    <x v="6"/>
    <n v="2"/>
    <n v="47.3"/>
    <n v="94.6"/>
    <d v="2025-01-20T00:00:00"/>
    <d v="2025-01-21T00:00:00"/>
    <x v="1"/>
    <s v="Website"/>
    <n v="5"/>
    <s v="California"/>
    <s v="Ventura County"/>
    <n v="1"/>
    <n v="4"/>
    <x v="1"/>
  </r>
  <r>
    <x v="448"/>
    <x v="6"/>
    <n v="7"/>
    <n v="40.799999999999997"/>
    <n v="285.59999999999997"/>
    <d v="2025-01-20T00:00:00"/>
    <d v="2025-01-23T00:00:00"/>
    <x v="2"/>
    <s v="Target.com"/>
    <n v="5"/>
    <s v="California"/>
    <s v="Alameda County"/>
    <n v="3"/>
    <n v="4"/>
    <x v="2"/>
  </r>
  <r>
    <x v="449"/>
    <x v="8"/>
    <n v="8"/>
    <n v="49.2"/>
    <n v="393.6"/>
    <d v="2025-01-20T00:00:00"/>
    <d v="2025-01-22T00:00:00"/>
    <x v="2"/>
    <s v="App"/>
    <n v="4"/>
    <s v="California"/>
    <s v="Contra Costa County"/>
    <n v="2"/>
    <n v="4"/>
    <x v="2"/>
  </r>
  <r>
    <x v="450"/>
    <x v="8"/>
    <n v="1"/>
    <n v="28.5"/>
    <n v="28.5"/>
    <d v="2025-01-20T00:00:00"/>
    <d v="2025-01-22T00:00:00"/>
    <x v="0"/>
    <s v="Target.com"/>
    <n v="3"/>
    <s v="California"/>
    <s v="Los Angeles County"/>
    <n v="2"/>
    <n v="4"/>
    <x v="0"/>
  </r>
  <r>
    <x v="451"/>
    <x v="18"/>
    <n v="2"/>
    <n v="36.799999999999997"/>
    <n v="73.599999999999994"/>
    <d v="2025-01-20T00:00:00"/>
    <d v="2025-01-26T00:00:00"/>
    <x v="2"/>
    <s v="App"/>
    <n v="5"/>
    <s v="California"/>
    <s v="Los Angeles County"/>
    <n v="6"/>
    <n v="4"/>
    <x v="2"/>
  </r>
  <r>
    <x v="452"/>
    <x v="7"/>
    <n v="3"/>
    <n v="33.5"/>
    <n v="100.5"/>
    <d v="2025-01-20T00:00:00"/>
    <d v="2025-01-21T00:00:00"/>
    <x v="2"/>
    <s v="App"/>
    <n v="3"/>
    <s v="California"/>
    <s v="Los Angeles County"/>
    <n v="1"/>
    <n v="4"/>
    <x v="2"/>
  </r>
  <r>
    <x v="453"/>
    <x v="6"/>
    <n v="6"/>
    <n v="62.5"/>
    <n v="375"/>
    <d v="2025-01-20T00:00:00"/>
    <d v="2025-01-22T00:00:00"/>
    <x v="2"/>
    <s v="App"/>
    <n v="4"/>
    <s v="California"/>
    <s v="Los Angeles County"/>
    <n v="2"/>
    <n v="4"/>
    <x v="2"/>
  </r>
  <r>
    <x v="454"/>
    <x v="8"/>
    <n v="40"/>
    <n v="47.9"/>
    <n v="1916"/>
    <d v="2025-01-20T00:00:00"/>
    <d v="2025-01-21T00:00:00"/>
    <x v="2"/>
    <s v="Instagram"/>
    <n v="4"/>
    <s v="California"/>
    <s v="Los Angeles County"/>
    <n v="1"/>
    <n v="4"/>
    <x v="2"/>
  </r>
  <r>
    <x v="455"/>
    <x v="6"/>
    <n v="6"/>
    <n v="92.9"/>
    <n v="557.40000000000009"/>
    <d v="2025-01-20T00:00:00"/>
    <d v="2025-01-31T00:00:00"/>
    <x v="2"/>
    <s v="App"/>
    <n v="2"/>
    <s v="California"/>
    <s v="Los Angeles County"/>
    <n v="11"/>
    <n v="4"/>
    <x v="2"/>
  </r>
  <r>
    <x v="456"/>
    <x v="12"/>
    <n v="3"/>
    <n v="44.1"/>
    <n v="132.30000000000001"/>
    <d v="2025-01-20T00:00:00"/>
    <d v="2025-01-20T00:00:00"/>
    <x v="2"/>
    <s v="Website"/>
    <n v="3"/>
    <s v="California"/>
    <s v="Marin County"/>
    <n v="0"/>
    <n v="4"/>
    <x v="2"/>
  </r>
  <r>
    <x v="457"/>
    <x v="0"/>
    <n v="1"/>
    <n v="11.4"/>
    <n v="11.4"/>
    <d v="2025-01-21T00:00:00"/>
    <d v="2025-01-23T00:00:00"/>
    <x v="2"/>
    <s v="Target.com"/>
    <n v="4"/>
    <s v="California"/>
    <s v="Placer County"/>
    <n v="2"/>
    <n v="4"/>
    <x v="2"/>
  </r>
  <r>
    <x v="458"/>
    <x v="6"/>
    <n v="1"/>
    <n v="83.7"/>
    <n v="83.7"/>
    <d v="2025-01-21T00:00:00"/>
    <d v="2025-01-23T00:00:00"/>
    <x v="2"/>
    <s v="App"/>
    <n v="5"/>
    <s v="California"/>
    <s v="Sacramento County"/>
    <n v="2"/>
    <n v="4"/>
    <x v="2"/>
  </r>
  <r>
    <x v="459"/>
    <x v="10"/>
    <n v="2"/>
    <n v="23.2"/>
    <n v="46.4"/>
    <d v="2025-01-21T00:00:00"/>
    <d v="2025-01-22T00:00:00"/>
    <x v="1"/>
    <s v="Target.com"/>
    <n v="4"/>
    <s v="California"/>
    <s v="San Diego County"/>
    <n v="1"/>
    <n v="4"/>
    <x v="1"/>
  </r>
  <r>
    <x v="460"/>
    <x v="2"/>
    <n v="1"/>
    <n v="162.1"/>
    <n v="162.1"/>
    <d v="2025-01-21T00:00:00"/>
    <d v="2025-01-24T00:00:00"/>
    <x v="2"/>
    <s v="App"/>
    <n v="5"/>
    <s v="California"/>
    <s v="San Mateo County"/>
    <n v="3"/>
    <n v="4"/>
    <x v="2"/>
  </r>
  <r>
    <x v="461"/>
    <x v="6"/>
    <n v="4"/>
    <n v="49.2"/>
    <n v="196.8"/>
    <d v="2025-01-21T00:00:00"/>
    <d v="2025-01-25T00:00:00"/>
    <x v="1"/>
    <s v="Website"/>
    <n v="4"/>
    <s v="California"/>
    <s v="San Mateo County"/>
    <n v="4"/>
    <n v="4"/>
    <x v="1"/>
  </r>
  <r>
    <x v="462"/>
    <x v="1"/>
    <n v="2"/>
    <n v="61"/>
    <n v="122"/>
    <d v="2025-01-21T00:00:00"/>
    <d v="2025-01-22T00:00:00"/>
    <x v="1"/>
    <s v="Instagram"/>
    <n v="4"/>
    <s v="California"/>
    <s v="Santa Barbara County"/>
    <n v="1"/>
    <n v="4"/>
    <x v="1"/>
  </r>
  <r>
    <x v="463"/>
    <x v="2"/>
    <n v="10"/>
    <n v="53.1"/>
    <n v="531"/>
    <d v="2025-01-21T00:00:00"/>
    <d v="2025-01-23T00:00:00"/>
    <x v="1"/>
    <s v="App"/>
    <n v="4"/>
    <s v="California"/>
    <s v="Santa Clara County"/>
    <n v="2"/>
    <n v="4"/>
    <x v="1"/>
  </r>
  <r>
    <x v="464"/>
    <x v="4"/>
    <n v="2"/>
    <n v="22.4"/>
    <n v="44.8"/>
    <d v="2025-01-21T00:00:00"/>
    <d v="2025-01-23T00:00:00"/>
    <x v="0"/>
    <s v="Website"/>
    <n v="5"/>
    <s v="California"/>
    <s v="Ventura County"/>
    <n v="2"/>
    <n v="4"/>
    <x v="0"/>
  </r>
  <r>
    <x v="465"/>
    <x v="1"/>
    <n v="5"/>
    <n v="75.3"/>
    <n v="376.5"/>
    <d v="2025-01-21T00:00:00"/>
    <d v="2025-01-22T00:00:00"/>
    <x v="1"/>
    <s v="App"/>
    <n v="4"/>
    <s v="California"/>
    <s v="Alameda County"/>
    <n v="1"/>
    <n v="4"/>
    <x v="1"/>
  </r>
  <r>
    <x v="466"/>
    <x v="6"/>
    <n v="1"/>
    <n v="48.5"/>
    <n v="48.5"/>
    <d v="2025-01-21T00:00:00"/>
    <d v="2025-01-22T00:00:00"/>
    <x v="2"/>
    <s v="App"/>
    <n v="3"/>
    <s v="California"/>
    <s v="Alameda County"/>
    <n v="1"/>
    <n v="4"/>
    <x v="2"/>
  </r>
  <r>
    <x v="467"/>
    <x v="6"/>
    <n v="1"/>
    <n v="42.6"/>
    <n v="42.6"/>
    <d v="2025-01-21T00:00:00"/>
    <d v="2025-01-25T00:00:00"/>
    <x v="2"/>
    <s v="Instagram"/>
    <n v="4"/>
    <s v="California"/>
    <s v="Contra Costa County"/>
    <n v="4"/>
    <n v="4"/>
    <x v="2"/>
  </r>
  <r>
    <x v="468"/>
    <x v="5"/>
    <n v="5"/>
    <n v="49"/>
    <n v="245"/>
    <d v="2025-01-21T00:00:00"/>
    <d v="2025-01-22T00:00:00"/>
    <x v="1"/>
    <s v="App"/>
    <n v="4"/>
    <s v="California"/>
    <s v="Kern County"/>
    <n v="1"/>
    <n v="4"/>
    <x v="1"/>
  </r>
  <r>
    <x v="469"/>
    <x v="8"/>
    <n v="3"/>
    <n v="31.3"/>
    <n v="93.9"/>
    <d v="2025-01-21T00:00:00"/>
    <d v="2025-01-22T00:00:00"/>
    <x v="1"/>
    <s v="Target.com"/>
    <n v="3"/>
    <s v="California"/>
    <s v="Los Angeles County"/>
    <n v="1"/>
    <n v="4"/>
    <x v="1"/>
  </r>
  <r>
    <x v="470"/>
    <x v="2"/>
    <n v="2"/>
    <n v="85.4"/>
    <n v="170.8"/>
    <d v="2025-01-21T00:00:00"/>
    <d v="2025-01-22T00:00:00"/>
    <x v="2"/>
    <s v="Target.com"/>
    <n v="4"/>
    <s v="California"/>
    <s v="Los Angeles County"/>
    <n v="1"/>
    <n v="4"/>
    <x v="2"/>
  </r>
  <r>
    <x v="471"/>
    <x v="8"/>
    <n v="4"/>
    <n v="40"/>
    <n v="160"/>
    <d v="2025-01-21T00:00:00"/>
    <d v="2025-01-22T00:00:00"/>
    <x v="3"/>
    <s v="App"/>
    <n v="5"/>
    <s v="California"/>
    <s v="Los Angeles County"/>
    <n v="1"/>
    <n v="4"/>
    <x v="3"/>
  </r>
  <r>
    <x v="472"/>
    <x v="5"/>
    <n v="2"/>
    <n v="38.5"/>
    <n v="77"/>
    <d v="2025-01-21T00:00:00"/>
    <d v="2025-01-24T00:00:00"/>
    <x v="1"/>
    <s v="Website"/>
    <n v="5"/>
    <s v="California"/>
    <s v="Los Angeles County"/>
    <n v="3"/>
    <n v="4"/>
    <x v="1"/>
  </r>
  <r>
    <x v="473"/>
    <x v="2"/>
    <n v="2"/>
    <n v="57.8"/>
    <n v="115.6"/>
    <d v="2025-01-21T00:00:00"/>
    <d v="2025-01-22T00:00:00"/>
    <x v="0"/>
    <s v="App"/>
    <n v="4"/>
    <s v="California"/>
    <s v="Los Angeles County"/>
    <n v="1"/>
    <n v="4"/>
    <x v="0"/>
  </r>
  <r>
    <x v="474"/>
    <x v="8"/>
    <n v="1"/>
    <n v="19.2"/>
    <n v="19.2"/>
    <d v="2025-01-21T00:00:00"/>
    <d v="2025-01-22T00:00:00"/>
    <x v="2"/>
    <s v="App"/>
    <n v="2"/>
    <s v="California"/>
    <s v="Los Angeles County"/>
    <n v="1"/>
    <n v="4"/>
    <x v="2"/>
  </r>
  <r>
    <x v="475"/>
    <x v="6"/>
    <n v="6"/>
    <n v="114.8"/>
    <n v="688.8"/>
    <d v="2025-01-21T00:00:00"/>
    <d v="2025-01-24T00:00:00"/>
    <x v="1"/>
    <s v="Website"/>
    <n v="3"/>
    <s v="California"/>
    <s v="Los Angeles County"/>
    <n v="3"/>
    <n v="4"/>
    <x v="1"/>
  </r>
  <r>
    <x v="476"/>
    <x v="10"/>
    <n v="7"/>
    <n v="48.4"/>
    <n v="338.8"/>
    <d v="2025-01-21T00:00:00"/>
    <d v="2025-01-24T00:00:00"/>
    <x v="2"/>
    <s v="Instagram"/>
    <n v="3"/>
    <s v="California"/>
    <s v="Los Angeles County"/>
    <n v="3"/>
    <n v="4"/>
    <x v="2"/>
  </r>
  <r>
    <x v="477"/>
    <x v="9"/>
    <n v="5"/>
    <n v="73.2"/>
    <n v="366"/>
    <d v="2025-01-21T00:00:00"/>
    <d v="2025-01-22T00:00:00"/>
    <x v="2"/>
    <s v="Website"/>
    <n v="2"/>
    <s v="California"/>
    <s v="Los Angeles County"/>
    <n v="1"/>
    <n v="4"/>
    <x v="2"/>
  </r>
  <r>
    <x v="478"/>
    <x v="15"/>
    <n v="2"/>
    <n v="48.6"/>
    <n v="97.2"/>
    <d v="2025-01-21T00:00:00"/>
    <d v="2025-01-25T00:00:00"/>
    <x v="2"/>
    <s v="Instagram"/>
    <n v="4"/>
    <s v="California"/>
    <s v="Los Angeles County"/>
    <n v="4"/>
    <n v="4"/>
    <x v="2"/>
  </r>
  <r>
    <x v="479"/>
    <x v="0"/>
    <n v="6"/>
    <n v="48.7"/>
    <n v="292.20000000000005"/>
    <d v="2025-01-21T00:00:00"/>
    <d v="2025-01-22T00:00:00"/>
    <x v="1"/>
    <s v="App"/>
    <n v="4"/>
    <s v="California"/>
    <s v="Los Angeles County"/>
    <n v="1"/>
    <n v="4"/>
    <x v="1"/>
  </r>
  <r>
    <x v="480"/>
    <x v="4"/>
    <n v="2"/>
    <n v="32.200000000000003"/>
    <n v="64.400000000000006"/>
    <d v="2025-01-21T00:00:00"/>
    <d v="2025-01-24T00:00:00"/>
    <x v="1"/>
    <s v="Target.com"/>
    <n v="5"/>
    <s v="California"/>
    <s v="Los Angeles County"/>
    <n v="3"/>
    <n v="4"/>
    <x v="1"/>
  </r>
  <r>
    <x v="481"/>
    <x v="15"/>
    <n v="8"/>
    <n v="25.8"/>
    <n v="206.4"/>
    <d v="2025-01-21T00:00:00"/>
    <d v="2025-01-22T00:00:00"/>
    <x v="1"/>
    <s v="App"/>
    <n v="4"/>
    <s v="California"/>
    <s v="Madera County"/>
    <n v="1"/>
    <n v="4"/>
    <x v="1"/>
  </r>
  <r>
    <x v="482"/>
    <x v="6"/>
    <n v="2"/>
    <n v="94.8"/>
    <n v="189.6"/>
    <d v="2025-01-22T00:00:00"/>
    <d v="2025-01-25T00:00:00"/>
    <x v="2"/>
    <s v="Website"/>
    <n v="3"/>
    <s v="California"/>
    <s v="Orange County"/>
    <n v="3"/>
    <n v="4"/>
    <x v="2"/>
  </r>
  <r>
    <x v="483"/>
    <x v="15"/>
    <n v="25"/>
    <n v="56.8"/>
    <n v="1420"/>
    <d v="2025-01-22T00:00:00"/>
    <d v="2025-01-25T00:00:00"/>
    <x v="1"/>
    <s v="App"/>
    <n v="4"/>
    <s v="California"/>
    <s v="Orange County"/>
    <n v="3"/>
    <n v="4"/>
    <x v="1"/>
  </r>
  <r>
    <x v="484"/>
    <x v="8"/>
    <n v="16"/>
    <n v="18.3"/>
    <n v="292.8"/>
    <d v="2025-01-22T00:00:00"/>
    <d v="2025-01-29T00:00:00"/>
    <x v="2"/>
    <s v="Target.com"/>
    <n v="5"/>
    <s v="California"/>
    <s v="Riverside County"/>
    <n v="7"/>
    <n v="4"/>
    <x v="2"/>
  </r>
  <r>
    <x v="485"/>
    <x v="0"/>
    <n v="3"/>
    <n v="16.8"/>
    <n v="50.400000000000006"/>
    <d v="2025-01-22T00:00:00"/>
    <d v="2025-01-27T00:00:00"/>
    <x v="2"/>
    <s v="Target.com"/>
    <n v="5"/>
    <s v="California"/>
    <s v="San Diego County"/>
    <n v="5"/>
    <n v="4"/>
    <x v="2"/>
  </r>
  <r>
    <x v="486"/>
    <x v="5"/>
    <n v="11"/>
    <n v="35.799999999999997"/>
    <n v="393.79999999999995"/>
    <d v="2025-01-22T00:00:00"/>
    <d v="2025-01-23T00:00:00"/>
    <x v="1"/>
    <s v="Website"/>
    <n v="4"/>
    <s v="California"/>
    <s v="San Francisco"/>
    <n v="1"/>
    <n v="4"/>
    <x v="1"/>
  </r>
  <r>
    <x v="487"/>
    <x v="18"/>
    <n v="1"/>
    <n v="64.900000000000006"/>
    <n v="64.900000000000006"/>
    <d v="2025-01-22T00:00:00"/>
    <d v="2025-01-23T00:00:00"/>
    <x v="1"/>
    <s v="App"/>
    <n v="3"/>
    <s v="California"/>
    <s v="San Francisco"/>
    <n v="1"/>
    <n v="4"/>
    <x v="1"/>
  </r>
  <r>
    <x v="488"/>
    <x v="18"/>
    <n v="1"/>
    <n v="28.5"/>
    <n v="28.5"/>
    <d v="2025-01-22T00:00:00"/>
    <d v="2025-01-24T00:00:00"/>
    <x v="0"/>
    <s v="Website"/>
    <n v="4"/>
    <s v="California"/>
    <s v="San Mateo County"/>
    <n v="2"/>
    <n v="4"/>
    <x v="0"/>
  </r>
  <r>
    <x v="489"/>
    <x v="18"/>
    <n v="2"/>
    <n v="103.5"/>
    <n v="207"/>
    <d v="2025-01-22T00:00:00"/>
    <d v="2025-01-24T00:00:00"/>
    <x v="2"/>
    <s v="Website"/>
    <n v="4"/>
    <s v="California"/>
    <s v="Santa Barbara County"/>
    <n v="2"/>
    <n v="4"/>
    <x v="2"/>
  </r>
  <r>
    <x v="490"/>
    <x v="4"/>
    <n v="2"/>
    <n v="41.2"/>
    <n v="82.4"/>
    <d v="2025-01-22T00:00:00"/>
    <d v="2025-01-23T00:00:00"/>
    <x v="2"/>
    <s v="Website"/>
    <n v="4"/>
    <s v="California"/>
    <s v="Santa Barbara County"/>
    <n v="1"/>
    <n v="4"/>
    <x v="2"/>
  </r>
  <r>
    <x v="491"/>
    <x v="9"/>
    <n v="1"/>
    <n v="37.799999999999997"/>
    <n v="37.799999999999997"/>
    <d v="2025-01-22T00:00:00"/>
    <d v="2025-01-24T00:00:00"/>
    <x v="2"/>
    <s v="Instagram"/>
    <n v="1"/>
    <s v="California"/>
    <s v="Santa Clara County"/>
    <n v="2"/>
    <n v="4"/>
    <x v="2"/>
  </r>
  <r>
    <x v="492"/>
    <x v="8"/>
    <n v="2"/>
    <n v="42.6"/>
    <n v="85.2"/>
    <d v="2025-01-22T00:00:00"/>
    <d v="2025-01-24T00:00:00"/>
    <x v="2"/>
    <s v="Partner App"/>
    <n v="4"/>
    <s v="California"/>
    <s v="Santa Clara County"/>
    <n v="2"/>
    <n v="4"/>
    <x v="2"/>
  </r>
  <r>
    <x v="493"/>
    <x v="8"/>
    <n v="10"/>
    <n v="15.2"/>
    <n v="152"/>
    <d v="2025-01-22T00:00:00"/>
    <d v="2025-01-24T00:00:00"/>
    <x v="2"/>
    <s v="Target.com"/>
    <n v="4"/>
    <s v="California"/>
    <s v="Santa Clara County"/>
    <n v="2"/>
    <n v="4"/>
    <x v="2"/>
  </r>
  <r>
    <x v="494"/>
    <x v="7"/>
    <n v="4"/>
    <n v="83.4"/>
    <n v="333.6"/>
    <d v="2025-01-22T00:00:00"/>
    <d v="2025-01-23T00:00:00"/>
    <x v="2"/>
    <s v="Target.com"/>
    <n v="3"/>
    <s v="California"/>
    <s v="Sonoma County"/>
    <n v="1"/>
    <n v="4"/>
    <x v="2"/>
  </r>
  <r>
    <x v="495"/>
    <x v="19"/>
    <n v="2"/>
    <n v="27.7"/>
    <n v="55.4"/>
    <d v="2025-01-22T00:00:00"/>
    <d v="2025-01-23T00:00:00"/>
    <x v="2"/>
    <s v="App"/>
    <n v="3"/>
    <s v="California"/>
    <s v="Ventura County"/>
    <n v="1"/>
    <n v="4"/>
    <x v="2"/>
  </r>
  <r>
    <x v="496"/>
    <x v="10"/>
    <n v="12"/>
    <n v="20.8"/>
    <n v="249.60000000000002"/>
    <d v="2025-01-22T00:00:00"/>
    <d v="2025-01-23T00:00:00"/>
    <x v="1"/>
    <s v="Instagram"/>
    <n v="4"/>
    <s v="California"/>
    <s v="Ventura County"/>
    <n v="1"/>
    <n v="4"/>
    <x v="1"/>
  </r>
  <r>
    <x v="497"/>
    <x v="11"/>
    <n v="2"/>
    <n v="72.7"/>
    <n v="145.4"/>
    <d v="2025-01-22T00:00:00"/>
    <d v="2025-01-26T00:00:00"/>
    <x v="2"/>
    <s v="Partner App"/>
    <n v="5"/>
    <s v="California"/>
    <s v="Humboldt County"/>
    <n v="4"/>
    <n v="4"/>
    <x v="2"/>
  </r>
  <r>
    <x v="498"/>
    <x v="10"/>
    <n v="4"/>
    <n v="38.6"/>
    <n v="154.4"/>
    <d v="2025-01-22T00:00:00"/>
    <d v="2025-01-23T00:00:00"/>
    <x v="1"/>
    <s v="App"/>
    <n v="5"/>
    <s v="California"/>
    <s v="Kern County"/>
    <n v="1"/>
    <n v="4"/>
    <x v="1"/>
  </r>
  <r>
    <x v="499"/>
    <x v="8"/>
    <n v="7"/>
    <n v="33.1"/>
    <n v="231.70000000000002"/>
    <d v="2025-01-22T00:00:00"/>
    <d v="2025-01-23T00:00:00"/>
    <x v="3"/>
    <s v="Partner App"/>
    <n v="1"/>
    <s v="California"/>
    <s v="Los Angeles County"/>
    <n v="1"/>
    <n v="4"/>
    <x v="3"/>
  </r>
  <r>
    <x v="500"/>
    <x v="10"/>
    <n v="2"/>
    <n v="30.5"/>
    <n v="61"/>
    <d v="2025-01-22T00:00:00"/>
    <d v="2025-01-22T00:00:00"/>
    <x v="0"/>
    <s v="Website"/>
    <n v="3"/>
    <s v="California"/>
    <s v="Los Angeles County"/>
    <n v="0"/>
    <n v="4"/>
    <x v="0"/>
  </r>
  <r>
    <x v="501"/>
    <x v="9"/>
    <n v="2"/>
    <n v="69.599999999999994"/>
    <n v="139.19999999999999"/>
    <d v="2025-01-22T00:00:00"/>
    <d v="2025-01-23T00:00:00"/>
    <x v="1"/>
    <s v="App"/>
    <n v="3"/>
    <s v="California"/>
    <s v="Los Angeles County"/>
    <n v="1"/>
    <n v="4"/>
    <x v="1"/>
  </r>
  <r>
    <x v="502"/>
    <x v="11"/>
    <n v="1"/>
    <n v="42.4"/>
    <n v="42.4"/>
    <d v="2025-01-22T00:00:00"/>
    <d v="2025-01-26T00:00:00"/>
    <x v="2"/>
    <s v="Website"/>
    <n v="4"/>
    <s v="California"/>
    <s v="Los Angeles County"/>
    <n v="4"/>
    <n v="4"/>
    <x v="2"/>
  </r>
  <r>
    <x v="503"/>
    <x v="17"/>
    <n v="1"/>
    <n v="32.200000000000003"/>
    <n v="32.200000000000003"/>
    <d v="2025-01-22T00:00:00"/>
    <d v="2025-01-25T00:00:00"/>
    <x v="2"/>
    <s v="Target.com"/>
    <n v="3"/>
    <s v="California"/>
    <s v="Los Angeles County"/>
    <n v="3"/>
    <n v="4"/>
    <x v="2"/>
  </r>
  <r>
    <x v="504"/>
    <x v="6"/>
    <n v="2"/>
    <n v="41.5"/>
    <n v="83"/>
    <d v="2025-01-22T00:00:00"/>
    <d v="2025-01-25T00:00:00"/>
    <x v="2"/>
    <s v="App"/>
    <n v="5"/>
    <s v="California"/>
    <s v="Los Angeles County"/>
    <n v="3"/>
    <n v="4"/>
    <x v="2"/>
  </r>
  <r>
    <x v="505"/>
    <x v="16"/>
    <n v="9"/>
    <n v="58.9"/>
    <n v="530.1"/>
    <d v="2025-01-22T00:00:00"/>
    <d v="2025-01-26T00:00:00"/>
    <x v="2"/>
    <s v="Instagram"/>
    <n v="4"/>
    <s v="California"/>
    <s v="Los Angeles County"/>
    <n v="4"/>
    <n v="4"/>
    <x v="2"/>
  </r>
  <r>
    <x v="506"/>
    <x v="2"/>
    <n v="1"/>
    <n v="57.1"/>
    <n v="57.1"/>
    <d v="2025-01-22T00:00:00"/>
    <d v="2025-01-25T00:00:00"/>
    <x v="2"/>
    <s v="Website"/>
    <n v="4"/>
    <s v="California"/>
    <s v="Los Angeles County"/>
    <n v="3"/>
    <n v="4"/>
    <x v="2"/>
  </r>
  <r>
    <x v="507"/>
    <x v="6"/>
    <n v="1"/>
    <n v="57.2"/>
    <n v="57.2"/>
    <d v="2025-01-22T00:00:00"/>
    <d v="2025-01-24T00:00:00"/>
    <x v="1"/>
    <s v="Website"/>
    <n v="4"/>
    <s v="California"/>
    <s v="Los Angeles County"/>
    <n v="2"/>
    <n v="4"/>
    <x v="1"/>
  </r>
  <r>
    <x v="508"/>
    <x v="8"/>
    <n v="2"/>
    <n v="35.1"/>
    <n v="70.2"/>
    <d v="2025-01-22T00:00:00"/>
    <d v="2025-01-23T00:00:00"/>
    <x v="1"/>
    <s v="Website"/>
    <n v="4"/>
    <s v="California"/>
    <s v="Sacramento County"/>
    <n v="1"/>
    <n v="4"/>
    <x v="1"/>
  </r>
  <r>
    <x v="509"/>
    <x v="1"/>
    <n v="1"/>
    <n v="52.1"/>
    <n v="52.1"/>
    <d v="2025-01-22T00:00:00"/>
    <d v="2025-01-24T00:00:00"/>
    <x v="2"/>
    <s v="Partner App"/>
    <n v="3"/>
    <s v="California"/>
    <s v="San Diego County"/>
    <n v="2"/>
    <n v="4"/>
    <x v="2"/>
  </r>
  <r>
    <x v="510"/>
    <x v="13"/>
    <n v="3"/>
    <n v="59.8"/>
    <n v="179.39999999999998"/>
    <d v="2025-01-22T00:00:00"/>
    <d v="2025-01-24T00:00:00"/>
    <x v="2"/>
    <s v="Partner App"/>
    <n v="3"/>
    <s v="California"/>
    <s v="San Diego County"/>
    <n v="2"/>
    <n v="4"/>
    <x v="2"/>
  </r>
  <r>
    <x v="511"/>
    <x v="3"/>
    <n v="4"/>
    <n v="83.3"/>
    <n v="333.2"/>
    <d v="2025-01-22T00:00:00"/>
    <d v="2025-01-22T00:00:00"/>
    <x v="0"/>
    <s v="Target.com"/>
    <n v="4"/>
    <s v="California"/>
    <s v="San Diego County"/>
    <n v="0"/>
    <n v="4"/>
    <x v="0"/>
  </r>
  <r>
    <x v="512"/>
    <x v="15"/>
    <n v="12"/>
    <n v="41.3"/>
    <n v="495.59999999999997"/>
    <d v="2025-01-22T00:00:00"/>
    <d v="2025-01-23T00:00:00"/>
    <x v="2"/>
    <s v="Website"/>
    <n v="4"/>
    <s v="California"/>
    <s v="San Diego County"/>
    <n v="1"/>
    <n v="4"/>
    <x v="2"/>
  </r>
  <r>
    <x v="513"/>
    <x v="8"/>
    <n v="5"/>
    <n v="16"/>
    <n v="80"/>
    <d v="2025-01-22T00:00:00"/>
    <d v="2025-01-24T00:00:00"/>
    <x v="1"/>
    <s v="Partner App"/>
    <n v="3"/>
    <s v="California"/>
    <s v="San Mateo County"/>
    <n v="2"/>
    <n v="4"/>
    <x v="1"/>
  </r>
  <r>
    <x v="514"/>
    <x v="10"/>
    <n v="2"/>
    <n v="20.8"/>
    <n v="41.6"/>
    <d v="2025-01-23T00:00:00"/>
    <d v="2025-01-25T00:00:00"/>
    <x v="1"/>
    <s v="App"/>
    <n v="5"/>
    <s v="California"/>
    <s v="Santa Clara County"/>
    <n v="2"/>
    <n v="4"/>
    <x v="1"/>
  </r>
  <r>
    <x v="515"/>
    <x v="8"/>
    <n v="28"/>
    <n v="27.1"/>
    <n v="758.80000000000007"/>
    <d v="2025-01-23T00:00:00"/>
    <d v="2025-01-24T00:00:00"/>
    <x v="0"/>
    <s v="Instagram"/>
    <n v="5"/>
    <s v="California"/>
    <s v="Santa Clara County"/>
    <n v="1"/>
    <n v="4"/>
    <x v="0"/>
  </r>
  <r>
    <x v="516"/>
    <x v="10"/>
    <n v="2"/>
    <n v="38.9"/>
    <n v="77.8"/>
    <d v="2025-01-23T00:00:00"/>
    <d v="2025-01-25T00:00:00"/>
    <x v="2"/>
    <s v="App"/>
    <n v="4"/>
    <s v="California"/>
    <s v="Sonoma County"/>
    <n v="2"/>
    <n v="4"/>
    <x v="2"/>
  </r>
  <r>
    <x v="517"/>
    <x v="0"/>
    <n v="2"/>
    <n v="10.8"/>
    <n v="21.6"/>
    <d v="2025-01-23T00:00:00"/>
    <d v="2025-01-26T00:00:00"/>
    <x v="2"/>
    <s v="Website"/>
    <n v="5"/>
    <s v="California"/>
    <s v="Trinity County"/>
    <n v="3"/>
    <n v="4"/>
    <x v="2"/>
  </r>
  <r>
    <x v="518"/>
    <x v="4"/>
    <n v="13"/>
    <n v="48.4"/>
    <n v="629.19999999999993"/>
    <d v="2025-01-23T00:00:00"/>
    <d v="2025-01-27T00:00:00"/>
    <x v="2"/>
    <s v="App"/>
    <n v="4"/>
    <s v="California"/>
    <s v="Alameda County"/>
    <n v="4"/>
    <n v="4"/>
    <x v="2"/>
  </r>
  <r>
    <x v="519"/>
    <x v="4"/>
    <n v="3"/>
    <n v="29.2"/>
    <n v="87.6"/>
    <d v="2025-01-23T00:00:00"/>
    <d v="2025-01-26T00:00:00"/>
    <x v="2"/>
    <s v="Website"/>
    <n v="3"/>
    <s v="California"/>
    <s v="Fresno County"/>
    <n v="3"/>
    <n v="4"/>
    <x v="2"/>
  </r>
  <r>
    <x v="520"/>
    <x v="4"/>
    <n v="2"/>
    <n v="25.1"/>
    <n v="50.2"/>
    <d v="2025-01-23T00:00:00"/>
    <d v="2025-01-24T00:00:00"/>
    <x v="1"/>
    <s v="App"/>
    <n v="3"/>
    <s v="California"/>
    <s v="Fresno County"/>
    <n v="1"/>
    <n v="4"/>
    <x v="1"/>
  </r>
  <r>
    <x v="521"/>
    <x v="7"/>
    <n v="3"/>
    <n v="65.599999999999994"/>
    <n v="196.79999999999998"/>
    <d v="2025-01-23T00:00:00"/>
    <d v="2025-01-23T00:00:00"/>
    <x v="2"/>
    <s v="Target.com"/>
    <n v="3"/>
    <s v="California"/>
    <s v="Los Angeles County"/>
    <n v="0"/>
    <n v="4"/>
    <x v="2"/>
  </r>
  <r>
    <x v="522"/>
    <x v="2"/>
    <n v="2"/>
    <n v="57.3"/>
    <n v="114.6"/>
    <d v="2025-01-23T00:00:00"/>
    <d v="2025-01-23T00:00:00"/>
    <x v="0"/>
    <s v="App"/>
    <n v="4"/>
    <s v="California"/>
    <s v="Los Angeles County"/>
    <n v="0"/>
    <n v="4"/>
    <x v="0"/>
  </r>
  <r>
    <x v="523"/>
    <x v="9"/>
    <n v="4"/>
    <n v="22.4"/>
    <n v="89.6"/>
    <d v="2025-01-23T00:00:00"/>
    <d v="2025-01-24T00:00:00"/>
    <x v="2"/>
    <s v="Target.com"/>
    <n v="5"/>
    <s v="California"/>
    <s v="Los Angeles County"/>
    <n v="1"/>
    <n v="4"/>
    <x v="2"/>
  </r>
  <r>
    <x v="524"/>
    <x v="12"/>
    <n v="9"/>
    <n v="45.7"/>
    <n v="411.3"/>
    <d v="2025-01-23T00:00:00"/>
    <d v="2025-01-24T00:00:00"/>
    <x v="2"/>
    <s v="App"/>
    <n v="4"/>
    <s v="California"/>
    <s v="Los Angeles County"/>
    <n v="1"/>
    <n v="4"/>
    <x v="2"/>
  </r>
  <r>
    <x v="525"/>
    <x v="8"/>
    <n v="2"/>
    <n v="29.3"/>
    <n v="58.6"/>
    <d v="2025-01-23T00:00:00"/>
    <d v="2025-01-24T00:00:00"/>
    <x v="1"/>
    <s v="Website"/>
    <n v="4"/>
    <s v="California"/>
    <s v="Los Angeles County"/>
    <n v="1"/>
    <n v="4"/>
    <x v="1"/>
  </r>
  <r>
    <x v="526"/>
    <x v="18"/>
    <n v="22"/>
    <n v="74"/>
    <n v="1628"/>
    <d v="2025-01-23T00:00:00"/>
    <d v="2025-01-24T00:00:00"/>
    <x v="1"/>
    <s v="App"/>
    <n v="5"/>
    <s v="California"/>
    <s v="Los Angeles County"/>
    <n v="1"/>
    <n v="4"/>
    <x v="1"/>
  </r>
  <r>
    <x v="527"/>
    <x v="14"/>
    <n v="2"/>
    <n v="39.200000000000003"/>
    <n v="78.400000000000006"/>
    <d v="2025-01-23T00:00:00"/>
    <d v="2025-01-25T00:00:00"/>
    <x v="2"/>
    <s v="Website"/>
    <n v="4"/>
    <s v="California"/>
    <s v="Los Angeles County"/>
    <n v="2"/>
    <n v="4"/>
    <x v="2"/>
  </r>
  <r>
    <x v="528"/>
    <x v="4"/>
    <n v="17"/>
    <n v="62.7"/>
    <n v="1065.9000000000001"/>
    <d v="2025-01-23T00:00:00"/>
    <d v="2025-01-24T00:00:00"/>
    <x v="2"/>
    <s v="Target.com"/>
    <n v="3"/>
    <s v="California"/>
    <s v="Los Angeles County"/>
    <n v="1"/>
    <n v="4"/>
    <x v="2"/>
  </r>
  <r>
    <x v="529"/>
    <x v="10"/>
    <n v="2"/>
    <n v="60.1"/>
    <n v="120.2"/>
    <d v="2025-01-23T00:00:00"/>
    <d v="2025-01-24T00:00:00"/>
    <x v="2"/>
    <s v="Instagram"/>
    <n v="4"/>
    <s v="California"/>
    <s v="Los Angeles County"/>
    <n v="1"/>
    <n v="4"/>
    <x v="2"/>
  </r>
  <r>
    <x v="530"/>
    <x v="0"/>
    <n v="4"/>
    <n v="11.2"/>
    <n v="44.8"/>
    <d v="2025-01-23T00:00:00"/>
    <d v="2025-01-24T00:00:00"/>
    <x v="2"/>
    <s v="Instagram"/>
    <n v="3"/>
    <s v="California"/>
    <s v="Los Angeles County"/>
    <n v="1"/>
    <n v="4"/>
    <x v="2"/>
  </r>
  <r>
    <x v="531"/>
    <x v="8"/>
    <n v="2"/>
    <n v="22.9"/>
    <n v="45.8"/>
    <d v="2025-01-23T00:00:00"/>
    <d v="2025-01-24T00:00:00"/>
    <x v="2"/>
    <s v="App"/>
    <n v="4"/>
    <s v="California"/>
    <s v="Sacramento County"/>
    <n v="1"/>
    <n v="4"/>
    <x v="2"/>
  </r>
  <r>
    <x v="532"/>
    <x v="1"/>
    <n v="2"/>
    <n v="37.6"/>
    <n v="75.2"/>
    <d v="2025-01-23T00:00:00"/>
    <d v="2025-01-26T00:00:00"/>
    <x v="2"/>
    <s v="App"/>
    <n v="4"/>
    <s v="California"/>
    <s v="Sacramento County"/>
    <n v="3"/>
    <n v="4"/>
    <x v="2"/>
  </r>
  <r>
    <x v="533"/>
    <x v="6"/>
    <n v="1"/>
    <n v="42.4"/>
    <n v="42.4"/>
    <d v="2025-01-23T00:00:00"/>
    <d v="2025-01-24T00:00:00"/>
    <x v="2"/>
    <s v="Instagram"/>
    <n v="5"/>
    <s v="California"/>
    <s v="Sacramento County"/>
    <n v="1"/>
    <n v="4"/>
    <x v="2"/>
  </r>
  <r>
    <x v="534"/>
    <x v="8"/>
    <n v="2"/>
    <n v="19.600000000000001"/>
    <n v="39.200000000000003"/>
    <d v="2025-01-23T00:00:00"/>
    <d v="2025-01-27T00:00:00"/>
    <x v="2"/>
    <s v="Target.com"/>
    <n v="4"/>
    <s v="California"/>
    <s v="San Bernardino County"/>
    <n v="4"/>
    <n v="4"/>
    <x v="2"/>
  </r>
  <r>
    <x v="535"/>
    <x v="9"/>
    <n v="1"/>
    <n v="90.5"/>
    <n v="90.5"/>
    <d v="2025-01-23T00:00:00"/>
    <d v="2025-01-26T00:00:00"/>
    <x v="2"/>
    <s v="Target.com"/>
    <n v="4"/>
    <s v="California"/>
    <s v="San Bernardino County"/>
    <n v="3"/>
    <n v="4"/>
    <x v="2"/>
  </r>
  <r>
    <x v="536"/>
    <x v="16"/>
    <n v="11"/>
    <n v="33.9"/>
    <n v="372.9"/>
    <d v="2025-01-23T00:00:00"/>
    <d v="2025-01-24T00:00:00"/>
    <x v="1"/>
    <s v="Target.com"/>
    <n v="3"/>
    <s v="California"/>
    <s v="San Bernardino County"/>
    <n v="1"/>
    <n v="4"/>
    <x v="1"/>
  </r>
  <r>
    <x v="537"/>
    <x v="0"/>
    <n v="2"/>
    <n v="32.799999999999997"/>
    <n v="65.599999999999994"/>
    <d v="2025-01-23T00:00:00"/>
    <d v="2025-01-25T00:00:00"/>
    <x v="2"/>
    <s v="Partner App"/>
    <n v="2"/>
    <s v="California"/>
    <s v="San Diego County"/>
    <n v="2"/>
    <n v="4"/>
    <x v="2"/>
  </r>
  <r>
    <x v="538"/>
    <x v="15"/>
    <n v="1"/>
    <n v="49.9"/>
    <n v="49.9"/>
    <d v="2025-01-23T00:00:00"/>
    <d v="2025-01-24T00:00:00"/>
    <x v="1"/>
    <s v="Instagram"/>
    <n v="3"/>
    <s v="California"/>
    <s v="San Diego County"/>
    <n v="1"/>
    <n v="4"/>
    <x v="1"/>
  </r>
  <r>
    <x v="539"/>
    <x v="7"/>
    <n v="5"/>
    <n v="79.2"/>
    <n v="396"/>
    <d v="2025-01-23T00:00:00"/>
    <d v="2025-01-24T00:00:00"/>
    <x v="2"/>
    <s v="Partner App"/>
    <n v="4"/>
    <s v="California"/>
    <s v="San Diego County"/>
    <n v="1"/>
    <n v="4"/>
    <x v="2"/>
  </r>
  <r>
    <x v="540"/>
    <x v="8"/>
    <n v="16"/>
    <n v="19.5"/>
    <n v="312"/>
    <d v="2025-01-23T00:00:00"/>
    <d v="2025-01-25T00:00:00"/>
    <x v="1"/>
    <s v="Instagram"/>
    <n v="5"/>
    <s v="California"/>
    <s v="San Diego County"/>
    <n v="2"/>
    <n v="4"/>
    <x v="1"/>
  </r>
  <r>
    <x v="541"/>
    <x v="8"/>
    <n v="4"/>
    <n v="18"/>
    <n v="72"/>
    <d v="2025-01-23T00:00:00"/>
    <d v="2025-01-24T00:00:00"/>
    <x v="1"/>
    <s v="Website"/>
    <n v="4"/>
    <s v="California"/>
    <s v="Santa Barbara County"/>
    <n v="1"/>
    <n v="4"/>
    <x v="1"/>
  </r>
  <r>
    <x v="542"/>
    <x v="9"/>
    <n v="3"/>
    <n v="45.9"/>
    <n v="137.69999999999999"/>
    <d v="2025-01-23T00:00:00"/>
    <d v="2025-01-25T00:00:00"/>
    <x v="2"/>
    <s v="Website"/>
    <n v="3"/>
    <s v="California"/>
    <s v="Santa Barbara County"/>
    <n v="2"/>
    <n v="4"/>
    <x v="2"/>
  </r>
  <r>
    <x v="543"/>
    <x v="11"/>
    <n v="1"/>
    <n v="41.2"/>
    <n v="41.2"/>
    <d v="2025-01-23T00:00:00"/>
    <d v="2025-01-25T00:00:00"/>
    <x v="2"/>
    <s v="Website"/>
    <n v="5"/>
    <s v="California"/>
    <s v="Santa Clara County"/>
    <n v="2"/>
    <n v="4"/>
    <x v="2"/>
  </r>
  <r>
    <x v="544"/>
    <x v="2"/>
    <n v="10"/>
    <n v="167.2"/>
    <n v="1672"/>
    <d v="2025-01-23T00:00:00"/>
    <d v="2025-01-25T00:00:00"/>
    <x v="2"/>
    <s v="Target.com"/>
    <n v="5"/>
    <s v="California"/>
    <s v="Santa Cruz County"/>
    <n v="2"/>
    <n v="4"/>
    <x v="2"/>
  </r>
  <r>
    <x v="545"/>
    <x v="6"/>
    <n v="30"/>
    <n v="74.5"/>
    <n v="2235"/>
    <d v="2025-01-24T00:00:00"/>
    <d v="2025-01-27T00:00:00"/>
    <x v="2"/>
    <s v="Website"/>
    <n v="5"/>
    <s v="California"/>
    <s v="Solano County"/>
    <n v="3"/>
    <n v="4"/>
    <x v="2"/>
  </r>
  <r>
    <x v="546"/>
    <x v="7"/>
    <n v="4"/>
    <n v="39.299999999999997"/>
    <n v="157.19999999999999"/>
    <d v="2025-01-24T00:00:00"/>
    <d v="2025-01-25T00:00:00"/>
    <x v="0"/>
    <s v="Target.com"/>
    <n v="4"/>
    <s v="California"/>
    <s v="Stanislaus County"/>
    <n v="1"/>
    <n v="4"/>
    <x v="0"/>
  </r>
  <r>
    <x v="547"/>
    <x v="9"/>
    <n v="1"/>
    <n v="68.5"/>
    <n v="68.5"/>
    <d v="2025-01-24T00:00:00"/>
    <d v="2025-01-27T00:00:00"/>
    <x v="1"/>
    <s v="Website"/>
    <n v="5"/>
    <s v="California"/>
    <s v="Tehama County"/>
    <n v="3"/>
    <n v="4"/>
    <x v="1"/>
  </r>
  <r>
    <x v="548"/>
    <x v="0"/>
    <n v="3"/>
    <n v="22.5"/>
    <n v="67.5"/>
    <d v="2025-01-24T00:00:00"/>
    <d v="2025-01-24T00:00:00"/>
    <x v="2"/>
    <s v="Partner App"/>
    <n v="4"/>
    <s v="California"/>
    <s v="Ventura County"/>
    <n v="0"/>
    <n v="4"/>
    <x v="2"/>
  </r>
  <r>
    <x v="549"/>
    <x v="1"/>
    <n v="1"/>
    <n v="48"/>
    <n v="48"/>
    <d v="2025-01-24T00:00:00"/>
    <d v="2025-01-25T00:00:00"/>
    <x v="3"/>
    <s v="Partner App"/>
    <n v="3"/>
    <s v="California"/>
    <s v="Amador County"/>
    <n v="1"/>
    <n v="4"/>
    <x v="3"/>
  </r>
  <r>
    <x v="550"/>
    <x v="6"/>
    <n v="1"/>
    <n v="94"/>
    <n v="94"/>
    <d v="2025-01-24T00:00:00"/>
    <d v="2025-01-25T00:00:00"/>
    <x v="1"/>
    <s v="Instagram"/>
    <n v="3"/>
    <s v="California"/>
    <s v="Contra Costa County"/>
    <n v="1"/>
    <n v="4"/>
    <x v="1"/>
  </r>
  <r>
    <x v="551"/>
    <x v="8"/>
    <n v="3"/>
    <n v="21.9"/>
    <n v="65.699999999999989"/>
    <d v="2025-01-24T00:00:00"/>
    <d v="2025-01-25T00:00:00"/>
    <x v="2"/>
    <s v="App"/>
    <n v="4"/>
    <s v="California"/>
    <s v="Humboldt County"/>
    <n v="1"/>
    <n v="4"/>
    <x v="2"/>
  </r>
  <r>
    <x v="552"/>
    <x v="6"/>
    <n v="7"/>
    <n v="64.900000000000006"/>
    <n v="454.30000000000007"/>
    <d v="2025-01-24T00:00:00"/>
    <d v="2025-01-25T00:00:00"/>
    <x v="2"/>
    <s v="App"/>
    <n v="4"/>
    <s v="California"/>
    <s v="Los Angeles County"/>
    <n v="1"/>
    <n v="4"/>
    <x v="2"/>
  </r>
  <r>
    <x v="553"/>
    <x v="12"/>
    <n v="1"/>
    <n v="52.9"/>
    <n v="52.9"/>
    <d v="2025-01-24T00:00:00"/>
    <d v="2025-01-24T00:00:00"/>
    <x v="2"/>
    <s v="Website"/>
    <n v="3"/>
    <s v="California"/>
    <s v="Los Angeles County"/>
    <n v="0"/>
    <n v="4"/>
    <x v="2"/>
  </r>
  <r>
    <x v="554"/>
    <x v="8"/>
    <n v="3"/>
    <n v="25.5"/>
    <n v="76.5"/>
    <d v="2025-01-24T00:00:00"/>
    <d v="2025-01-25T00:00:00"/>
    <x v="2"/>
    <s v="Website"/>
    <n v="5"/>
    <s v="California"/>
    <s v="Los Angeles County"/>
    <n v="1"/>
    <n v="4"/>
    <x v="2"/>
  </r>
  <r>
    <x v="555"/>
    <x v="6"/>
    <n v="3"/>
    <n v="51.9"/>
    <n v="155.69999999999999"/>
    <d v="2025-01-24T00:00:00"/>
    <d v="2025-01-25T00:00:00"/>
    <x v="2"/>
    <s v="Instagram"/>
    <n v="4"/>
    <s v="California"/>
    <s v="Los Angeles County"/>
    <n v="1"/>
    <n v="4"/>
    <x v="2"/>
  </r>
  <r>
    <x v="556"/>
    <x v="5"/>
    <n v="1"/>
    <n v="46.3"/>
    <n v="46.3"/>
    <d v="2025-01-24T00:00:00"/>
    <d v="2025-01-27T00:00:00"/>
    <x v="2"/>
    <s v="Partner App"/>
    <n v="4"/>
    <s v="California"/>
    <s v="Los Angeles County"/>
    <n v="3"/>
    <n v="4"/>
    <x v="2"/>
  </r>
  <r>
    <x v="557"/>
    <x v="6"/>
    <n v="2"/>
    <n v="68.2"/>
    <n v="136.4"/>
    <d v="2025-01-24T00:00:00"/>
    <d v="2025-01-26T00:00:00"/>
    <x v="2"/>
    <s v="Instagram"/>
    <n v="4"/>
    <s v="California"/>
    <s v="Los Angeles County"/>
    <n v="2"/>
    <n v="4"/>
    <x v="2"/>
  </r>
  <r>
    <x v="558"/>
    <x v="1"/>
    <n v="1"/>
    <n v="40.299999999999997"/>
    <n v="40.299999999999997"/>
    <d v="2025-01-24T00:00:00"/>
    <d v="2025-01-25T00:00:00"/>
    <x v="1"/>
    <s v="App"/>
    <n v="3"/>
    <s v="California"/>
    <s v="Los Angeles County"/>
    <n v="1"/>
    <n v="4"/>
    <x v="1"/>
  </r>
  <r>
    <x v="559"/>
    <x v="2"/>
    <n v="3"/>
    <n v="91.3"/>
    <n v="273.89999999999998"/>
    <d v="2025-01-24T00:00:00"/>
    <d v="2025-01-29T00:00:00"/>
    <x v="1"/>
    <s v="App"/>
    <n v="5"/>
    <s v="California"/>
    <s v="Sacramento County"/>
    <n v="5"/>
    <n v="4"/>
    <x v="1"/>
  </r>
  <r>
    <x v="560"/>
    <x v="0"/>
    <n v="3"/>
    <n v="11.9"/>
    <n v="35.700000000000003"/>
    <d v="2025-01-24T00:00:00"/>
    <d v="2025-01-25T00:00:00"/>
    <x v="2"/>
    <s v="App"/>
    <n v="3"/>
    <s v="California"/>
    <s v="Sacramento County"/>
    <n v="1"/>
    <n v="4"/>
    <x v="2"/>
  </r>
  <r>
    <x v="561"/>
    <x v="2"/>
    <n v="2"/>
    <n v="63.5"/>
    <n v="127"/>
    <d v="2025-01-24T00:00:00"/>
    <d v="2025-01-26T00:00:00"/>
    <x v="1"/>
    <s v="Website"/>
    <n v="4"/>
    <s v="California"/>
    <s v="Sacramento County"/>
    <n v="2"/>
    <n v="4"/>
    <x v="1"/>
  </r>
  <r>
    <x v="562"/>
    <x v="4"/>
    <n v="2"/>
    <n v="27.1"/>
    <n v="54.2"/>
    <d v="2025-01-24T00:00:00"/>
    <d v="2025-01-27T00:00:00"/>
    <x v="1"/>
    <s v="Target.com"/>
    <n v="5"/>
    <s v="California"/>
    <s v="Sacramento County"/>
    <n v="3"/>
    <n v="4"/>
    <x v="1"/>
  </r>
  <r>
    <x v="563"/>
    <x v="1"/>
    <n v="2"/>
    <n v="82.1"/>
    <n v="164.2"/>
    <d v="2025-01-25T00:00:00"/>
    <d v="2025-01-28T00:00:00"/>
    <x v="1"/>
    <s v="Website"/>
    <n v="3"/>
    <s v="California"/>
    <s v="San Bernardino County"/>
    <n v="3"/>
    <n v="4"/>
    <x v="1"/>
  </r>
  <r>
    <x v="564"/>
    <x v="3"/>
    <n v="5"/>
    <n v="42.9"/>
    <n v="214.5"/>
    <d v="2025-01-25T00:00:00"/>
    <d v="2025-01-27T00:00:00"/>
    <x v="2"/>
    <s v="Website"/>
    <n v="4"/>
    <s v="California"/>
    <s v="San Diego County"/>
    <n v="2"/>
    <n v="4"/>
    <x v="2"/>
  </r>
  <r>
    <x v="565"/>
    <x v="8"/>
    <n v="11"/>
    <n v="37.9"/>
    <n v="416.9"/>
    <d v="2025-01-25T00:00:00"/>
    <d v="2025-02-01T00:00:00"/>
    <x v="1"/>
    <s v="App"/>
    <n v="4"/>
    <s v="California"/>
    <s v="San Diego County"/>
    <n v="7"/>
    <n v="4"/>
    <x v="1"/>
  </r>
  <r>
    <x v="566"/>
    <x v="0"/>
    <n v="1"/>
    <n v="22.4"/>
    <n v="22.4"/>
    <d v="2025-01-25T00:00:00"/>
    <d v="2025-01-26T00:00:00"/>
    <x v="2"/>
    <s v="App"/>
    <n v="3"/>
    <s v="California"/>
    <s v="San Francisco"/>
    <n v="1"/>
    <n v="4"/>
    <x v="2"/>
  </r>
  <r>
    <x v="567"/>
    <x v="2"/>
    <n v="13"/>
    <n v="79.900000000000006"/>
    <n v="1038.7"/>
    <d v="2025-01-25T00:00:00"/>
    <d v="2025-02-07T00:00:00"/>
    <x v="2"/>
    <s v="Instagram"/>
    <n v="3"/>
    <s v="California"/>
    <s v="Santa Clara County"/>
    <n v="13"/>
    <n v="4"/>
    <x v="2"/>
  </r>
  <r>
    <x v="568"/>
    <x v="1"/>
    <n v="1"/>
    <n v="70.599999999999994"/>
    <n v="70.599999999999994"/>
    <d v="2025-01-25T00:00:00"/>
    <d v="2025-01-28T00:00:00"/>
    <x v="2"/>
    <s v="App"/>
    <n v="3"/>
    <s v="California"/>
    <s v="Santa Clara County"/>
    <n v="3"/>
    <n v="4"/>
    <x v="2"/>
  </r>
  <r>
    <x v="569"/>
    <x v="6"/>
    <n v="1"/>
    <n v="49.5"/>
    <n v="49.5"/>
    <d v="2025-01-25T00:00:00"/>
    <d v="2025-01-27T00:00:00"/>
    <x v="1"/>
    <s v="App"/>
    <n v="4"/>
    <s v="California"/>
    <s v="Ventura County"/>
    <n v="2"/>
    <n v="4"/>
    <x v="1"/>
  </r>
  <r>
    <x v="570"/>
    <x v="2"/>
    <n v="2"/>
    <n v="96.6"/>
    <n v="193.2"/>
    <d v="2025-01-25T00:00:00"/>
    <d v="2025-01-27T00:00:00"/>
    <x v="1"/>
    <s v="App"/>
    <n v="4"/>
    <s v="California"/>
    <s v="Alameda County"/>
    <n v="2"/>
    <n v="4"/>
    <x v="1"/>
  </r>
  <r>
    <x v="571"/>
    <x v="6"/>
    <n v="2"/>
    <n v="52.8"/>
    <n v="105.6"/>
    <d v="2025-01-25T00:00:00"/>
    <d v="2025-01-26T00:00:00"/>
    <x v="2"/>
    <s v="Website"/>
    <n v="3"/>
    <s v="California"/>
    <s v="Alameda County"/>
    <n v="1"/>
    <n v="4"/>
    <x v="2"/>
  </r>
  <r>
    <x v="572"/>
    <x v="2"/>
    <n v="1"/>
    <n v="101.7"/>
    <n v="101.7"/>
    <d v="2025-01-25T00:00:00"/>
    <d v="2025-01-26T00:00:00"/>
    <x v="1"/>
    <s v="App"/>
    <n v="4"/>
    <s v="California"/>
    <s v="Contra Costa County"/>
    <n v="1"/>
    <n v="4"/>
    <x v="1"/>
  </r>
  <r>
    <x v="573"/>
    <x v="4"/>
    <n v="5"/>
    <n v="26.9"/>
    <n v="134.5"/>
    <d v="2025-01-25T00:00:00"/>
    <d v="2025-01-30T00:00:00"/>
    <x v="2"/>
    <s v="Website"/>
    <n v="3"/>
    <s v="California"/>
    <s v="Kern County"/>
    <n v="5"/>
    <n v="4"/>
    <x v="2"/>
  </r>
  <r>
    <x v="574"/>
    <x v="2"/>
    <n v="4"/>
    <n v="211"/>
    <n v="844"/>
    <d v="2025-01-25T00:00:00"/>
    <d v="2025-01-25T00:00:00"/>
    <x v="2"/>
    <s v="Website"/>
    <n v="3"/>
    <s v="California"/>
    <s v="Los Angeles County"/>
    <n v="0"/>
    <n v="4"/>
    <x v="2"/>
  </r>
  <r>
    <x v="575"/>
    <x v="0"/>
    <n v="4"/>
    <n v="21.1"/>
    <n v="84.4"/>
    <d v="2025-01-25T00:00:00"/>
    <d v="2025-01-28T00:00:00"/>
    <x v="1"/>
    <s v="Partner App"/>
    <n v="4"/>
    <s v="California"/>
    <s v="Los Angeles County"/>
    <n v="3"/>
    <n v="4"/>
    <x v="1"/>
  </r>
  <r>
    <x v="576"/>
    <x v="10"/>
    <n v="1"/>
    <n v="26.6"/>
    <n v="26.6"/>
    <d v="2025-01-25T00:00:00"/>
    <d v="2025-01-27T00:00:00"/>
    <x v="1"/>
    <s v="App"/>
    <n v="2"/>
    <s v="California"/>
    <s v="Los Angeles County"/>
    <n v="2"/>
    <n v="4"/>
    <x v="1"/>
  </r>
  <r>
    <x v="577"/>
    <x v="12"/>
    <n v="4"/>
    <n v="51.2"/>
    <n v="204.8"/>
    <d v="2025-01-25T00:00:00"/>
    <d v="2025-01-26T00:00:00"/>
    <x v="2"/>
    <s v="Instagram"/>
    <n v="4"/>
    <s v="California"/>
    <s v="Mono County"/>
    <n v="1"/>
    <n v="4"/>
    <x v="2"/>
  </r>
  <r>
    <x v="578"/>
    <x v="0"/>
    <n v="5"/>
    <n v="10.6"/>
    <n v="53"/>
    <d v="2025-01-25T00:00:00"/>
    <d v="2025-01-29T00:00:00"/>
    <x v="2"/>
    <s v="App"/>
    <n v="4"/>
    <s v="California"/>
    <s v="San Diego County"/>
    <n v="4"/>
    <n v="4"/>
    <x v="2"/>
  </r>
  <r>
    <x v="579"/>
    <x v="6"/>
    <n v="3"/>
    <n v="43.4"/>
    <n v="130.19999999999999"/>
    <d v="2025-01-25T00:00:00"/>
    <d v="2025-01-28T00:00:00"/>
    <x v="2"/>
    <s v="Partner App"/>
    <n v="4"/>
    <s v="California"/>
    <s v="San Diego County"/>
    <n v="3"/>
    <n v="4"/>
    <x v="2"/>
  </r>
  <r>
    <x v="580"/>
    <x v="12"/>
    <n v="1"/>
    <n v="80"/>
    <n v="80"/>
    <d v="2025-01-25T00:00:00"/>
    <d v="2025-01-25T00:00:00"/>
    <x v="2"/>
    <s v="App"/>
    <n v="5"/>
    <s v="California"/>
    <s v="San Diego County"/>
    <n v="0"/>
    <n v="4"/>
    <x v="2"/>
  </r>
  <r>
    <x v="581"/>
    <x v="10"/>
    <n v="4"/>
    <n v="64.7"/>
    <n v="258.8"/>
    <d v="2025-01-25T00:00:00"/>
    <d v="2025-01-27T00:00:00"/>
    <x v="2"/>
    <s v="Website"/>
    <n v="2"/>
    <s v="California"/>
    <s v="San Diego County"/>
    <n v="2"/>
    <n v="4"/>
    <x v="2"/>
  </r>
  <r>
    <x v="582"/>
    <x v="8"/>
    <n v="11"/>
    <n v="26.3"/>
    <n v="289.3"/>
    <d v="2025-01-26T00:00:00"/>
    <d v="2025-01-26T00:00:00"/>
    <x v="2"/>
    <s v="Partner App"/>
    <n v="3"/>
    <s v="California"/>
    <s v="San Joaquin County"/>
    <n v="0"/>
    <n v="5"/>
    <x v="2"/>
  </r>
  <r>
    <x v="583"/>
    <x v="10"/>
    <n v="1"/>
    <n v="28.5"/>
    <n v="28.5"/>
    <d v="2025-01-26T00:00:00"/>
    <d v="2025-01-26T00:00:00"/>
    <x v="1"/>
    <s v="App"/>
    <n v="3"/>
    <s v="California"/>
    <s v="San Mateo County"/>
    <n v="0"/>
    <n v="5"/>
    <x v="1"/>
  </r>
  <r>
    <x v="584"/>
    <x v="17"/>
    <n v="1"/>
    <n v="47.8"/>
    <n v="47.8"/>
    <d v="2025-01-26T00:00:00"/>
    <d v="2025-01-28T00:00:00"/>
    <x v="2"/>
    <s v="App"/>
    <n v="3"/>
    <s v="California"/>
    <s v="San Mateo County"/>
    <n v="2"/>
    <n v="5"/>
    <x v="2"/>
  </r>
  <r>
    <x v="585"/>
    <x v="10"/>
    <n v="3"/>
    <n v="42.8"/>
    <n v="128.39999999999998"/>
    <d v="2025-01-26T00:00:00"/>
    <d v="2025-01-29T00:00:00"/>
    <x v="2"/>
    <s v="Partner App"/>
    <n v="3"/>
    <s v="California"/>
    <s v="Santa Clara County"/>
    <n v="3"/>
    <n v="5"/>
    <x v="2"/>
  </r>
  <r>
    <x v="586"/>
    <x v="6"/>
    <n v="5"/>
    <n v="46.8"/>
    <n v="234"/>
    <d v="2025-01-26T00:00:00"/>
    <d v="2025-01-31T00:00:00"/>
    <x v="2"/>
    <s v="Website"/>
    <n v="5"/>
    <s v="California"/>
    <s v="Santa Clara County"/>
    <n v="5"/>
    <n v="5"/>
    <x v="2"/>
  </r>
  <r>
    <x v="587"/>
    <x v="1"/>
    <n v="10"/>
    <n v="64.099999999999994"/>
    <n v="641"/>
    <d v="2025-01-26T00:00:00"/>
    <d v="2025-01-27T00:00:00"/>
    <x v="1"/>
    <s v="Website"/>
    <n v="4"/>
    <s v="California"/>
    <s v="Santa Clara County"/>
    <n v="1"/>
    <n v="5"/>
    <x v="1"/>
  </r>
  <r>
    <x v="588"/>
    <x v="2"/>
    <n v="1"/>
    <n v="89.1"/>
    <n v="89.1"/>
    <d v="2025-01-26T00:00:00"/>
    <d v="2025-01-27T00:00:00"/>
    <x v="2"/>
    <s v="App"/>
    <n v="3"/>
    <s v="California"/>
    <s v="Tulare County"/>
    <n v="1"/>
    <n v="5"/>
    <x v="2"/>
  </r>
  <r>
    <x v="589"/>
    <x v="2"/>
    <n v="3"/>
    <n v="83.1"/>
    <n v="249.29999999999998"/>
    <d v="2025-01-26T00:00:00"/>
    <d v="2025-01-27T00:00:00"/>
    <x v="2"/>
    <s v="Target.com"/>
    <n v="3"/>
    <s v="California"/>
    <s v="Ventura County"/>
    <n v="1"/>
    <n v="5"/>
    <x v="2"/>
  </r>
  <r>
    <x v="590"/>
    <x v="8"/>
    <n v="3"/>
    <n v="40.9"/>
    <n v="122.69999999999999"/>
    <d v="2025-01-26T00:00:00"/>
    <d v="2025-01-27T00:00:00"/>
    <x v="1"/>
    <s v="App"/>
    <n v="4"/>
    <s v="California"/>
    <s v="Contra Costa County"/>
    <n v="1"/>
    <n v="5"/>
    <x v="1"/>
  </r>
  <r>
    <x v="591"/>
    <x v="2"/>
    <n v="2"/>
    <n v="125.7"/>
    <n v="251.4"/>
    <d v="2025-01-26T00:00:00"/>
    <d v="2025-01-27T00:00:00"/>
    <x v="2"/>
    <s v="Instagram"/>
    <n v="4"/>
    <s v="California"/>
    <s v="Fresno County"/>
    <n v="1"/>
    <n v="5"/>
    <x v="2"/>
  </r>
  <r>
    <x v="592"/>
    <x v="3"/>
    <n v="2"/>
    <n v="30.9"/>
    <n v="61.8"/>
    <d v="2025-01-26T00:00:00"/>
    <d v="2025-01-26T00:00:00"/>
    <x v="2"/>
    <s v="Target.com"/>
    <n v="5"/>
    <s v="California"/>
    <s v="Kern County"/>
    <n v="0"/>
    <n v="5"/>
    <x v="2"/>
  </r>
  <r>
    <x v="593"/>
    <x v="8"/>
    <n v="2"/>
    <n v="18.3"/>
    <n v="36.6"/>
    <d v="2025-01-26T00:00:00"/>
    <d v="2025-01-27T00:00:00"/>
    <x v="2"/>
    <s v="Website"/>
    <n v="4"/>
    <s v="California"/>
    <s v="Los Angeles County"/>
    <n v="1"/>
    <n v="5"/>
    <x v="2"/>
  </r>
  <r>
    <x v="594"/>
    <x v="4"/>
    <n v="2"/>
    <n v="56.5"/>
    <n v="113"/>
    <d v="2025-01-26T00:00:00"/>
    <d v="2025-01-30T00:00:00"/>
    <x v="1"/>
    <s v="Target.com"/>
    <n v="5"/>
    <s v="California"/>
    <s v="Los Angeles County"/>
    <n v="4"/>
    <n v="5"/>
    <x v="1"/>
  </r>
  <r>
    <x v="595"/>
    <x v="10"/>
    <n v="7"/>
    <n v="29.9"/>
    <n v="209.29999999999998"/>
    <d v="2025-01-26T00:00:00"/>
    <d v="2025-01-28T00:00:00"/>
    <x v="1"/>
    <s v="Partner App"/>
    <n v="5"/>
    <s v="California"/>
    <s v="Los Angeles County"/>
    <n v="2"/>
    <n v="5"/>
    <x v="1"/>
  </r>
  <r>
    <x v="596"/>
    <x v="5"/>
    <n v="2"/>
    <n v="50.4"/>
    <n v="100.8"/>
    <d v="2025-01-26T00:00:00"/>
    <d v="2025-01-27T00:00:00"/>
    <x v="2"/>
    <s v="Target.com"/>
    <n v="4"/>
    <s v="California"/>
    <s v="Los Angeles County"/>
    <n v="1"/>
    <n v="5"/>
    <x v="2"/>
  </r>
  <r>
    <x v="597"/>
    <x v="2"/>
    <n v="1"/>
    <n v="85.8"/>
    <n v="85.8"/>
    <d v="2025-01-26T00:00:00"/>
    <d v="2025-01-26T00:00:00"/>
    <x v="2"/>
    <s v="Target.com"/>
    <n v="5"/>
    <s v="California"/>
    <s v="Los Angeles County"/>
    <n v="0"/>
    <n v="5"/>
    <x v="2"/>
  </r>
  <r>
    <x v="598"/>
    <x v="4"/>
    <n v="16"/>
    <n v="66.599999999999994"/>
    <n v="1065.5999999999999"/>
    <d v="2025-01-26T00:00:00"/>
    <d v="2025-01-28T00:00:00"/>
    <x v="1"/>
    <s v="Website"/>
    <n v="4"/>
    <s v="California"/>
    <s v="Los Angeles County"/>
    <n v="2"/>
    <n v="5"/>
    <x v="1"/>
  </r>
  <r>
    <x v="599"/>
    <x v="6"/>
    <n v="4"/>
    <n v="70.3"/>
    <n v="281.2"/>
    <d v="2025-01-26T00:00:00"/>
    <d v="2025-01-27T00:00:00"/>
    <x v="2"/>
    <s v="App"/>
    <n v="3"/>
    <s v="California"/>
    <s v="Los Angeles County"/>
    <n v="1"/>
    <n v="5"/>
    <x v="2"/>
  </r>
  <r>
    <x v="600"/>
    <x v="8"/>
    <n v="4"/>
    <n v="31"/>
    <n v="124"/>
    <d v="2025-01-26T00:00:00"/>
    <d v="2025-01-29T00:00:00"/>
    <x v="1"/>
    <s v="App"/>
    <n v="5"/>
    <s v="California"/>
    <s v="Los Angeles County"/>
    <n v="3"/>
    <n v="5"/>
    <x v="1"/>
  </r>
  <r>
    <x v="601"/>
    <x v="7"/>
    <n v="6"/>
    <n v="81.599999999999994"/>
    <n v="489.59999999999997"/>
    <d v="2025-01-26T00:00:00"/>
    <d v="2025-01-27T00:00:00"/>
    <x v="2"/>
    <s v="Website"/>
    <n v="3"/>
    <s v="California"/>
    <s v="Madera County"/>
    <n v="1"/>
    <n v="5"/>
    <x v="2"/>
  </r>
  <r>
    <x v="602"/>
    <x v="1"/>
    <n v="25"/>
    <n v="58.3"/>
    <n v="1457.5"/>
    <d v="2025-01-26T00:00:00"/>
    <d v="2025-01-27T00:00:00"/>
    <x v="2"/>
    <s v="App"/>
    <n v="4"/>
    <s v="California"/>
    <s v="Napa County"/>
    <n v="1"/>
    <n v="5"/>
    <x v="2"/>
  </r>
  <r>
    <x v="603"/>
    <x v="1"/>
    <n v="4"/>
    <n v="35.1"/>
    <n v="140.4"/>
    <d v="2025-01-26T00:00:00"/>
    <d v="2025-01-28T00:00:00"/>
    <x v="1"/>
    <s v="App"/>
    <n v="5"/>
    <s v="California"/>
    <s v="San Diego County"/>
    <n v="2"/>
    <n v="5"/>
    <x v="1"/>
  </r>
  <r>
    <x v="604"/>
    <x v="2"/>
    <n v="1"/>
    <n v="80.2"/>
    <n v="80.2"/>
    <d v="2025-01-26T00:00:00"/>
    <d v="2025-01-27T00:00:00"/>
    <x v="1"/>
    <s v="Instagram"/>
    <n v="5"/>
    <s v="California"/>
    <s v="San Diego County"/>
    <n v="1"/>
    <n v="5"/>
    <x v="1"/>
  </r>
  <r>
    <x v="605"/>
    <x v="14"/>
    <n v="3"/>
    <n v="39.200000000000003"/>
    <n v="117.60000000000001"/>
    <d v="2025-01-26T00:00:00"/>
    <d v="2025-01-28T00:00:00"/>
    <x v="2"/>
    <s v="Website"/>
    <n v="4"/>
    <s v="California"/>
    <s v="San Mateo County"/>
    <n v="2"/>
    <n v="5"/>
    <x v="2"/>
  </r>
  <r>
    <x v="606"/>
    <x v="0"/>
    <n v="2"/>
    <n v="15.4"/>
    <n v="30.8"/>
    <d v="2025-01-26T00:00:00"/>
    <d v="2025-01-26T00:00:00"/>
    <x v="2"/>
    <s v="Instagram"/>
    <n v="4"/>
    <s v="California"/>
    <s v="Sierra County"/>
    <n v="0"/>
    <n v="5"/>
    <x v="2"/>
  </r>
  <r>
    <x v="607"/>
    <x v="3"/>
    <n v="3"/>
    <n v="65.400000000000006"/>
    <n v="196.20000000000002"/>
    <d v="2025-01-26T00:00:00"/>
    <d v="2025-01-29T00:00:00"/>
    <x v="1"/>
    <s v="Instagram"/>
    <n v="4"/>
    <s v="California"/>
    <s v="Sonoma County"/>
    <n v="3"/>
    <n v="5"/>
    <x v="1"/>
  </r>
  <r>
    <x v="608"/>
    <x v="1"/>
    <n v="8"/>
    <n v="63.2"/>
    <n v="505.6"/>
    <d v="2025-01-26T00:00:00"/>
    <d v="2025-01-28T00:00:00"/>
    <x v="2"/>
    <s v="Website"/>
    <n v="4"/>
    <s v="California"/>
    <s v="Stanislaus County"/>
    <n v="2"/>
    <n v="5"/>
    <x v="2"/>
  </r>
  <r>
    <x v="609"/>
    <x v="1"/>
    <n v="6"/>
    <n v="35.700000000000003"/>
    <n v="214.20000000000002"/>
    <d v="2025-01-26T00:00:00"/>
    <d v="2025-01-30T00:00:00"/>
    <x v="2"/>
    <s v="Partner App"/>
    <n v="3"/>
    <s v="California"/>
    <s v="Stanislaus County"/>
    <n v="4"/>
    <n v="5"/>
    <x v="2"/>
  </r>
  <r>
    <x v="610"/>
    <x v="0"/>
    <n v="20"/>
    <n v="26.2"/>
    <n v="524"/>
    <d v="2025-01-26T00:00:00"/>
    <d v="2025-01-27T00:00:00"/>
    <x v="2"/>
    <s v="Instagram"/>
    <n v="4"/>
    <s v="California"/>
    <s v="Alameda County"/>
    <n v="1"/>
    <n v="5"/>
    <x v="2"/>
  </r>
  <r>
    <x v="611"/>
    <x v="7"/>
    <n v="2"/>
    <n v="31"/>
    <n v="62"/>
    <d v="2025-01-26T00:00:00"/>
    <d v="2025-01-27T00:00:00"/>
    <x v="2"/>
    <s v="App"/>
    <n v="5"/>
    <s v="California"/>
    <s v="Contra Costa County"/>
    <n v="1"/>
    <n v="5"/>
    <x v="2"/>
  </r>
  <r>
    <x v="612"/>
    <x v="8"/>
    <n v="4"/>
    <n v="37.700000000000003"/>
    <n v="150.80000000000001"/>
    <d v="2025-01-26T00:00:00"/>
    <d v="2025-01-27T00:00:00"/>
    <x v="2"/>
    <s v="Website"/>
    <n v="4"/>
    <s v="California"/>
    <s v="Kern County"/>
    <n v="1"/>
    <n v="5"/>
    <x v="2"/>
  </r>
  <r>
    <x v="613"/>
    <x v="10"/>
    <n v="34"/>
    <n v="43.6"/>
    <n v="1482.4"/>
    <d v="2025-01-26T00:00:00"/>
    <d v="2025-01-28T00:00:00"/>
    <x v="2"/>
    <s v="Partner App"/>
    <n v="3"/>
    <s v="California"/>
    <s v="Los Angeles County"/>
    <n v="2"/>
    <n v="5"/>
    <x v="2"/>
  </r>
  <r>
    <x v="614"/>
    <x v="9"/>
    <n v="4"/>
    <n v="26.5"/>
    <n v="106"/>
    <d v="2025-01-26T00:00:00"/>
    <d v="2025-01-28T00:00:00"/>
    <x v="1"/>
    <s v="App"/>
    <n v="2"/>
    <s v="California"/>
    <s v="Los Angeles County"/>
    <n v="2"/>
    <n v="5"/>
    <x v="1"/>
  </r>
  <r>
    <x v="615"/>
    <x v="0"/>
    <n v="2"/>
    <n v="34.6"/>
    <n v="69.2"/>
    <d v="2025-01-26T00:00:00"/>
    <d v="2025-01-27T00:00:00"/>
    <x v="1"/>
    <s v="Partner App"/>
    <n v="3"/>
    <s v="California"/>
    <s v="Los Angeles County"/>
    <n v="1"/>
    <n v="5"/>
    <x v="1"/>
  </r>
  <r>
    <x v="616"/>
    <x v="8"/>
    <n v="2"/>
    <n v="58.2"/>
    <n v="116.4"/>
    <d v="2025-01-26T00:00:00"/>
    <d v="2025-01-27T00:00:00"/>
    <x v="1"/>
    <s v="Target.com"/>
    <n v="5"/>
    <s v="California"/>
    <s v="Los Angeles County"/>
    <n v="1"/>
    <n v="5"/>
    <x v="1"/>
  </r>
  <r>
    <x v="617"/>
    <x v="7"/>
    <n v="1"/>
    <n v="30.2"/>
    <n v="30.2"/>
    <d v="2025-01-27T00:00:00"/>
    <d v="2025-01-28T00:00:00"/>
    <x v="2"/>
    <s v="Target.com"/>
    <n v="3"/>
    <s v="California"/>
    <s v="Los Angeles County"/>
    <n v="1"/>
    <n v="5"/>
    <x v="2"/>
  </r>
  <r>
    <x v="618"/>
    <x v="1"/>
    <n v="10"/>
    <n v="53.2"/>
    <n v="532"/>
    <d v="2025-01-27T00:00:00"/>
    <d v="2025-01-28T00:00:00"/>
    <x v="1"/>
    <s v="App"/>
    <n v="5"/>
    <s v="California"/>
    <s v="Placer County"/>
    <n v="1"/>
    <n v="5"/>
    <x v="1"/>
  </r>
  <r>
    <x v="619"/>
    <x v="12"/>
    <n v="6"/>
    <n v="51.1"/>
    <n v="306.60000000000002"/>
    <d v="2025-01-27T00:00:00"/>
    <d v="2025-01-27T00:00:00"/>
    <x v="1"/>
    <s v="Website"/>
    <n v="5"/>
    <s v="California"/>
    <s v="Placer County"/>
    <n v="0"/>
    <n v="5"/>
    <x v="1"/>
  </r>
  <r>
    <x v="620"/>
    <x v="1"/>
    <n v="1"/>
    <n v="105.4"/>
    <n v="105.4"/>
    <d v="2025-01-27T00:00:00"/>
    <d v="2025-01-31T00:00:00"/>
    <x v="2"/>
    <s v="Website"/>
    <n v="5"/>
    <s v="California"/>
    <s v="Riverside County"/>
    <n v="4"/>
    <n v="5"/>
    <x v="2"/>
  </r>
  <r>
    <x v="621"/>
    <x v="7"/>
    <n v="1"/>
    <n v="57.7"/>
    <n v="57.7"/>
    <d v="2025-01-27T00:00:00"/>
    <d v="2025-01-27T00:00:00"/>
    <x v="1"/>
    <s v="App"/>
    <n v="2"/>
    <s v="California"/>
    <s v="San Diego County"/>
    <n v="0"/>
    <n v="5"/>
    <x v="1"/>
  </r>
  <r>
    <x v="622"/>
    <x v="15"/>
    <n v="2"/>
    <n v="72.400000000000006"/>
    <n v="144.80000000000001"/>
    <d v="2025-01-27T00:00:00"/>
    <d v="2025-02-01T00:00:00"/>
    <x v="2"/>
    <s v="App"/>
    <n v="4"/>
    <s v="California"/>
    <s v="San Francisco"/>
    <n v="5"/>
    <n v="5"/>
    <x v="2"/>
  </r>
  <r>
    <x v="623"/>
    <x v="6"/>
    <n v="2"/>
    <n v="62.5"/>
    <n v="125"/>
    <d v="2025-01-27T00:00:00"/>
    <d v="2025-01-28T00:00:00"/>
    <x v="0"/>
    <s v="App"/>
    <n v="5"/>
    <s v="California"/>
    <s v="Santa Clara County"/>
    <n v="1"/>
    <n v="5"/>
    <x v="0"/>
  </r>
  <r>
    <x v="624"/>
    <x v="0"/>
    <n v="22"/>
    <n v="11.6"/>
    <n v="255.2"/>
    <d v="2025-01-27T00:00:00"/>
    <d v="2025-01-29T00:00:00"/>
    <x v="2"/>
    <s v="Instagram"/>
    <n v="5"/>
    <s v="California"/>
    <s v="Sonoma County"/>
    <n v="2"/>
    <n v="5"/>
    <x v="2"/>
  </r>
  <r>
    <x v="625"/>
    <x v="10"/>
    <n v="10"/>
    <n v="39.6"/>
    <n v="396"/>
    <d v="2025-01-27T00:00:00"/>
    <d v="2025-01-29T00:00:00"/>
    <x v="2"/>
    <s v="Target.com"/>
    <n v="5"/>
    <s v="California"/>
    <s v="Sonoma County"/>
    <n v="2"/>
    <n v="5"/>
    <x v="2"/>
  </r>
  <r>
    <x v="626"/>
    <x v="8"/>
    <n v="2"/>
    <n v="40.1"/>
    <n v="80.2"/>
    <d v="2025-01-27T00:00:00"/>
    <d v="2025-01-28T00:00:00"/>
    <x v="2"/>
    <s v="Target.com"/>
    <n v="4"/>
    <s v="California"/>
    <s v="Sonoma County"/>
    <n v="1"/>
    <n v="5"/>
    <x v="2"/>
  </r>
  <r>
    <x v="627"/>
    <x v="8"/>
    <n v="3"/>
    <n v="18.600000000000001"/>
    <n v="55.800000000000004"/>
    <d v="2025-01-27T00:00:00"/>
    <d v="2025-01-28T00:00:00"/>
    <x v="2"/>
    <s v="Target.com"/>
    <n v="4"/>
    <s v="California"/>
    <s v="Alameda County"/>
    <n v="1"/>
    <n v="5"/>
    <x v="2"/>
  </r>
  <r>
    <x v="628"/>
    <x v="4"/>
    <n v="1"/>
    <n v="58.8"/>
    <n v="58.8"/>
    <d v="2025-01-27T00:00:00"/>
    <d v="2025-01-29T00:00:00"/>
    <x v="2"/>
    <s v="App"/>
    <n v="3"/>
    <s v="California"/>
    <s v="Alameda County"/>
    <n v="2"/>
    <n v="5"/>
    <x v="2"/>
  </r>
  <r>
    <x v="629"/>
    <x v="8"/>
    <n v="2"/>
    <n v="22.1"/>
    <n v="44.2"/>
    <d v="2025-01-27T00:00:00"/>
    <d v="2025-01-30T00:00:00"/>
    <x v="1"/>
    <s v="Website"/>
    <n v="5"/>
    <s v="California"/>
    <s v="Alameda County"/>
    <n v="3"/>
    <n v="5"/>
    <x v="1"/>
  </r>
  <r>
    <x v="630"/>
    <x v="2"/>
    <n v="1"/>
    <n v="114.9"/>
    <n v="114.9"/>
    <d v="2025-01-28T00:00:00"/>
    <d v="2025-01-29T00:00:00"/>
    <x v="2"/>
    <s v="Website"/>
    <n v="3"/>
    <s v="California"/>
    <s v="Kern County"/>
    <n v="1"/>
    <n v="5"/>
    <x v="2"/>
  </r>
  <r>
    <x v="631"/>
    <x v="9"/>
    <n v="5"/>
    <n v="75.8"/>
    <n v="379"/>
    <d v="2025-01-28T00:00:00"/>
    <d v="2025-01-29T00:00:00"/>
    <x v="1"/>
    <s v="App"/>
    <n v="5"/>
    <s v="California"/>
    <s v="Los Angeles County"/>
    <n v="1"/>
    <n v="5"/>
    <x v="1"/>
  </r>
  <r>
    <x v="632"/>
    <x v="14"/>
    <n v="5"/>
    <n v="20.6"/>
    <n v="103"/>
    <d v="2025-01-28T00:00:00"/>
    <d v="2025-01-29T00:00:00"/>
    <x v="1"/>
    <s v="Target.com"/>
    <n v="5"/>
    <s v="California"/>
    <s v="Los Angeles County"/>
    <n v="1"/>
    <n v="5"/>
    <x v="1"/>
  </r>
  <r>
    <x v="633"/>
    <x v="17"/>
    <n v="3"/>
    <n v="67.900000000000006"/>
    <n v="203.70000000000002"/>
    <d v="2025-01-28T00:00:00"/>
    <d v="2025-01-29T00:00:00"/>
    <x v="2"/>
    <s v="Website"/>
    <n v="3"/>
    <s v="California"/>
    <s v="Los Angeles County"/>
    <n v="1"/>
    <n v="5"/>
    <x v="2"/>
  </r>
  <r>
    <x v="634"/>
    <x v="0"/>
    <n v="5"/>
    <n v="27"/>
    <n v="135"/>
    <d v="2025-01-28T00:00:00"/>
    <d v="2025-02-04T00:00:00"/>
    <x v="2"/>
    <s v="App"/>
    <n v="5"/>
    <s v="California"/>
    <s v="Los Angeles County"/>
    <n v="7"/>
    <n v="5"/>
    <x v="2"/>
  </r>
  <r>
    <x v="635"/>
    <x v="13"/>
    <n v="1"/>
    <n v="50.6"/>
    <n v="50.6"/>
    <d v="2025-01-28T00:00:00"/>
    <d v="2025-01-28T00:00:00"/>
    <x v="1"/>
    <s v="App"/>
    <n v="3"/>
    <s v="California"/>
    <s v="Los Angeles County"/>
    <n v="0"/>
    <n v="5"/>
    <x v="1"/>
  </r>
  <r>
    <x v="636"/>
    <x v="4"/>
    <n v="5"/>
    <n v="22.1"/>
    <n v="110.5"/>
    <d v="2025-01-28T00:00:00"/>
    <d v="2025-02-02T00:00:00"/>
    <x v="1"/>
    <s v="App"/>
    <n v="4"/>
    <s v="California"/>
    <s v="Los Angeles County"/>
    <n v="5"/>
    <n v="5"/>
    <x v="1"/>
  </r>
  <r>
    <x v="637"/>
    <x v="8"/>
    <n v="3"/>
    <n v="42.9"/>
    <n v="128.69999999999999"/>
    <d v="2025-01-28T00:00:00"/>
    <d v="2025-01-30T00:00:00"/>
    <x v="2"/>
    <s v="App"/>
    <n v="4"/>
    <s v="California"/>
    <s v="Los Angeles County"/>
    <n v="2"/>
    <n v="5"/>
    <x v="2"/>
  </r>
  <r>
    <x v="638"/>
    <x v="1"/>
    <n v="11"/>
    <n v="62.4"/>
    <n v="686.4"/>
    <d v="2025-01-28T00:00:00"/>
    <d v="2025-01-30T00:00:00"/>
    <x v="2"/>
    <s v="Target.com"/>
    <n v="4"/>
    <s v="California"/>
    <s v="Los Angeles County"/>
    <n v="2"/>
    <n v="5"/>
    <x v="2"/>
  </r>
  <r>
    <x v="639"/>
    <x v="13"/>
    <n v="9"/>
    <n v="36.4"/>
    <n v="327.59999999999997"/>
    <d v="2025-01-28T00:00:00"/>
    <d v="2025-01-30T00:00:00"/>
    <x v="2"/>
    <s v="App"/>
    <n v="5"/>
    <s v="California"/>
    <s v="Los Angeles County"/>
    <n v="2"/>
    <n v="5"/>
    <x v="2"/>
  </r>
  <r>
    <x v="640"/>
    <x v="0"/>
    <n v="2"/>
    <n v="22.5"/>
    <n v="45"/>
    <d v="2025-01-28T00:00:00"/>
    <d v="2025-01-31T00:00:00"/>
    <x v="1"/>
    <s v="App"/>
    <n v="4"/>
    <s v="California"/>
    <s v="Los Angeles County"/>
    <n v="3"/>
    <n v="5"/>
    <x v="1"/>
  </r>
  <r>
    <x v="641"/>
    <x v="6"/>
    <n v="4"/>
    <n v="70.8"/>
    <n v="283.2"/>
    <d v="2025-01-28T00:00:00"/>
    <d v="2025-01-30T00:00:00"/>
    <x v="2"/>
    <s v="Partner App"/>
    <n v="4"/>
    <s v="California"/>
    <s v="Los Angeles County"/>
    <n v="2"/>
    <n v="5"/>
    <x v="2"/>
  </r>
  <r>
    <x v="642"/>
    <x v="6"/>
    <n v="5"/>
    <n v="56.6"/>
    <n v="283"/>
    <d v="2025-01-28T00:00:00"/>
    <d v="2025-01-30T00:00:00"/>
    <x v="1"/>
    <s v="App"/>
    <n v="3"/>
    <s v="California"/>
    <s v="Nevada County"/>
    <n v="2"/>
    <n v="5"/>
    <x v="1"/>
  </r>
  <r>
    <x v="643"/>
    <x v="6"/>
    <n v="2"/>
    <n v="47.9"/>
    <n v="95.8"/>
    <d v="2025-01-28T00:00:00"/>
    <d v="2025-01-29T00:00:00"/>
    <x v="2"/>
    <s v="App"/>
    <n v="4"/>
    <s v="California"/>
    <s v="Sacramento County"/>
    <n v="1"/>
    <n v="5"/>
    <x v="2"/>
  </r>
  <r>
    <x v="644"/>
    <x v="6"/>
    <n v="8"/>
    <n v="78.400000000000006"/>
    <n v="627.20000000000005"/>
    <d v="2025-01-28T00:00:00"/>
    <d v="2025-01-30T00:00:00"/>
    <x v="2"/>
    <s v="Website"/>
    <n v="4"/>
    <s v="California"/>
    <s v="Sacramento County"/>
    <n v="2"/>
    <n v="5"/>
    <x v="2"/>
  </r>
  <r>
    <x v="645"/>
    <x v="2"/>
    <n v="14"/>
    <n v="122.1"/>
    <n v="1709.3999999999999"/>
    <d v="2025-01-28T00:00:00"/>
    <d v="2025-02-02T00:00:00"/>
    <x v="2"/>
    <s v="App"/>
    <n v="5"/>
    <s v="California"/>
    <s v="Sacramento County"/>
    <n v="5"/>
    <n v="5"/>
    <x v="2"/>
  </r>
  <r>
    <x v="646"/>
    <x v="2"/>
    <n v="2"/>
    <n v="83.7"/>
    <n v="167.4"/>
    <d v="2025-01-29T00:00:00"/>
    <d v="2025-01-29T00:00:00"/>
    <x v="0"/>
    <s v="Website"/>
    <n v="5"/>
    <s v="California"/>
    <s v="San Bernardino County"/>
    <n v="0"/>
    <n v="5"/>
    <x v="0"/>
  </r>
  <r>
    <x v="647"/>
    <x v="3"/>
    <n v="4"/>
    <n v="97.9"/>
    <n v="391.6"/>
    <d v="2025-01-29T00:00:00"/>
    <d v="2025-02-02T00:00:00"/>
    <x v="2"/>
    <s v="Instagram"/>
    <n v="5"/>
    <s v="California"/>
    <s v="San Bernardino County"/>
    <n v="4"/>
    <n v="5"/>
    <x v="2"/>
  </r>
  <r>
    <x v="648"/>
    <x v="14"/>
    <n v="1"/>
    <n v="15"/>
    <n v="15"/>
    <d v="2025-01-29T00:00:00"/>
    <d v="2025-02-03T00:00:00"/>
    <x v="2"/>
    <s v="Instagram"/>
    <n v="4"/>
    <s v="California"/>
    <s v="San Diego County"/>
    <n v="5"/>
    <n v="5"/>
    <x v="2"/>
  </r>
  <r>
    <x v="649"/>
    <x v="12"/>
    <n v="3"/>
    <n v="94.6"/>
    <n v="283.79999999999995"/>
    <d v="2025-01-29T00:00:00"/>
    <d v="2025-01-30T00:00:00"/>
    <x v="1"/>
    <s v="Target.com"/>
    <n v="3"/>
    <s v="California"/>
    <s v="San Diego County"/>
    <n v="1"/>
    <n v="5"/>
    <x v="1"/>
  </r>
  <r>
    <x v="650"/>
    <x v="0"/>
    <n v="6"/>
    <n v="19.7"/>
    <n v="118.19999999999999"/>
    <d v="2025-01-29T00:00:00"/>
    <d v="2025-02-09T00:00:00"/>
    <x v="2"/>
    <s v="App"/>
    <n v="5"/>
    <s v="California"/>
    <s v="San Diego County"/>
    <n v="11"/>
    <n v="5"/>
    <x v="2"/>
  </r>
  <r>
    <x v="651"/>
    <x v="7"/>
    <n v="1"/>
    <n v="46.7"/>
    <n v="46.7"/>
    <d v="2025-01-29T00:00:00"/>
    <d v="2025-02-01T00:00:00"/>
    <x v="2"/>
    <s v="Target.com"/>
    <n v="4"/>
    <s v="California"/>
    <s v="San Francisco"/>
    <n v="3"/>
    <n v="5"/>
    <x v="2"/>
  </r>
  <r>
    <x v="652"/>
    <x v="1"/>
    <n v="4"/>
    <n v="43"/>
    <n v="172"/>
    <d v="2025-01-29T00:00:00"/>
    <d v="2025-01-30T00:00:00"/>
    <x v="1"/>
    <s v="Target.com"/>
    <n v="5"/>
    <s v="California"/>
    <s v="San Francisco"/>
    <n v="1"/>
    <n v="5"/>
    <x v="1"/>
  </r>
  <r>
    <x v="653"/>
    <x v="6"/>
    <n v="3"/>
    <n v="68.2"/>
    <n v="204.60000000000002"/>
    <d v="2025-01-29T00:00:00"/>
    <d v="2025-02-04T00:00:00"/>
    <x v="2"/>
    <s v="App"/>
    <n v="4"/>
    <s v="California"/>
    <s v="San Mateo County"/>
    <n v="6"/>
    <n v="5"/>
    <x v="2"/>
  </r>
  <r>
    <x v="654"/>
    <x v="10"/>
    <n v="10"/>
    <n v="24.3"/>
    <n v="243"/>
    <d v="2025-01-29T00:00:00"/>
    <d v="2025-01-30T00:00:00"/>
    <x v="1"/>
    <s v="App"/>
    <n v="5"/>
    <s v="California"/>
    <s v="Santa Barbara County"/>
    <n v="1"/>
    <n v="5"/>
    <x v="1"/>
  </r>
  <r>
    <x v="655"/>
    <x v="7"/>
    <n v="2"/>
    <n v="86.8"/>
    <n v="173.6"/>
    <d v="2025-01-29T00:00:00"/>
    <d v="2025-02-02T00:00:00"/>
    <x v="2"/>
    <s v="Partner App"/>
    <n v="5"/>
    <s v="California"/>
    <s v="Santa Clara County"/>
    <n v="4"/>
    <n v="5"/>
    <x v="2"/>
  </r>
  <r>
    <x v="656"/>
    <x v="0"/>
    <n v="2"/>
    <n v="15.8"/>
    <n v="31.6"/>
    <d v="2025-01-29T00:00:00"/>
    <d v="2025-01-31T00:00:00"/>
    <x v="1"/>
    <s v="Website"/>
    <n v="4"/>
    <s v="California"/>
    <s v="Santa Clara County"/>
    <n v="2"/>
    <n v="5"/>
    <x v="1"/>
  </r>
  <r>
    <x v="657"/>
    <x v="2"/>
    <n v="4"/>
    <n v="61.6"/>
    <n v="246.4"/>
    <d v="2025-01-29T00:00:00"/>
    <d v="2025-01-30T00:00:00"/>
    <x v="1"/>
    <s v="Target.com"/>
    <n v="4"/>
    <s v="California"/>
    <s v="Santa Clara County"/>
    <n v="1"/>
    <n v="5"/>
    <x v="1"/>
  </r>
  <r>
    <x v="658"/>
    <x v="6"/>
    <n v="3"/>
    <n v="48.7"/>
    <n v="146.10000000000002"/>
    <d v="2025-01-29T00:00:00"/>
    <d v="2025-02-04T00:00:00"/>
    <x v="2"/>
    <s v="Website"/>
    <n v="5"/>
    <s v="California"/>
    <s v="Trinity County"/>
    <n v="6"/>
    <n v="5"/>
    <x v="2"/>
  </r>
  <r>
    <x v="659"/>
    <x v="8"/>
    <n v="4"/>
    <n v="24.3"/>
    <n v="97.2"/>
    <d v="2025-01-29T00:00:00"/>
    <d v="2025-01-31T00:00:00"/>
    <x v="2"/>
    <s v="Website"/>
    <n v="5"/>
    <s v="California"/>
    <s v="Alameda County"/>
    <n v="2"/>
    <n v="5"/>
    <x v="2"/>
  </r>
  <r>
    <x v="660"/>
    <x v="2"/>
    <n v="2"/>
    <n v="130.69999999999999"/>
    <n v="261.39999999999998"/>
    <d v="2025-01-29T00:00:00"/>
    <d v="2025-01-30T00:00:00"/>
    <x v="2"/>
    <s v="Target.com"/>
    <n v="4"/>
    <s v="California"/>
    <s v="Humboldt County"/>
    <n v="1"/>
    <n v="5"/>
    <x v="2"/>
  </r>
  <r>
    <x v="661"/>
    <x v="10"/>
    <n v="1"/>
    <n v="26"/>
    <n v="26"/>
    <d v="2025-01-29T00:00:00"/>
    <d v="2025-01-31T00:00:00"/>
    <x v="1"/>
    <s v="App"/>
    <n v="4"/>
    <s v="California"/>
    <s v="Los Angeles County"/>
    <n v="2"/>
    <n v="5"/>
    <x v="1"/>
  </r>
  <r>
    <x v="662"/>
    <x v="2"/>
    <n v="5"/>
    <n v="94.4"/>
    <n v="472"/>
    <d v="2025-01-29T00:00:00"/>
    <d v="2025-01-30T00:00:00"/>
    <x v="2"/>
    <s v="App"/>
    <n v="4"/>
    <s v="California"/>
    <s v="Los Angeles County"/>
    <n v="1"/>
    <n v="5"/>
    <x v="2"/>
  </r>
  <r>
    <x v="663"/>
    <x v="0"/>
    <n v="6"/>
    <n v="23.7"/>
    <n v="142.19999999999999"/>
    <d v="2025-01-29T00:00:00"/>
    <d v="2025-01-31T00:00:00"/>
    <x v="1"/>
    <s v="Target.com"/>
    <n v="5"/>
    <s v="California"/>
    <s v="Los Angeles County"/>
    <n v="2"/>
    <n v="5"/>
    <x v="1"/>
  </r>
  <r>
    <x v="664"/>
    <x v="9"/>
    <n v="12"/>
    <n v="37.4"/>
    <n v="448.79999999999995"/>
    <d v="2025-01-29T00:00:00"/>
    <d v="2025-01-31T00:00:00"/>
    <x v="1"/>
    <s v="Target.com"/>
    <n v="4"/>
    <s v="California"/>
    <s v="Los Angeles County"/>
    <n v="2"/>
    <n v="5"/>
    <x v="1"/>
  </r>
  <r>
    <x v="665"/>
    <x v="1"/>
    <n v="36"/>
    <n v="55.2"/>
    <n v="1987.2"/>
    <d v="2025-01-29T00:00:00"/>
    <d v="2025-01-29T00:00:00"/>
    <x v="2"/>
    <s v="Instagram"/>
    <n v="3"/>
    <s v="California"/>
    <s v="Los Angeles County"/>
    <n v="0"/>
    <n v="5"/>
    <x v="2"/>
  </r>
  <r>
    <x v="666"/>
    <x v="2"/>
    <n v="9"/>
    <n v="57.1"/>
    <n v="513.9"/>
    <d v="2025-01-29T00:00:00"/>
    <d v="2025-01-31T00:00:00"/>
    <x v="1"/>
    <s v="App"/>
    <n v="5"/>
    <s v="California"/>
    <s v="Los Angeles County"/>
    <n v="2"/>
    <n v="5"/>
    <x v="1"/>
  </r>
  <r>
    <x v="667"/>
    <x v="12"/>
    <n v="1"/>
    <n v="55.3"/>
    <n v="55.3"/>
    <d v="2025-01-29T00:00:00"/>
    <d v="2025-01-30T00:00:00"/>
    <x v="2"/>
    <s v="Target.com"/>
    <n v="5"/>
    <s v="California"/>
    <s v="Los Angeles County"/>
    <n v="1"/>
    <n v="5"/>
    <x v="2"/>
  </r>
  <r>
    <x v="668"/>
    <x v="15"/>
    <n v="7"/>
    <n v="23.9"/>
    <n v="167.29999999999998"/>
    <d v="2025-01-29T00:00:00"/>
    <d v="2025-01-30T00:00:00"/>
    <x v="2"/>
    <s v="Partner App"/>
    <n v="3"/>
    <s v="California"/>
    <s v="Los Angeles County"/>
    <n v="1"/>
    <n v="5"/>
    <x v="2"/>
  </r>
  <r>
    <x v="669"/>
    <x v="0"/>
    <n v="1"/>
    <n v="34.1"/>
    <n v="34.1"/>
    <d v="2025-01-29T00:00:00"/>
    <d v="2025-02-05T00:00:00"/>
    <x v="2"/>
    <s v="Target.com"/>
    <n v="4"/>
    <s v="California"/>
    <s v="Los Angeles County"/>
    <n v="7"/>
    <n v="5"/>
    <x v="2"/>
  </r>
  <r>
    <x v="670"/>
    <x v="12"/>
    <n v="4"/>
    <n v="38.5"/>
    <n v="154"/>
    <d v="2025-01-29T00:00:00"/>
    <d v="2025-02-09T00:00:00"/>
    <x v="2"/>
    <s v="App"/>
    <n v="4"/>
    <s v="California"/>
    <s v="Los Angeles County"/>
    <n v="11"/>
    <n v="5"/>
    <x v="2"/>
  </r>
  <r>
    <x v="671"/>
    <x v="7"/>
    <n v="2"/>
    <n v="105"/>
    <n v="210"/>
    <d v="2025-01-29T00:00:00"/>
    <d v="2025-02-04T00:00:00"/>
    <x v="2"/>
    <s v="App"/>
    <n v="5"/>
    <s v="California"/>
    <s v="Los Angeles County"/>
    <n v="6"/>
    <n v="5"/>
    <x v="2"/>
  </r>
  <r>
    <x v="672"/>
    <x v="8"/>
    <n v="5"/>
    <n v="45.2"/>
    <n v="226"/>
    <d v="2025-01-29T00:00:00"/>
    <d v="2025-01-31T00:00:00"/>
    <x v="2"/>
    <s v="App"/>
    <n v="5"/>
    <s v="California"/>
    <s v="Los Angeles County"/>
    <n v="2"/>
    <n v="5"/>
    <x v="2"/>
  </r>
  <r>
    <x v="673"/>
    <x v="17"/>
    <n v="3"/>
    <n v="24.8"/>
    <n v="74.400000000000006"/>
    <d v="2025-01-29T00:00:00"/>
    <d v="2025-01-29T00:00:00"/>
    <x v="0"/>
    <s v="App"/>
    <n v="3"/>
    <s v="California"/>
    <s v="Los Angeles County"/>
    <n v="0"/>
    <n v="5"/>
    <x v="0"/>
  </r>
  <r>
    <x v="674"/>
    <x v="11"/>
    <n v="4"/>
    <n v="43.8"/>
    <n v="175.2"/>
    <d v="2025-01-29T00:00:00"/>
    <d v="2025-02-05T00:00:00"/>
    <x v="2"/>
    <s v="Website"/>
    <n v="5"/>
    <s v="California"/>
    <s v="Sacramento County"/>
    <n v="7"/>
    <n v="5"/>
    <x v="2"/>
  </r>
  <r>
    <x v="675"/>
    <x v="1"/>
    <n v="1"/>
    <n v="75"/>
    <n v="75"/>
    <d v="2025-01-29T00:00:00"/>
    <d v="2025-01-31T00:00:00"/>
    <x v="2"/>
    <s v="Partner App"/>
    <n v="3"/>
    <s v="California"/>
    <s v="Sacramento County"/>
    <n v="2"/>
    <n v="5"/>
    <x v="2"/>
  </r>
  <r>
    <x v="676"/>
    <x v="2"/>
    <n v="1"/>
    <n v="169.9"/>
    <n v="169.9"/>
    <d v="2025-01-29T00:00:00"/>
    <d v="2025-01-30T00:00:00"/>
    <x v="1"/>
    <s v="Target.com"/>
    <n v="4"/>
    <s v="California"/>
    <s v="Sacramento County"/>
    <n v="1"/>
    <n v="5"/>
    <x v="1"/>
  </r>
  <r>
    <x v="677"/>
    <x v="9"/>
    <n v="2"/>
    <n v="72.2"/>
    <n v="144.4"/>
    <d v="2025-01-29T00:00:00"/>
    <d v="2025-01-31T00:00:00"/>
    <x v="2"/>
    <s v="Partner App"/>
    <n v="3"/>
    <s v="California"/>
    <s v="Sacramento County"/>
    <n v="2"/>
    <n v="5"/>
    <x v="2"/>
  </r>
  <r>
    <x v="678"/>
    <x v="0"/>
    <n v="1"/>
    <n v="20"/>
    <n v="20"/>
    <d v="2025-01-30T00:00:00"/>
    <d v="2025-02-02T00:00:00"/>
    <x v="2"/>
    <s v="Target.com"/>
    <n v="3"/>
    <s v="California"/>
    <s v="San Bernardino County"/>
    <n v="3"/>
    <n v="5"/>
    <x v="2"/>
  </r>
  <r>
    <x v="679"/>
    <x v="9"/>
    <n v="2"/>
    <n v="40.799999999999997"/>
    <n v="81.599999999999994"/>
    <d v="2025-01-30T00:00:00"/>
    <d v="2025-02-01T00:00:00"/>
    <x v="2"/>
    <s v="Instagram"/>
    <n v="5"/>
    <s v="California"/>
    <s v="San Diego County"/>
    <n v="2"/>
    <n v="5"/>
    <x v="2"/>
  </r>
  <r>
    <x v="680"/>
    <x v="10"/>
    <n v="4"/>
    <n v="58"/>
    <n v="232"/>
    <d v="2025-01-30T00:00:00"/>
    <d v="2025-02-03T00:00:00"/>
    <x v="2"/>
    <s v="App"/>
    <n v="4"/>
    <s v="California"/>
    <s v="San Diego County"/>
    <n v="4"/>
    <n v="5"/>
    <x v="2"/>
  </r>
  <r>
    <x v="681"/>
    <x v="12"/>
    <n v="2"/>
    <n v="43.1"/>
    <n v="86.2"/>
    <d v="2025-01-30T00:00:00"/>
    <d v="2025-01-31T00:00:00"/>
    <x v="2"/>
    <s v="Website"/>
    <n v="5"/>
    <s v="California"/>
    <s v="San Diego County"/>
    <n v="1"/>
    <n v="5"/>
    <x v="2"/>
  </r>
  <r>
    <x v="682"/>
    <x v="6"/>
    <n v="9"/>
    <n v="74.7"/>
    <n v="672.30000000000007"/>
    <d v="2025-01-30T00:00:00"/>
    <d v="2025-02-01T00:00:00"/>
    <x v="1"/>
    <s v="App"/>
    <n v="5"/>
    <s v="California"/>
    <s v="San Diego County"/>
    <n v="2"/>
    <n v="5"/>
    <x v="1"/>
  </r>
  <r>
    <x v="683"/>
    <x v="6"/>
    <n v="1"/>
    <n v="128.19999999999999"/>
    <n v="128.19999999999999"/>
    <d v="2025-01-30T00:00:00"/>
    <d v="2025-01-30T00:00:00"/>
    <x v="1"/>
    <s v="Website"/>
    <n v="4"/>
    <s v="California"/>
    <s v="San Diego County"/>
    <n v="0"/>
    <n v="5"/>
    <x v="1"/>
  </r>
  <r>
    <x v="684"/>
    <x v="14"/>
    <n v="4"/>
    <n v="26.7"/>
    <n v="106.8"/>
    <d v="2025-01-30T00:00:00"/>
    <d v="2025-01-31T00:00:00"/>
    <x v="1"/>
    <s v="Website"/>
    <n v="4"/>
    <s v="California"/>
    <s v="San Diego County"/>
    <n v="1"/>
    <n v="5"/>
    <x v="1"/>
  </r>
  <r>
    <x v="685"/>
    <x v="17"/>
    <n v="6"/>
    <n v="31.5"/>
    <n v="189"/>
    <d v="2025-01-30T00:00:00"/>
    <d v="2025-01-31T00:00:00"/>
    <x v="2"/>
    <s v="Target.com"/>
    <n v="4"/>
    <s v="California"/>
    <s v="San Francisco"/>
    <n v="1"/>
    <n v="5"/>
    <x v="2"/>
  </r>
  <r>
    <x v="686"/>
    <x v="3"/>
    <n v="7"/>
    <n v="64.7"/>
    <n v="452.90000000000003"/>
    <d v="2025-01-30T00:00:00"/>
    <d v="2025-01-31T00:00:00"/>
    <x v="2"/>
    <s v="App"/>
    <n v="5"/>
    <s v="California"/>
    <s v="San Mateo County"/>
    <n v="1"/>
    <n v="5"/>
    <x v="2"/>
  </r>
  <r>
    <x v="687"/>
    <x v="5"/>
    <n v="2"/>
    <n v="55.6"/>
    <n v="111.2"/>
    <d v="2025-01-30T00:00:00"/>
    <d v="2025-02-02T00:00:00"/>
    <x v="2"/>
    <s v="Instagram"/>
    <n v="4"/>
    <s v="California"/>
    <s v="Santa Clara County"/>
    <n v="3"/>
    <n v="5"/>
    <x v="2"/>
  </r>
  <r>
    <x v="688"/>
    <x v="3"/>
    <n v="2"/>
    <n v="36.200000000000003"/>
    <n v="72.400000000000006"/>
    <d v="2025-01-30T00:00:00"/>
    <d v="2025-01-31T00:00:00"/>
    <x v="2"/>
    <s v="Instagram"/>
    <n v="4"/>
    <s v="California"/>
    <s v="Santa Clara County"/>
    <n v="1"/>
    <n v="5"/>
    <x v="2"/>
  </r>
  <r>
    <x v="689"/>
    <x v="0"/>
    <n v="1"/>
    <n v="26.6"/>
    <n v="26.6"/>
    <d v="2025-01-30T00:00:00"/>
    <d v="2025-01-31T00:00:00"/>
    <x v="0"/>
    <s v="Website"/>
    <n v="3"/>
    <s v="California"/>
    <s v="Stanislaus County"/>
    <n v="1"/>
    <n v="5"/>
    <x v="0"/>
  </r>
  <r>
    <x v="690"/>
    <x v="10"/>
    <n v="4"/>
    <n v="31.5"/>
    <n v="126"/>
    <d v="2025-01-30T00:00:00"/>
    <d v="2025-02-01T00:00:00"/>
    <x v="1"/>
    <s v="App"/>
    <n v="4"/>
    <s v="California"/>
    <s v="Sutter County"/>
    <n v="2"/>
    <n v="5"/>
    <x v="1"/>
  </r>
  <r>
    <x v="691"/>
    <x v="10"/>
    <n v="1"/>
    <n v="27"/>
    <n v="27"/>
    <d v="2025-01-30T00:00:00"/>
    <d v="2025-02-01T00:00:00"/>
    <x v="2"/>
    <s v="Website"/>
    <n v="5"/>
    <s v="California"/>
    <s v="Ventura County"/>
    <n v="2"/>
    <n v="5"/>
    <x v="2"/>
  </r>
  <r>
    <x v="692"/>
    <x v="4"/>
    <n v="1"/>
    <n v="32"/>
    <n v="32"/>
    <d v="2025-01-30T00:00:00"/>
    <d v="2025-02-02T00:00:00"/>
    <x v="1"/>
    <s v="Instagram"/>
    <n v="4"/>
    <s v="California"/>
    <s v="Alameda County"/>
    <n v="3"/>
    <n v="5"/>
    <x v="1"/>
  </r>
  <r>
    <x v="693"/>
    <x v="1"/>
    <n v="3"/>
    <n v="48.1"/>
    <n v="144.30000000000001"/>
    <d v="2025-01-30T00:00:00"/>
    <d v="2025-02-01T00:00:00"/>
    <x v="1"/>
    <s v="Target.com"/>
    <n v="3"/>
    <s v="California"/>
    <s v="Contra Costa County"/>
    <n v="2"/>
    <n v="5"/>
    <x v="1"/>
  </r>
  <r>
    <x v="694"/>
    <x v="9"/>
    <n v="2"/>
    <n v="43.4"/>
    <n v="86.8"/>
    <d v="2025-01-30T00:00:00"/>
    <d v="2025-01-31T00:00:00"/>
    <x v="1"/>
    <s v="Website"/>
    <n v="3"/>
    <s v="California"/>
    <s v="Kern County"/>
    <n v="1"/>
    <n v="5"/>
    <x v="1"/>
  </r>
  <r>
    <x v="695"/>
    <x v="6"/>
    <n v="2"/>
    <n v="42.6"/>
    <n v="85.2"/>
    <d v="2025-01-30T00:00:00"/>
    <d v="2025-02-02T00:00:00"/>
    <x v="2"/>
    <s v="Instagram"/>
    <n v="4"/>
    <s v="California"/>
    <s v="Kern County"/>
    <n v="3"/>
    <n v="5"/>
    <x v="2"/>
  </r>
  <r>
    <x v="696"/>
    <x v="8"/>
    <n v="2"/>
    <n v="15.9"/>
    <n v="31.8"/>
    <d v="2025-01-30T00:00:00"/>
    <d v="2025-01-31T00:00:00"/>
    <x v="2"/>
    <s v="App"/>
    <n v="4"/>
    <s v="California"/>
    <s v="Kings County"/>
    <n v="1"/>
    <n v="5"/>
    <x v="2"/>
  </r>
  <r>
    <x v="697"/>
    <x v="9"/>
    <n v="2"/>
    <n v="63.2"/>
    <n v="126.4"/>
    <d v="2025-01-30T00:00:00"/>
    <d v="2025-01-31T00:00:00"/>
    <x v="1"/>
    <s v="Website"/>
    <n v="4"/>
    <s v="California"/>
    <s v="Los Angeles County"/>
    <n v="1"/>
    <n v="5"/>
    <x v="1"/>
  </r>
  <r>
    <x v="698"/>
    <x v="7"/>
    <n v="4"/>
    <n v="64.8"/>
    <n v="259.2"/>
    <d v="2025-01-30T00:00:00"/>
    <d v="2025-02-01T00:00:00"/>
    <x v="0"/>
    <s v="Partner App"/>
    <n v="3"/>
    <s v="California"/>
    <s v="Los Angeles County"/>
    <n v="2"/>
    <n v="5"/>
    <x v="0"/>
  </r>
  <r>
    <x v="699"/>
    <x v="7"/>
    <n v="3"/>
    <n v="79.8"/>
    <n v="239.39999999999998"/>
    <d v="2025-01-30T00:00:00"/>
    <d v="2025-01-31T00:00:00"/>
    <x v="1"/>
    <s v="App"/>
    <n v="4"/>
    <s v="California"/>
    <s v="Los Angeles County"/>
    <n v="1"/>
    <n v="5"/>
    <x v="1"/>
  </r>
  <r>
    <x v="700"/>
    <x v="9"/>
    <n v="1"/>
    <n v="54.4"/>
    <n v="54.4"/>
    <d v="2025-01-30T00:00:00"/>
    <d v="2025-02-01T00:00:00"/>
    <x v="2"/>
    <s v="Partner App"/>
    <n v="5"/>
    <s v="California"/>
    <s v="Los Angeles County"/>
    <n v="2"/>
    <n v="5"/>
    <x v="2"/>
  </r>
  <r>
    <x v="701"/>
    <x v="6"/>
    <n v="1"/>
    <n v="87.3"/>
    <n v="87.3"/>
    <d v="2025-01-30T00:00:00"/>
    <d v="2025-01-31T00:00:00"/>
    <x v="1"/>
    <s v="Website"/>
    <n v="4"/>
    <s v="California"/>
    <s v="Los Angeles County"/>
    <n v="1"/>
    <n v="5"/>
    <x v="1"/>
  </r>
  <r>
    <x v="702"/>
    <x v="8"/>
    <n v="4"/>
    <n v="32.4"/>
    <n v="129.6"/>
    <d v="2025-01-30T00:00:00"/>
    <d v="2025-01-30T00:00:00"/>
    <x v="1"/>
    <s v="Website"/>
    <n v="4"/>
    <s v="California"/>
    <s v="Los Angeles County"/>
    <n v="0"/>
    <n v="5"/>
    <x v="1"/>
  </r>
  <r>
    <x v="703"/>
    <x v="2"/>
    <n v="1"/>
    <n v="177.4"/>
    <n v="177.4"/>
    <d v="2025-01-30T00:00:00"/>
    <d v="2025-02-03T00:00:00"/>
    <x v="1"/>
    <s v="App"/>
    <n v="5"/>
    <s v="California"/>
    <s v="Los Angeles County"/>
    <n v="4"/>
    <n v="5"/>
    <x v="1"/>
  </r>
  <r>
    <x v="704"/>
    <x v="7"/>
    <n v="2"/>
    <n v="70.099999999999994"/>
    <n v="140.19999999999999"/>
    <d v="2025-01-30T00:00:00"/>
    <d v="2025-01-31T00:00:00"/>
    <x v="1"/>
    <s v="Instagram"/>
    <n v="3"/>
    <s v="California"/>
    <s v="Los Angeles County"/>
    <n v="1"/>
    <n v="5"/>
    <x v="1"/>
  </r>
  <r>
    <x v="705"/>
    <x v="9"/>
    <n v="6"/>
    <n v="51.1"/>
    <n v="306.60000000000002"/>
    <d v="2025-01-30T00:00:00"/>
    <d v="2025-01-31T00:00:00"/>
    <x v="2"/>
    <s v="App"/>
    <n v="4"/>
    <s v="California"/>
    <s v="Los Angeles County"/>
    <n v="1"/>
    <n v="5"/>
    <x v="2"/>
  </r>
  <r>
    <x v="706"/>
    <x v="2"/>
    <n v="5"/>
    <n v="79.900000000000006"/>
    <n v="399.5"/>
    <d v="2025-01-30T00:00:00"/>
    <d v="2025-02-01T00:00:00"/>
    <x v="1"/>
    <s v="Instagram"/>
    <n v="5"/>
    <s v="California"/>
    <s v="Merced County"/>
    <n v="2"/>
    <n v="5"/>
    <x v="1"/>
  </r>
  <r>
    <x v="707"/>
    <x v="6"/>
    <n v="1"/>
    <n v="57.6"/>
    <n v="57.6"/>
    <d v="2025-01-31T00:00:00"/>
    <d v="2025-02-05T00:00:00"/>
    <x v="1"/>
    <s v="App"/>
    <n v="5"/>
    <s v="California"/>
    <s v="Monterey County"/>
    <n v="5"/>
    <n v="5"/>
    <x v="1"/>
  </r>
  <r>
    <x v="708"/>
    <x v="8"/>
    <n v="10"/>
    <n v="59.7"/>
    <n v="597"/>
    <d v="2025-01-31T00:00:00"/>
    <d v="2025-02-04T00:00:00"/>
    <x v="1"/>
    <s v="Target.com"/>
    <n v="4"/>
    <s v="California"/>
    <s v="Orange County"/>
    <n v="4"/>
    <n v="5"/>
    <x v="1"/>
  </r>
  <r>
    <x v="709"/>
    <x v="8"/>
    <n v="5"/>
    <n v="30"/>
    <n v="150"/>
    <d v="2025-01-31T00:00:00"/>
    <d v="2025-02-02T00:00:00"/>
    <x v="1"/>
    <s v="Website"/>
    <n v="4"/>
    <s v="California"/>
    <s v="Sacramento County"/>
    <n v="2"/>
    <n v="5"/>
    <x v="1"/>
  </r>
  <r>
    <x v="710"/>
    <x v="10"/>
    <n v="2"/>
    <n v="69.2"/>
    <n v="138.4"/>
    <d v="2025-01-31T00:00:00"/>
    <d v="2025-02-02T00:00:00"/>
    <x v="0"/>
    <s v="Target.com"/>
    <n v="3"/>
    <s v="California"/>
    <s v="Sacramento County"/>
    <n v="2"/>
    <n v="5"/>
    <x v="0"/>
  </r>
  <r>
    <x v="711"/>
    <x v="0"/>
    <n v="8"/>
    <n v="10.9"/>
    <n v="87.2"/>
    <d v="2025-01-31T00:00:00"/>
    <d v="2025-02-01T00:00:00"/>
    <x v="2"/>
    <s v="App"/>
    <n v="5"/>
    <s v="California"/>
    <s v="Sacramento County"/>
    <n v="1"/>
    <n v="5"/>
    <x v="2"/>
  </r>
  <r>
    <x v="712"/>
    <x v="16"/>
    <n v="2"/>
    <n v="48.6"/>
    <n v="97.2"/>
    <d v="2025-01-31T00:00:00"/>
    <d v="2025-02-04T00:00:00"/>
    <x v="1"/>
    <s v="Website"/>
    <n v="5"/>
    <s v="California"/>
    <s v="Sacramento County"/>
    <n v="4"/>
    <n v="5"/>
    <x v="1"/>
  </r>
  <r>
    <x v="713"/>
    <x v="2"/>
    <n v="2"/>
    <n v="61.1"/>
    <n v="122.2"/>
    <d v="2025-01-31T00:00:00"/>
    <d v="2025-02-03T00:00:00"/>
    <x v="2"/>
    <s v="Website"/>
    <n v="5"/>
    <s v="California"/>
    <s v="San Bernardino County"/>
    <n v="3"/>
    <n v="5"/>
    <x v="2"/>
  </r>
  <r>
    <x v="714"/>
    <x v="8"/>
    <n v="2"/>
    <n v="23.2"/>
    <n v="46.4"/>
    <d v="2025-01-31T00:00:00"/>
    <d v="2025-02-01T00:00:00"/>
    <x v="1"/>
    <s v="Instagram"/>
    <n v="5"/>
    <s v="California"/>
    <s v="San Diego County"/>
    <n v="1"/>
    <n v="5"/>
    <x v="1"/>
  </r>
  <r>
    <x v="715"/>
    <x v="12"/>
    <n v="4"/>
    <n v="55.8"/>
    <n v="223.2"/>
    <d v="2025-01-31T00:00:00"/>
    <d v="2025-02-01T00:00:00"/>
    <x v="1"/>
    <s v="App"/>
    <n v="4"/>
    <s v="California"/>
    <s v="San Diego County"/>
    <n v="1"/>
    <n v="5"/>
    <x v="1"/>
  </r>
  <r>
    <x v="716"/>
    <x v="9"/>
    <n v="4"/>
    <n v="24.8"/>
    <n v="99.2"/>
    <d v="2025-01-31T00:00:00"/>
    <d v="2025-02-01T00:00:00"/>
    <x v="2"/>
    <s v="App"/>
    <n v="5"/>
    <s v="California"/>
    <s v="San Diego County"/>
    <n v="1"/>
    <n v="5"/>
    <x v="2"/>
  </r>
  <r>
    <x v="717"/>
    <x v="10"/>
    <n v="2"/>
    <n v="27.9"/>
    <n v="55.8"/>
    <d v="2025-01-31T00:00:00"/>
    <d v="2025-01-31T00:00:00"/>
    <x v="1"/>
    <s v="Target.com"/>
    <n v="5"/>
    <s v="California"/>
    <s v="San Diego County"/>
    <n v="0"/>
    <n v="5"/>
    <x v="1"/>
  </r>
  <r>
    <x v="718"/>
    <x v="10"/>
    <n v="6"/>
    <n v="51.1"/>
    <n v="306.60000000000002"/>
    <d v="2025-01-31T00:00:00"/>
    <d v="2025-01-31T00:00:00"/>
    <x v="2"/>
    <s v="Instagram"/>
    <n v="4"/>
    <s v="California"/>
    <s v="San Diego County"/>
    <n v="0"/>
    <n v="5"/>
    <x v="2"/>
  </r>
  <r>
    <x v="719"/>
    <x v="17"/>
    <n v="11"/>
    <n v="32.700000000000003"/>
    <n v="359.70000000000005"/>
    <d v="2025-01-31T00:00:00"/>
    <d v="2025-02-01T00:00:00"/>
    <x v="1"/>
    <s v="Partner App"/>
    <n v="5"/>
    <s v="California"/>
    <s v="San Francisco"/>
    <n v="1"/>
    <n v="5"/>
    <x v="1"/>
  </r>
  <r>
    <x v="720"/>
    <x v="8"/>
    <n v="4"/>
    <n v="22.5"/>
    <n v="90"/>
    <d v="2025-01-31T00:00:00"/>
    <d v="2025-01-31T00:00:00"/>
    <x v="1"/>
    <s v="App"/>
    <n v="5"/>
    <s v="California"/>
    <s v="San Joaquin County"/>
    <n v="0"/>
    <n v="5"/>
    <x v="1"/>
  </r>
  <r>
    <x v="721"/>
    <x v="0"/>
    <n v="7"/>
    <n v="14.6"/>
    <n v="102.2"/>
    <d v="2025-01-31T00:00:00"/>
    <d v="2025-02-01T00:00:00"/>
    <x v="2"/>
    <s v="Target.com"/>
    <n v="4"/>
    <s v="California"/>
    <s v="San Luis Obispo County"/>
    <n v="1"/>
    <n v="5"/>
    <x v="2"/>
  </r>
  <r>
    <x v="722"/>
    <x v="5"/>
    <n v="3"/>
    <n v="32.5"/>
    <n v="97.5"/>
    <d v="2025-01-31T00:00:00"/>
    <d v="2025-02-03T00:00:00"/>
    <x v="1"/>
    <s v="App"/>
    <n v="4"/>
    <s v="California"/>
    <s v="Santa Barbara County"/>
    <n v="3"/>
    <n v="5"/>
    <x v="1"/>
  </r>
  <r>
    <x v="723"/>
    <x v="18"/>
    <n v="1"/>
    <n v="78.099999999999994"/>
    <n v="78.099999999999994"/>
    <d v="2025-01-31T00:00:00"/>
    <d v="2025-02-03T00:00:00"/>
    <x v="1"/>
    <s v="App"/>
    <n v="5"/>
    <s v="California"/>
    <s v="Santa Clara County"/>
    <n v="3"/>
    <n v="5"/>
    <x v="1"/>
  </r>
  <r>
    <x v="724"/>
    <x v="12"/>
    <n v="6"/>
    <n v="110.2"/>
    <n v="661.2"/>
    <d v="2025-01-31T00:00:00"/>
    <d v="2025-01-31T00:00:00"/>
    <x v="1"/>
    <s v="Website"/>
    <n v="2"/>
    <s v="California"/>
    <s v="Ventura County"/>
    <n v="0"/>
    <n v="5"/>
    <x v="1"/>
  </r>
  <r>
    <x v="725"/>
    <x v="6"/>
    <n v="3"/>
    <n v="86.3"/>
    <n v="258.89999999999998"/>
    <d v="2025-01-31T00:00:00"/>
    <d v="2025-02-02T00:00:00"/>
    <x v="2"/>
    <s v="Instagram"/>
    <n v="4"/>
    <s v="California"/>
    <s v="Alameda County"/>
    <n v="2"/>
    <n v="5"/>
    <x v="2"/>
  </r>
  <r>
    <x v="726"/>
    <x v="1"/>
    <n v="6"/>
    <n v="73.599999999999994"/>
    <n v="441.59999999999997"/>
    <d v="2025-01-31T00:00:00"/>
    <d v="2025-02-02T00:00:00"/>
    <x v="3"/>
    <s v="Instagram"/>
    <n v="2"/>
    <s v="California"/>
    <s v="Humboldt County"/>
    <n v="2"/>
    <n v="5"/>
    <x v="3"/>
  </r>
  <r>
    <x v="727"/>
    <x v="6"/>
    <n v="13"/>
    <n v="67.7"/>
    <n v="880.1"/>
    <d v="2025-01-31T00:00:00"/>
    <d v="2025-02-02T00:00:00"/>
    <x v="2"/>
    <s v="App"/>
    <n v="5"/>
    <s v="California"/>
    <s v="Los Angeles County"/>
    <n v="2"/>
    <n v="5"/>
    <x v="2"/>
  </r>
  <r>
    <x v="728"/>
    <x v="7"/>
    <n v="6"/>
    <n v="142.19999999999999"/>
    <n v="853.19999999999993"/>
    <d v="2025-01-31T00:00:00"/>
    <d v="2025-02-01T00:00:00"/>
    <x v="2"/>
    <s v="Target.com"/>
    <n v="2"/>
    <s v="California"/>
    <s v="Los Angeles County"/>
    <n v="1"/>
    <n v="5"/>
    <x v="2"/>
  </r>
  <r>
    <x v="729"/>
    <x v="1"/>
    <n v="9"/>
    <n v="45.8"/>
    <n v="412.2"/>
    <d v="2025-01-31T00:00:00"/>
    <d v="2025-02-02T00:00:00"/>
    <x v="2"/>
    <s v="Website"/>
    <n v="5"/>
    <s v="California"/>
    <s v="Los Angeles County"/>
    <n v="2"/>
    <n v="5"/>
    <x v="2"/>
  </r>
  <r>
    <x v="730"/>
    <x v="10"/>
    <n v="2"/>
    <n v="24.2"/>
    <n v="48.4"/>
    <d v="2025-02-01T00:00:00"/>
    <d v="2025-02-04T00:00:00"/>
    <x v="2"/>
    <s v="Instagram"/>
    <n v="5"/>
    <s v="California"/>
    <s v="Los Angeles County"/>
    <n v="3"/>
    <n v="5"/>
    <x v="2"/>
  </r>
  <r>
    <x v="731"/>
    <x v="2"/>
    <n v="3"/>
    <n v="144.9"/>
    <n v="434.70000000000005"/>
    <d v="2025-02-01T00:00:00"/>
    <d v="2025-02-02T00:00:00"/>
    <x v="3"/>
    <s v="Target.com"/>
    <n v="5"/>
    <s v="California"/>
    <s v="Los Angeles County"/>
    <n v="1"/>
    <n v="5"/>
    <x v="3"/>
  </r>
  <r>
    <x v="732"/>
    <x v="11"/>
    <n v="5"/>
    <n v="32.799999999999997"/>
    <n v="164"/>
    <d v="2025-02-01T00:00:00"/>
    <d v="2025-02-04T00:00:00"/>
    <x v="2"/>
    <s v="Target.com"/>
    <n v="4"/>
    <s v="California"/>
    <s v="Riverside County"/>
    <n v="3"/>
    <n v="5"/>
    <x v="2"/>
  </r>
  <r>
    <x v="733"/>
    <x v="7"/>
    <n v="10"/>
    <n v="35.700000000000003"/>
    <n v="357"/>
    <d v="2025-02-01T00:00:00"/>
    <d v="2025-02-01T00:00:00"/>
    <x v="2"/>
    <s v="App"/>
    <n v="3"/>
    <s v="California"/>
    <s v="Sacramento County"/>
    <n v="0"/>
    <n v="5"/>
    <x v="2"/>
  </r>
  <r>
    <x v="734"/>
    <x v="9"/>
    <n v="2"/>
    <n v="54.6"/>
    <n v="109.2"/>
    <d v="2025-02-01T00:00:00"/>
    <d v="2025-02-02T00:00:00"/>
    <x v="2"/>
    <s v="Target.com"/>
    <n v="4"/>
    <s v="California"/>
    <s v="Sacramento County"/>
    <n v="1"/>
    <n v="5"/>
    <x v="2"/>
  </r>
  <r>
    <x v="735"/>
    <x v="8"/>
    <n v="2"/>
    <n v="35.700000000000003"/>
    <n v="71.400000000000006"/>
    <d v="2025-02-01T00:00:00"/>
    <d v="2025-02-04T00:00:00"/>
    <x v="0"/>
    <s v="App"/>
    <n v="3"/>
    <s v="California"/>
    <s v="Sacramento County"/>
    <n v="3"/>
    <n v="5"/>
    <x v="0"/>
  </r>
  <r>
    <x v="736"/>
    <x v="10"/>
    <n v="2"/>
    <n v="52.4"/>
    <n v="104.8"/>
    <d v="2025-02-01T00:00:00"/>
    <d v="2025-02-01T00:00:00"/>
    <x v="2"/>
    <s v="App"/>
    <n v="1"/>
    <s v="California"/>
    <s v="Sacramento County"/>
    <n v="0"/>
    <n v="5"/>
    <x v="2"/>
  </r>
  <r>
    <x v="737"/>
    <x v="8"/>
    <n v="14"/>
    <n v="16.2"/>
    <n v="226.79999999999998"/>
    <d v="2025-02-01T00:00:00"/>
    <d v="2025-02-02T00:00:00"/>
    <x v="0"/>
    <s v="App"/>
    <n v="3"/>
    <s v="California"/>
    <s v="San Diego County"/>
    <n v="1"/>
    <n v="5"/>
    <x v="0"/>
  </r>
  <r>
    <x v="738"/>
    <x v="6"/>
    <n v="47"/>
    <n v="42.8"/>
    <n v="2011.6"/>
    <d v="2025-02-01T00:00:00"/>
    <d v="2025-02-02T00:00:00"/>
    <x v="2"/>
    <s v="App"/>
    <n v="4"/>
    <s v="California"/>
    <s v="San Diego County"/>
    <n v="1"/>
    <n v="5"/>
    <x v="2"/>
  </r>
  <r>
    <x v="739"/>
    <x v="6"/>
    <n v="9"/>
    <n v="144.4"/>
    <n v="1299.6000000000001"/>
    <d v="2025-02-01T00:00:00"/>
    <d v="2025-02-04T00:00:00"/>
    <x v="2"/>
    <s v="Partner App"/>
    <n v="4"/>
    <s v="California"/>
    <s v="San Diego County"/>
    <n v="3"/>
    <n v="5"/>
    <x v="2"/>
  </r>
  <r>
    <x v="740"/>
    <x v="3"/>
    <n v="36"/>
    <n v="30.6"/>
    <n v="1101.6000000000001"/>
    <d v="2025-02-01T00:00:00"/>
    <d v="2025-02-05T00:00:00"/>
    <x v="2"/>
    <s v="Target.com"/>
    <n v="5"/>
    <s v="California"/>
    <s v="Santa Clara County"/>
    <n v="4"/>
    <n v="5"/>
    <x v="2"/>
  </r>
  <r>
    <x v="741"/>
    <x v="2"/>
    <n v="2"/>
    <n v="117.5"/>
    <n v="235"/>
    <d v="2025-02-01T00:00:00"/>
    <d v="2025-02-02T00:00:00"/>
    <x v="1"/>
    <s v="App"/>
    <n v="4"/>
    <s v="California"/>
    <s v="Stanislaus County"/>
    <n v="1"/>
    <n v="5"/>
    <x v="1"/>
  </r>
  <r>
    <x v="742"/>
    <x v="6"/>
    <n v="2"/>
    <n v="105.7"/>
    <n v="211.4"/>
    <d v="2025-02-01T00:00:00"/>
    <d v="2025-02-02T00:00:00"/>
    <x v="2"/>
    <s v="Target.com"/>
    <n v="5"/>
    <s v="California"/>
    <s v="Alameda County"/>
    <n v="1"/>
    <n v="5"/>
    <x v="2"/>
  </r>
  <r>
    <x v="743"/>
    <x v="3"/>
    <n v="3"/>
    <n v="133.69999999999999"/>
    <n v="401.09999999999997"/>
    <d v="2025-02-01T00:00:00"/>
    <d v="2025-02-02T00:00:00"/>
    <x v="0"/>
    <s v="Partner App"/>
    <n v="5"/>
    <s v="California"/>
    <s v="Alameda County"/>
    <n v="1"/>
    <n v="5"/>
    <x v="0"/>
  </r>
  <r>
    <x v="744"/>
    <x v="4"/>
    <n v="5"/>
    <n v="46.8"/>
    <n v="234"/>
    <d v="2025-02-02T00:00:00"/>
    <d v="2025-02-10T00:00:00"/>
    <x v="2"/>
    <s v="App"/>
    <n v="3"/>
    <s v="California"/>
    <s v="Alameda County"/>
    <n v="8"/>
    <n v="6"/>
    <x v="2"/>
  </r>
  <r>
    <x v="745"/>
    <x v="10"/>
    <n v="3"/>
    <n v="58.4"/>
    <n v="175.2"/>
    <d v="2025-02-02T00:00:00"/>
    <d v="2025-02-04T00:00:00"/>
    <x v="2"/>
    <s v="App"/>
    <n v="4"/>
    <s v="California"/>
    <s v="Contra Costa County"/>
    <n v="2"/>
    <n v="6"/>
    <x v="2"/>
  </r>
  <r>
    <x v="746"/>
    <x v="6"/>
    <n v="9"/>
    <n v="65.099999999999994"/>
    <n v="585.9"/>
    <d v="2025-02-02T00:00:00"/>
    <d v="2025-02-06T00:00:00"/>
    <x v="1"/>
    <s v="Website"/>
    <n v="5"/>
    <s v="California"/>
    <s v="Kern County"/>
    <n v="4"/>
    <n v="6"/>
    <x v="1"/>
  </r>
  <r>
    <x v="747"/>
    <x v="8"/>
    <n v="1"/>
    <n v="18.600000000000001"/>
    <n v="18.600000000000001"/>
    <d v="2025-02-02T00:00:00"/>
    <d v="2025-02-05T00:00:00"/>
    <x v="2"/>
    <s v="App"/>
    <n v="2"/>
    <s v="California"/>
    <s v="Kern County"/>
    <n v="3"/>
    <n v="6"/>
    <x v="2"/>
  </r>
  <r>
    <x v="748"/>
    <x v="1"/>
    <n v="11"/>
    <n v="92.3"/>
    <n v="1015.3"/>
    <d v="2025-02-02T00:00:00"/>
    <d v="2025-02-04T00:00:00"/>
    <x v="1"/>
    <s v="Website"/>
    <n v="4"/>
    <s v="California"/>
    <s v="Los Angeles County"/>
    <n v="2"/>
    <n v="6"/>
    <x v="1"/>
  </r>
  <r>
    <x v="749"/>
    <x v="6"/>
    <n v="3"/>
    <n v="81.7"/>
    <n v="245.10000000000002"/>
    <d v="2025-02-02T00:00:00"/>
    <d v="2025-02-03T00:00:00"/>
    <x v="0"/>
    <s v="Partner App"/>
    <n v="2"/>
    <s v="California"/>
    <s v="Los Angeles County"/>
    <n v="1"/>
    <n v="6"/>
    <x v="0"/>
  </r>
  <r>
    <x v="750"/>
    <x v="8"/>
    <n v="2"/>
    <n v="40.9"/>
    <n v="81.8"/>
    <d v="2025-02-02T00:00:00"/>
    <d v="2025-02-04T00:00:00"/>
    <x v="1"/>
    <s v="App"/>
    <n v="3"/>
    <s v="California"/>
    <s v="Los Angeles County"/>
    <n v="2"/>
    <n v="6"/>
    <x v="1"/>
  </r>
  <r>
    <x v="751"/>
    <x v="6"/>
    <n v="4"/>
    <n v="43.2"/>
    <n v="172.8"/>
    <d v="2025-02-02T00:00:00"/>
    <d v="2025-02-08T00:00:00"/>
    <x v="2"/>
    <s v="App"/>
    <n v="3"/>
    <s v="California"/>
    <s v="Los Angeles County"/>
    <n v="6"/>
    <n v="6"/>
    <x v="2"/>
  </r>
  <r>
    <x v="752"/>
    <x v="8"/>
    <n v="11"/>
    <n v="25.8"/>
    <n v="283.8"/>
    <d v="2025-02-02T00:00:00"/>
    <d v="2025-02-05T00:00:00"/>
    <x v="1"/>
    <s v="Target.com"/>
    <n v="3"/>
    <s v="California"/>
    <s v="Los Angeles County"/>
    <n v="3"/>
    <n v="6"/>
    <x v="1"/>
  </r>
  <r>
    <x v="753"/>
    <x v="15"/>
    <n v="4"/>
    <n v="36.4"/>
    <n v="145.6"/>
    <d v="2025-02-02T00:00:00"/>
    <d v="2025-02-03T00:00:00"/>
    <x v="1"/>
    <s v="App"/>
    <n v="4"/>
    <s v="California"/>
    <s v="Los Angeles County"/>
    <n v="1"/>
    <n v="6"/>
    <x v="1"/>
  </r>
  <r>
    <x v="754"/>
    <x v="10"/>
    <n v="1"/>
    <n v="59.1"/>
    <n v="59.1"/>
    <d v="2025-02-02T00:00:00"/>
    <d v="2025-02-03T00:00:00"/>
    <x v="2"/>
    <s v="Target.com"/>
    <n v="4"/>
    <s v="California"/>
    <s v="San Bernardino County"/>
    <n v="1"/>
    <n v="6"/>
    <x v="2"/>
  </r>
  <r>
    <x v="755"/>
    <x v="2"/>
    <n v="17"/>
    <n v="74.5"/>
    <n v="1266.5"/>
    <d v="2025-02-02T00:00:00"/>
    <d v="2025-02-04T00:00:00"/>
    <x v="1"/>
    <s v="Partner App"/>
    <n v="4"/>
    <s v="California"/>
    <s v="Sonoma County"/>
    <n v="2"/>
    <n v="6"/>
    <x v="1"/>
  </r>
  <r>
    <x v="756"/>
    <x v="5"/>
    <n v="1"/>
    <n v="72.8"/>
    <n v="72.8"/>
    <d v="2025-02-02T00:00:00"/>
    <d v="2025-02-03T00:00:00"/>
    <x v="2"/>
    <s v="App"/>
    <n v="3"/>
    <s v="California"/>
    <s v="Stanislaus County"/>
    <n v="1"/>
    <n v="6"/>
    <x v="2"/>
  </r>
  <r>
    <x v="757"/>
    <x v="6"/>
    <n v="4"/>
    <n v="137.30000000000001"/>
    <n v="549.20000000000005"/>
    <d v="2025-02-02T00:00:00"/>
    <d v="2025-02-05T00:00:00"/>
    <x v="2"/>
    <s v="App"/>
    <n v="4"/>
    <s v="California"/>
    <s v="Ventura County"/>
    <n v="3"/>
    <n v="6"/>
    <x v="2"/>
  </r>
  <r>
    <x v="758"/>
    <x v="1"/>
    <n v="3"/>
    <n v="48.7"/>
    <n v="146.10000000000002"/>
    <d v="2025-02-02T00:00:00"/>
    <d v="2025-02-07T00:00:00"/>
    <x v="2"/>
    <s v="App"/>
    <n v="3"/>
    <s v="California"/>
    <s v="Alameda County"/>
    <n v="5"/>
    <n v="6"/>
    <x v="2"/>
  </r>
  <r>
    <x v="759"/>
    <x v="6"/>
    <n v="4"/>
    <n v="53.7"/>
    <n v="214.8"/>
    <d v="2025-02-02T00:00:00"/>
    <d v="2025-02-06T00:00:00"/>
    <x v="1"/>
    <s v="Website"/>
    <n v="2"/>
    <s v="California"/>
    <s v="Fresno County"/>
    <n v="4"/>
    <n v="6"/>
    <x v="1"/>
  </r>
  <r>
    <x v="760"/>
    <x v="2"/>
    <n v="7"/>
    <n v="100.9"/>
    <n v="706.30000000000007"/>
    <d v="2025-02-02T00:00:00"/>
    <d v="2025-02-04T00:00:00"/>
    <x v="2"/>
    <s v="App"/>
    <n v="3"/>
    <s v="California"/>
    <s v="Fresno County"/>
    <n v="2"/>
    <n v="6"/>
    <x v="2"/>
  </r>
  <r>
    <x v="761"/>
    <x v="10"/>
    <n v="2"/>
    <n v="41.8"/>
    <n v="83.6"/>
    <d v="2025-02-02T00:00:00"/>
    <d v="2025-02-06T00:00:00"/>
    <x v="1"/>
    <s v="Instagram"/>
    <n v="5"/>
    <s v="California"/>
    <s v="Kern County"/>
    <n v="4"/>
    <n v="6"/>
    <x v="1"/>
  </r>
  <r>
    <x v="762"/>
    <x v="4"/>
    <n v="8"/>
    <n v="28.5"/>
    <n v="228"/>
    <d v="2025-02-02T00:00:00"/>
    <d v="2025-02-04T00:00:00"/>
    <x v="1"/>
    <s v="Target.com"/>
    <n v="3"/>
    <s v="California"/>
    <s v="Los Angeles County"/>
    <n v="2"/>
    <n v="6"/>
    <x v="1"/>
  </r>
  <r>
    <x v="763"/>
    <x v="7"/>
    <n v="4"/>
    <n v="88.9"/>
    <n v="355.6"/>
    <d v="2025-02-02T00:00:00"/>
    <d v="2025-02-05T00:00:00"/>
    <x v="2"/>
    <s v="App"/>
    <n v="5"/>
    <s v="California"/>
    <s v="Los Angeles County"/>
    <n v="3"/>
    <n v="6"/>
    <x v="2"/>
  </r>
  <r>
    <x v="764"/>
    <x v="6"/>
    <n v="1"/>
    <n v="62.5"/>
    <n v="62.5"/>
    <d v="2025-02-02T00:00:00"/>
    <d v="2025-02-11T00:00:00"/>
    <x v="2"/>
    <s v="App"/>
    <n v="5"/>
    <s v="California"/>
    <s v="Los Angeles County"/>
    <n v="9"/>
    <n v="6"/>
    <x v="2"/>
  </r>
  <r>
    <x v="765"/>
    <x v="1"/>
    <n v="3"/>
    <n v="46.9"/>
    <n v="140.69999999999999"/>
    <d v="2025-02-02T00:00:00"/>
    <d v="2025-02-03T00:00:00"/>
    <x v="1"/>
    <s v="App"/>
    <n v="5"/>
    <s v="California"/>
    <s v="Los Angeles County"/>
    <n v="1"/>
    <n v="6"/>
    <x v="1"/>
  </r>
  <r>
    <x v="766"/>
    <x v="8"/>
    <n v="3"/>
    <n v="45"/>
    <n v="135"/>
    <d v="2025-02-02T00:00:00"/>
    <d v="2025-02-16T00:00:00"/>
    <x v="1"/>
    <s v="Website"/>
    <n v="4"/>
    <s v="California"/>
    <s v="Los Angeles County"/>
    <n v="14"/>
    <n v="6"/>
    <x v="1"/>
  </r>
  <r>
    <x v="767"/>
    <x v="6"/>
    <n v="3"/>
    <n v="45.2"/>
    <n v="135.60000000000002"/>
    <d v="2025-02-02T00:00:00"/>
    <d v="2025-02-04T00:00:00"/>
    <x v="1"/>
    <s v="Partner App"/>
    <n v="5"/>
    <s v="California"/>
    <s v="Los Angeles County"/>
    <n v="2"/>
    <n v="6"/>
    <x v="1"/>
  </r>
  <r>
    <x v="768"/>
    <x v="4"/>
    <n v="2"/>
    <n v="60.1"/>
    <n v="120.2"/>
    <d v="2025-02-02T00:00:00"/>
    <d v="2025-02-03T00:00:00"/>
    <x v="2"/>
    <s v="App"/>
    <n v="5"/>
    <s v="California"/>
    <s v="Los Angeles County"/>
    <n v="1"/>
    <n v="6"/>
    <x v="2"/>
  </r>
  <r>
    <x v="769"/>
    <x v="12"/>
    <n v="4"/>
    <n v="118.7"/>
    <n v="474.8"/>
    <d v="2025-02-02T00:00:00"/>
    <d v="2025-02-04T00:00:00"/>
    <x v="2"/>
    <s v="App"/>
    <n v="4"/>
    <s v="California"/>
    <s v="Los Angeles County"/>
    <n v="2"/>
    <n v="6"/>
    <x v="2"/>
  </r>
  <r>
    <x v="770"/>
    <x v="9"/>
    <n v="1"/>
    <n v="57.8"/>
    <n v="57.8"/>
    <d v="2025-02-02T00:00:00"/>
    <d v="2025-02-11T00:00:00"/>
    <x v="2"/>
    <s v="Website"/>
    <n v="4"/>
    <s v="California"/>
    <s v="Los Angeles County"/>
    <n v="9"/>
    <n v="6"/>
    <x v="2"/>
  </r>
  <r>
    <x v="771"/>
    <x v="4"/>
    <n v="1"/>
    <n v="19.5"/>
    <n v="19.5"/>
    <d v="2025-02-02T00:00:00"/>
    <d v="2025-02-03T00:00:00"/>
    <x v="1"/>
    <s v="Website"/>
    <n v="3"/>
    <s v="California"/>
    <s v="Los Angeles County"/>
    <n v="1"/>
    <n v="6"/>
    <x v="1"/>
  </r>
  <r>
    <x v="772"/>
    <x v="12"/>
    <n v="1"/>
    <n v="42.6"/>
    <n v="42.6"/>
    <d v="2025-02-02T00:00:00"/>
    <d v="2025-02-03T00:00:00"/>
    <x v="1"/>
    <s v="App"/>
    <n v="3"/>
    <s v="California"/>
    <s v="Los Angeles County"/>
    <n v="1"/>
    <n v="6"/>
    <x v="1"/>
  </r>
  <r>
    <x v="773"/>
    <x v="6"/>
    <n v="2"/>
    <n v="74.8"/>
    <n v="149.6"/>
    <d v="2025-02-02T00:00:00"/>
    <d v="2025-02-03T00:00:00"/>
    <x v="2"/>
    <s v="Instagram"/>
    <n v="5"/>
    <s v="California"/>
    <s v="Madera County"/>
    <n v="1"/>
    <n v="6"/>
    <x v="2"/>
  </r>
  <r>
    <x v="774"/>
    <x v="8"/>
    <n v="3"/>
    <n v="32.5"/>
    <n v="97.5"/>
    <d v="2025-02-02T00:00:00"/>
    <d v="2025-02-03T00:00:00"/>
    <x v="1"/>
    <s v="Target.com"/>
    <n v="2"/>
    <s v="California"/>
    <s v="Napa County"/>
    <n v="1"/>
    <n v="6"/>
    <x v="1"/>
  </r>
  <r>
    <x v="775"/>
    <x v="2"/>
    <n v="3"/>
    <n v="60.5"/>
    <n v="181.5"/>
    <d v="2025-02-02T00:00:00"/>
    <d v="2025-02-02T00:00:00"/>
    <x v="2"/>
    <s v="Website"/>
    <n v="5"/>
    <s v="California"/>
    <s v="Orange County"/>
    <n v="0"/>
    <n v="6"/>
    <x v="2"/>
  </r>
  <r>
    <x v="776"/>
    <x v="1"/>
    <n v="7"/>
    <n v="57.2"/>
    <n v="400.40000000000003"/>
    <d v="2025-02-02T00:00:00"/>
    <d v="2025-02-04T00:00:00"/>
    <x v="0"/>
    <s v="Target.com"/>
    <n v="4"/>
    <s v="California"/>
    <s v="Orange County"/>
    <n v="2"/>
    <n v="6"/>
    <x v="0"/>
  </r>
  <r>
    <x v="777"/>
    <x v="16"/>
    <n v="2"/>
    <n v="112"/>
    <n v="224"/>
    <d v="2025-02-02T00:00:00"/>
    <d v="2025-02-03T00:00:00"/>
    <x v="2"/>
    <s v="Website"/>
    <n v="3"/>
    <s v="California"/>
    <s v="Placer County"/>
    <n v="1"/>
    <n v="6"/>
    <x v="2"/>
  </r>
  <r>
    <x v="778"/>
    <x v="7"/>
    <n v="10"/>
    <n v="49"/>
    <n v="490"/>
    <d v="2025-02-02T00:00:00"/>
    <d v="2025-02-03T00:00:00"/>
    <x v="3"/>
    <s v="Target.com"/>
    <n v="3"/>
    <s v="California"/>
    <s v="Sacramento County"/>
    <n v="1"/>
    <n v="6"/>
    <x v="3"/>
  </r>
  <r>
    <x v="779"/>
    <x v="0"/>
    <n v="2"/>
    <n v="33.700000000000003"/>
    <n v="67.400000000000006"/>
    <d v="2025-02-02T00:00:00"/>
    <d v="2025-02-06T00:00:00"/>
    <x v="2"/>
    <s v="Instagram"/>
    <n v="4"/>
    <s v="California"/>
    <s v="Sacramento County"/>
    <n v="4"/>
    <n v="6"/>
    <x v="2"/>
  </r>
  <r>
    <x v="780"/>
    <x v="4"/>
    <n v="3"/>
    <n v="35.6"/>
    <n v="106.80000000000001"/>
    <d v="2025-02-02T00:00:00"/>
    <d v="2025-02-05T00:00:00"/>
    <x v="2"/>
    <s v="App"/>
    <n v="5"/>
    <s v="California"/>
    <s v="Sacramento County"/>
    <n v="3"/>
    <n v="6"/>
    <x v="2"/>
  </r>
  <r>
    <x v="781"/>
    <x v="4"/>
    <n v="35"/>
    <n v="30.4"/>
    <n v="1064"/>
    <d v="2025-02-03T00:00:00"/>
    <d v="2025-02-03T00:00:00"/>
    <x v="2"/>
    <s v="App"/>
    <n v="3"/>
    <s v="California"/>
    <s v="San Bernardino County"/>
    <n v="0"/>
    <n v="6"/>
    <x v="2"/>
  </r>
  <r>
    <x v="782"/>
    <x v="10"/>
    <n v="12"/>
    <n v="50.2"/>
    <n v="602.40000000000009"/>
    <d v="2025-02-03T00:00:00"/>
    <d v="2025-02-04T00:00:00"/>
    <x v="1"/>
    <s v="Partner App"/>
    <n v="4"/>
    <s v="California"/>
    <s v="San Diego County"/>
    <n v="1"/>
    <n v="6"/>
    <x v="1"/>
  </r>
  <r>
    <x v="783"/>
    <x v="1"/>
    <n v="2"/>
    <n v="43.7"/>
    <n v="87.4"/>
    <d v="2025-02-03T00:00:00"/>
    <d v="2025-02-05T00:00:00"/>
    <x v="2"/>
    <s v="App"/>
    <n v="4"/>
    <s v="California"/>
    <s v="San Diego County"/>
    <n v="2"/>
    <n v="6"/>
    <x v="2"/>
  </r>
  <r>
    <x v="784"/>
    <x v="10"/>
    <n v="1"/>
    <n v="33.299999999999997"/>
    <n v="33.299999999999997"/>
    <d v="2025-02-03T00:00:00"/>
    <d v="2025-02-04T00:00:00"/>
    <x v="2"/>
    <s v="Target.com"/>
    <n v="3"/>
    <s v="California"/>
    <s v="San Diego County"/>
    <n v="1"/>
    <n v="6"/>
    <x v="2"/>
  </r>
  <r>
    <x v="785"/>
    <x v="8"/>
    <n v="4"/>
    <n v="15.1"/>
    <n v="60.4"/>
    <d v="2025-02-03T00:00:00"/>
    <d v="2025-02-05T00:00:00"/>
    <x v="2"/>
    <s v="Partner App"/>
    <n v="5"/>
    <s v="California"/>
    <s v="San Diego County"/>
    <n v="2"/>
    <n v="6"/>
    <x v="2"/>
  </r>
  <r>
    <x v="786"/>
    <x v="6"/>
    <n v="5"/>
    <n v="118.2"/>
    <n v="591"/>
    <d v="2025-02-03T00:00:00"/>
    <d v="2025-02-04T00:00:00"/>
    <x v="2"/>
    <s v="Instagram"/>
    <n v="2"/>
    <s v="California"/>
    <s v="San Diego County"/>
    <n v="1"/>
    <n v="6"/>
    <x v="2"/>
  </r>
  <r>
    <x v="787"/>
    <x v="10"/>
    <n v="3"/>
    <n v="28.9"/>
    <n v="86.699999999999989"/>
    <d v="2025-02-03T00:00:00"/>
    <d v="2025-02-05T00:00:00"/>
    <x v="2"/>
    <s v="Target.com"/>
    <n v="3"/>
    <s v="California"/>
    <s v="San Diego County"/>
    <n v="2"/>
    <n v="6"/>
    <x v="2"/>
  </r>
  <r>
    <x v="788"/>
    <x v="4"/>
    <n v="3"/>
    <n v="55.6"/>
    <n v="166.8"/>
    <d v="2025-02-03T00:00:00"/>
    <d v="2025-02-04T00:00:00"/>
    <x v="1"/>
    <s v="App"/>
    <n v="3"/>
    <s v="California"/>
    <s v="San Diego County"/>
    <n v="1"/>
    <n v="6"/>
    <x v="1"/>
  </r>
  <r>
    <x v="789"/>
    <x v="9"/>
    <n v="4"/>
    <n v="25.6"/>
    <n v="102.4"/>
    <d v="2025-02-03T00:00:00"/>
    <d v="2025-02-05T00:00:00"/>
    <x v="2"/>
    <s v="App"/>
    <n v="3"/>
    <s v="California"/>
    <s v="San Diego County"/>
    <n v="2"/>
    <n v="6"/>
    <x v="2"/>
  </r>
  <r>
    <x v="790"/>
    <x v="7"/>
    <n v="3"/>
    <n v="31.3"/>
    <n v="93.9"/>
    <d v="2025-02-03T00:00:00"/>
    <d v="2025-02-04T00:00:00"/>
    <x v="1"/>
    <s v="App"/>
    <n v="4"/>
    <s v="California"/>
    <s v="San Francisco"/>
    <n v="1"/>
    <n v="6"/>
    <x v="1"/>
  </r>
  <r>
    <x v="791"/>
    <x v="0"/>
    <n v="3"/>
    <n v="22.1"/>
    <n v="66.300000000000011"/>
    <d v="2025-02-03T00:00:00"/>
    <d v="2025-02-07T00:00:00"/>
    <x v="1"/>
    <s v="App"/>
    <n v="4"/>
    <s v="California"/>
    <s v="San Francisco"/>
    <n v="4"/>
    <n v="6"/>
    <x v="1"/>
  </r>
  <r>
    <x v="792"/>
    <x v="2"/>
    <n v="14"/>
    <n v="99.4"/>
    <n v="1391.6000000000001"/>
    <d v="2025-02-03T00:00:00"/>
    <d v="2025-02-04T00:00:00"/>
    <x v="1"/>
    <s v="Website"/>
    <n v="4"/>
    <s v="California"/>
    <s v="Santa Clara County"/>
    <n v="1"/>
    <n v="6"/>
    <x v="1"/>
  </r>
  <r>
    <x v="793"/>
    <x v="7"/>
    <n v="6"/>
    <n v="66.599999999999994"/>
    <n v="399.59999999999997"/>
    <d v="2025-02-03T00:00:00"/>
    <d v="2025-02-04T00:00:00"/>
    <x v="2"/>
    <s v="App"/>
    <n v="4"/>
    <s v="California"/>
    <s v="Santa Clara County"/>
    <n v="1"/>
    <n v="6"/>
    <x v="2"/>
  </r>
  <r>
    <x v="794"/>
    <x v="8"/>
    <n v="2"/>
    <n v="22.6"/>
    <n v="45.2"/>
    <d v="2025-02-03T00:00:00"/>
    <d v="2025-02-06T00:00:00"/>
    <x v="1"/>
    <s v="App"/>
    <n v="4"/>
    <s v="California"/>
    <s v="Santa Clara County"/>
    <n v="3"/>
    <n v="6"/>
    <x v="1"/>
  </r>
  <r>
    <x v="795"/>
    <x v="2"/>
    <n v="18"/>
    <n v="66.8"/>
    <n v="1202.3999999999999"/>
    <d v="2025-02-03T00:00:00"/>
    <d v="2025-02-04T00:00:00"/>
    <x v="2"/>
    <s v="App"/>
    <n v="2"/>
    <s v="California"/>
    <s v="Ventura County"/>
    <n v="1"/>
    <n v="6"/>
    <x v="2"/>
  </r>
  <r>
    <x v="796"/>
    <x v="0"/>
    <n v="4"/>
    <n v="20.8"/>
    <n v="83.2"/>
    <d v="2025-02-03T00:00:00"/>
    <d v="2025-02-10T00:00:00"/>
    <x v="1"/>
    <s v="Website"/>
    <n v="2"/>
    <s v="California"/>
    <s v="Contra Costa County"/>
    <n v="7"/>
    <n v="6"/>
    <x v="1"/>
  </r>
  <r>
    <x v="797"/>
    <x v="2"/>
    <n v="7"/>
    <n v="102.5"/>
    <n v="717.5"/>
    <d v="2025-02-03T00:00:00"/>
    <d v="2025-02-04T00:00:00"/>
    <x v="2"/>
    <s v="Partner App"/>
    <n v="5"/>
    <s v="California"/>
    <s v="Los Angeles County"/>
    <n v="1"/>
    <n v="6"/>
    <x v="2"/>
  </r>
  <r>
    <x v="798"/>
    <x v="0"/>
    <n v="18"/>
    <n v="24.8"/>
    <n v="446.40000000000003"/>
    <d v="2025-02-03T00:00:00"/>
    <d v="2025-02-07T00:00:00"/>
    <x v="2"/>
    <s v="App"/>
    <n v="4"/>
    <s v="California"/>
    <s v="Los Angeles County"/>
    <n v="4"/>
    <n v="6"/>
    <x v="2"/>
  </r>
  <r>
    <x v="799"/>
    <x v="4"/>
    <n v="31"/>
    <n v="31.4"/>
    <n v="973.4"/>
    <d v="2025-02-03T00:00:00"/>
    <d v="2025-02-04T00:00:00"/>
    <x v="2"/>
    <s v="Instagram"/>
    <n v="4"/>
    <s v="California"/>
    <s v="Los Angeles County"/>
    <n v="1"/>
    <n v="6"/>
    <x v="2"/>
  </r>
  <r>
    <x v="800"/>
    <x v="9"/>
    <n v="5"/>
    <n v="59.3"/>
    <n v="296.5"/>
    <d v="2025-02-03T00:00:00"/>
    <d v="2025-02-06T00:00:00"/>
    <x v="1"/>
    <s v="Website"/>
    <n v="5"/>
    <s v="California"/>
    <s v="Marin County"/>
    <n v="3"/>
    <n v="6"/>
    <x v="1"/>
  </r>
  <r>
    <x v="801"/>
    <x v="11"/>
    <n v="6"/>
    <n v="39"/>
    <n v="234"/>
    <d v="2025-02-03T00:00:00"/>
    <d v="2025-02-06T00:00:00"/>
    <x v="1"/>
    <s v="Website"/>
    <n v="4"/>
    <s v="California"/>
    <s v="Sacramento County"/>
    <n v="3"/>
    <n v="6"/>
    <x v="1"/>
  </r>
  <r>
    <x v="802"/>
    <x v="5"/>
    <n v="6"/>
    <n v="98.6"/>
    <n v="591.59999999999991"/>
    <d v="2025-02-03T00:00:00"/>
    <d v="2025-02-05T00:00:00"/>
    <x v="2"/>
    <s v="Website"/>
    <n v="4"/>
    <s v="California"/>
    <s v="Sacramento County"/>
    <n v="2"/>
    <n v="6"/>
    <x v="2"/>
  </r>
  <r>
    <x v="803"/>
    <x v="8"/>
    <n v="1"/>
    <n v="20"/>
    <n v="20"/>
    <d v="2025-02-04T00:00:00"/>
    <d v="2025-02-05T00:00:00"/>
    <x v="1"/>
    <s v="Instagram"/>
    <n v="5"/>
    <s v="California"/>
    <s v="San Diego County"/>
    <n v="1"/>
    <n v="6"/>
    <x v="1"/>
  </r>
  <r>
    <x v="804"/>
    <x v="1"/>
    <n v="2"/>
    <n v="42.9"/>
    <n v="85.8"/>
    <d v="2025-02-04T00:00:00"/>
    <d v="2025-02-06T00:00:00"/>
    <x v="2"/>
    <s v="App"/>
    <n v="5"/>
    <s v="California"/>
    <s v="San Diego County"/>
    <n v="2"/>
    <n v="6"/>
    <x v="2"/>
  </r>
  <r>
    <x v="805"/>
    <x v="7"/>
    <n v="7"/>
    <n v="55.6"/>
    <n v="389.2"/>
    <d v="2025-02-04T00:00:00"/>
    <d v="2025-02-06T00:00:00"/>
    <x v="2"/>
    <s v="Target.com"/>
    <n v="3"/>
    <s v="California"/>
    <s v="San Diego County"/>
    <n v="2"/>
    <n v="6"/>
    <x v="2"/>
  </r>
  <r>
    <x v="806"/>
    <x v="8"/>
    <n v="4"/>
    <n v="19.2"/>
    <n v="76.8"/>
    <d v="2025-02-04T00:00:00"/>
    <d v="2025-02-09T00:00:00"/>
    <x v="2"/>
    <s v="App"/>
    <n v="4"/>
    <s v="California"/>
    <s v="San Luis Obispo County"/>
    <n v="5"/>
    <n v="6"/>
    <x v="2"/>
  </r>
  <r>
    <x v="807"/>
    <x v="5"/>
    <n v="2"/>
    <n v="28.8"/>
    <n v="57.6"/>
    <d v="2025-02-04T00:00:00"/>
    <d v="2025-02-06T00:00:00"/>
    <x v="1"/>
    <s v="Website"/>
    <n v="4"/>
    <s v="California"/>
    <s v="Sonoma County"/>
    <n v="2"/>
    <n v="6"/>
    <x v="1"/>
  </r>
  <r>
    <x v="808"/>
    <x v="4"/>
    <n v="1"/>
    <n v="29.7"/>
    <n v="29.7"/>
    <d v="2025-02-04T00:00:00"/>
    <d v="2025-02-06T00:00:00"/>
    <x v="2"/>
    <s v="Target.com"/>
    <n v="2"/>
    <s v="California"/>
    <s v="Tulare County"/>
    <n v="2"/>
    <n v="6"/>
    <x v="2"/>
  </r>
  <r>
    <x v="809"/>
    <x v="6"/>
    <n v="6"/>
    <n v="63.3"/>
    <n v="379.79999999999995"/>
    <d v="2025-02-04T00:00:00"/>
    <d v="2025-02-05T00:00:00"/>
    <x v="0"/>
    <s v="App"/>
    <n v="5"/>
    <s v="California"/>
    <s v="Alameda County"/>
    <n v="1"/>
    <n v="6"/>
    <x v="0"/>
  </r>
  <r>
    <x v="810"/>
    <x v="4"/>
    <n v="1"/>
    <n v="46"/>
    <n v="46"/>
    <d v="2025-02-04T00:00:00"/>
    <d v="2025-02-05T00:00:00"/>
    <x v="2"/>
    <s v="App"/>
    <n v="5"/>
    <s v="California"/>
    <s v="Alameda County"/>
    <n v="1"/>
    <n v="6"/>
    <x v="2"/>
  </r>
  <r>
    <x v="811"/>
    <x v="11"/>
    <n v="3"/>
    <n v="38"/>
    <n v="114"/>
    <d v="2025-02-04T00:00:00"/>
    <d v="2025-02-06T00:00:00"/>
    <x v="2"/>
    <s v="Website"/>
    <n v="5"/>
    <s v="California"/>
    <s v="Alameda County"/>
    <n v="2"/>
    <n v="6"/>
    <x v="2"/>
  </r>
  <r>
    <x v="812"/>
    <x v="10"/>
    <n v="13"/>
    <n v="34.6"/>
    <n v="449.8"/>
    <d v="2025-02-04T00:00:00"/>
    <d v="2025-02-06T00:00:00"/>
    <x v="2"/>
    <s v="App"/>
    <n v="3"/>
    <s v="California"/>
    <s v="Alameda County"/>
    <n v="2"/>
    <n v="6"/>
    <x v="2"/>
  </r>
  <r>
    <x v="813"/>
    <x v="3"/>
    <n v="10"/>
    <n v="79.7"/>
    <n v="797"/>
    <d v="2025-02-04T00:00:00"/>
    <d v="2025-02-05T00:00:00"/>
    <x v="2"/>
    <s v="Partner App"/>
    <n v="3"/>
    <s v="California"/>
    <s v="Alameda County"/>
    <n v="1"/>
    <n v="6"/>
    <x v="2"/>
  </r>
  <r>
    <x v="814"/>
    <x v="8"/>
    <n v="8"/>
    <n v="30.5"/>
    <n v="244"/>
    <d v="2025-02-04T00:00:00"/>
    <d v="2025-02-08T00:00:00"/>
    <x v="1"/>
    <s v="Instagram"/>
    <n v="4"/>
    <s v="California"/>
    <s v="Contra Costa County"/>
    <n v="4"/>
    <n v="6"/>
    <x v="1"/>
  </r>
  <r>
    <x v="815"/>
    <x v="0"/>
    <n v="2"/>
    <n v="20.8"/>
    <n v="41.6"/>
    <d v="2025-02-04T00:00:00"/>
    <d v="2025-02-05T00:00:00"/>
    <x v="2"/>
    <s v="App"/>
    <n v="4"/>
    <s v="California"/>
    <s v="Fresno County"/>
    <n v="1"/>
    <n v="6"/>
    <x v="2"/>
  </r>
  <r>
    <x v="816"/>
    <x v="11"/>
    <n v="7"/>
    <n v="48.5"/>
    <n v="339.5"/>
    <d v="2025-02-04T00:00:00"/>
    <d v="2025-02-08T00:00:00"/>
    <x v="2"/>
    <s v="Target.com"/>
    <n v="5"/>
    <s v="California"/>
    <s v="Fresno County"/>
    <n v="4"/>
    <n v="6"/>
    <x v="2"/>
  </r>
  <r>
    <x v="817"/>
    <x v="2"/>
    <n v="4"/>
    <n v="61.8"/>
    <n v="247.2"/>
    <d v="2025-02-04T00:00:00"/>
    <d v="2025-02-08T00:00:00"/>
    <x v="2"/>
    <s v="Partner App"/>
    <n v="4"/>
    <s v="California"/>
    <s v="Kern County"/>
    <n v="4"/>
    <n v="6"/>
    <x v="2"/>
  </r>
  <r>
    <x v="818"/>
    <x v="10"/>
    <n v="1"/>
    <n v="46.1"/>
    <n v="46.1"/>
    <d v="2025-02-04T00:00:00"/>
    <d v="2025-02-05T00:00:00"/>
    <x v="3"/>
    <s v="Target.com"/>
    <n v="4"/>
    <s v="California"/>
    <s v="Los Angeles County"/>
    <n v="1"/>
    <n v="6"/>
    <x v="3"/>
  </r>
  <r>
    <x v="819"/>
    <x v="4"/>
    <n v="6"/>
    <n v="44"/>
    <n v="264"/>
    <d v="2025-02-04T00:00:00"/>
    <d v="2025-02-05T00:00:00"/>
    <x v="2"/>
    <s v="App"/>
    <n v="4"/>
    <s v="California"/>
    <s v="Los Angeles County"/>
    <n v="1"/>
    <n v="6"/>
    <x v="2"/>
  </r>
  <r>
    <x v="820"/>
    <x v="18"/>
    <n v="2"/>
    <n v="95.7"/>
    <n v="191.4"/>
    <d v="2025-02-04T00:00:00"/>
    <d v="2025-02-10T00:00:00"/>
    <x v="2"/>
    <s v="Instagram"/>
    <n v="5"/>
    <s v="California"/>
    <s v="Los Angeles County"/>
    <n v="6"/>
    <n v="6"/>
    <x v="2"/>
  </r>
  <r>
    <x v="821"/>
    <x v="7"/>
    <n v="5"/>
    <n v="46.4"/>
    <n v="232"/>
    <d v="2025-02-04T00:00:00"/>
    <d v="2025-02-07T00:00:00"/>
    <x v="2"/>
    <s v="App"/>
    <n v="4"/>
    <s v="California"/>
    <s v="Los Angeles County"/>
    <n v="3"/>
    <n v="6"/>
    <x v="2"/>
  </r>
  <r>
    <x v="822"/>
    <x v="6"/>
    <n v="2"/>
    <n v="47.2"/>
    <n v="94.4"/>
    <d v="2025-02-04T00:00:00"/>
    <d v="2025-02-06T00:00:00"/>
    <x v="2"/>
    <s v="App"/>
    <n v="5"/>
    <s v="California"/>
    <s v="Los Angeles County"/>
    <n v="2"/>
    <n v="6"/>
    <x v="2"/>
  </r>
  <r>
    <x v="823"/>
    <x v="7"/>
    <n v="2"/>
    <n v="58.6"/>
    <n v="117.2"/>
    <d v="2025-02-04T00:00:00"/>
    <d v="2025-02-05T00:00:00"/>
    <x v="2"/>
    <s v="Target.com"/>
    <n v="3"/>
    <s v="California"/>
    <s v="Los Angeles County"/>
    <n v="1"/>
    <n v="6"/>
    <x v="2"/>
  </r>
  <r>
    <x v="824"/>
    <x v="4"/>
    <n v="3"/>
    <n v="57"/>
    <n v="171"/>
    <d v="2025-02-04T00:00:00"/>
    <d v="2025-02-05T00:00:00"/>
    <x v="1"/>
    <s v="App"/>
    <n v="5"/>
    <s v="California"/>
    <s v="Los Angeles County"/>
    <n v="1"/>
    <n v="6"/>
    <x v="1"/>
  </r>
  <r>
    <x v="825"/>
    <x v="8"/>
    <n v="4"/>
    <n v="28.9"/>
    <n v="115.6"/>
    <d v="2025-02-04T00:00:00"/>
    <d v="2025-02-08T00:00:00"/>
    <x v="1"/>
    <s v="Target.com"/>
    <n v="4"/>
    <s v="California"/>
    <s v="Los Angeles County"/>
    <n v="4"/>
    <n v="6"/>
    <x v="1"/>
  </r>
  <r>
    <x v="826"/>
    <x v="12"/>
    <n v="5"/>
    <n v="60.7"/>
    <n v="303.5"/>
    <d v="2025-02-04T00:00:00"/>
    <d v="2025-02-08T00:00:00"/>
    <x v="0"/>
    <s v="Website"/>
    <n v="3"/>
    <s v="California"/>
    <s v="Los Angeles County"/>
    <n v="4"/>
    <n v="6"/>
    <x v="0"/>
  </r>
  <r>
    <x v="827"/>
    <x v="6"/>
    <n v="5"/>
    <n v="60.8"/>
    <n v="304"/>
    <d v="2025-02-04T00:00:00"/>
    <d v="2025-02-08T00:00:00"/>
    <x v="1"/>
    <s v="App"/>
    <n v="3"/>
    <s v="California"/>
    <s v="Los Angeles County"/>
    <n v="4"/>
    <n v="6"/>
    <x v="1"/>
  </r>
  <r>
    <x v="828"/>
    <x v="6"/>
    <n v="5"/>
    <n v="64.599999999999994"/>
    <n v="323"/>
    <d v="2025-02-04T00:00:00"/>
    <d v="2025-02-05T00:00:00"/>
    <x v="2"/>
    <s v="Instagram"/>
    <n v="4"/>
    <s v="California"/>
    <s v="Los Angeles County"/>
    <n v="1"/>
    <n v="6"/>
    <x v="2"/>
  </r>
  <r>
    <x v="829"/>
    <x v="8"/>
    <n v="1"/>
    <n v="21.9"/>
    <n v="21.9"/>
    <d v="2025-02-04T00:00:00"/>
    <d v="2025-02-07T00:00:00"/>
    <x v="1"/>
    <s v="Website"/>
    <n v="5"/>
    <s v="California"/>
    <s v="Nevada County"/>
    <n v="3"/>
    <n v="6"/>
    <x v="1"/>
  </r>
  <r>
    <x v="830"/>
    <x v="4"/>
    <n v="12"/>
    <n v="33.4"/>
    <n v="400.79999999999995"/>
    <d v="2025-02-04T00:00:00"/>
    <d v="2025-02-06T00:00:00"/>
    <x v="2"/>
    <s v="App"/>
    <n v="4"/>
    <s v="California"/>
    <s v="Riverside County"/>
    <n v="2"/>
    <n v="6"/>
    <x v="2"/>
  </r>
  <r>
    <x v="831"/>
    <x v="2"/>
    <n v="1"/>
    <n v="51.7"/>
    <n v="51.7"/>
    <d v="2025-02-04T00:00:00"/>
    <d v="2025-02-05T00:00:00"/>
    <x v="0"/>
    <s v="App"/>
    <n v="4"/>
    <s v="California"/>
    <s v="Sacramento County"/>
    <n v="1"/>
    <n v="6"/>
    <x v="0"/>
  </r>
  <r>
    <x v="832"/>
    <x v="1"/>
    <n v="4"/>
    <n v="84.9"/>
    <n v="339.6"/>
    <d v="2025-02-04T00:00:00"/>
    <d v="2025-02-05T00:00:00"/>
    <x v="2"/>
    <s v="Website"/>
    <n v="3"/>
    <s v="California"/>
    <s v="Sacramento County"/>
    <n v="1"/>
    <n v="6"/>
    <x v="2"/>
  </r>
  <r>
    <x v="833"/>
    <x v="1"/>
    <n v="11"/>
    <n v="62.3"/>
    <n v="685.3"/>
    <d v="2025-02-04T00:00:00"/>
    <d v="2025-02-05T00:00:00"/>
    <x v="2"/>
    <s v="Target.com"/>
    <n v="5"/>
    <s v="California"/>
    <s v="San Bernardino County"/>
    <n v="1"/>
    <n v="6"/>
    <x v="2"/>
  </r>
  <r>
    <x v="834"/>
    <x v="4"/>
    <n v="1"/>
    <n v="50.7"/>
    <n v="50.7"/>
    <d v="2025-02-04T00:00:00"/>
    <d v="2025-02-06T00:00:00"/>
    <x v="1"/>
    <s v="Target.com"/>
    <n v="5"/>
    <s v="California"/>
    <s v="San Diego County"/>
    <n v="2"/>
    <n v="6"/>
    <x v="1"/>
  </r>
  <r>
    <x v="835"/>
    <x v="18"/>
    <n v="1"/>
    <n v="39.5"/>
    <n v="39.5"/>
    <d v="2025-02-04T00:00:00"/>
    <d v="2025-02-05T00:00:00"/>
    <x v="1"/>
    <s v="Partner App"/>
    <n v="3"/>
    <s v="California"/>
    <s v="San Diego County"/>
    <n v="1"/>
    <n v="6"/>
    <x v="1"/>
  </r>
  <r>
    <x v="836"/>
    <x v="12"/>
    <n v="3"/>
    <n v="30.9"/>
    <n v="92.699999999999989"/>
    <d v="2025-02-04T00:00:00"/>
    <d v="2025-02-05T00:00:00"/>
    <x v="0"/>
    <s v="Partner App"/>
    <n v="5"/>
    <s v="California"/>
    <s v="San Diego County"/>
    <n v="1"/>
    <n v="6"/>
    <x v="0"/>
  </r>
  <r>
    <x v="837"/>
    <x v="1"/>
    <n v="7"/>
    <n v="36.4"/>
    <n v="254.79999999999998"/>
    <d v="2025-02-04T00:00:00"/>
    <d v="2025-02-07T00:00:00"/>
    <x v="2"/>
    <s v="App"/>
    <n v="5"/>
    <s v="California"/>
    <s v="San Diego County"/>
    <n v="3"/>
    <n v="6"/>
    <x v="2"/>
  </r>
  <r>
    <x v="838"/>
    <x v="6"/>
    <n v="8"/>
    <n v="105.6"/>
    <n v="844.8"/>
    <d v="2025-02-04T00:00:00"/>
    <d v="2025-02-14T00:00:00"/>
    <x v="2"/>
    <s v="App"/>
    <n v="4"/>
    <s v="California"/>
    <s v="San Diego County"/>
    <n v="10"/>
    <n v="6"/>
    <x v="2"/>
  </r>
  <r>
    <x v="839"/>
    <x v="8"/>
    <n v="2"/>
    <n v="22.1"/>
    <n v="44.2"/>
    <d v="2025-02-04T00:00:00"/>
    <d v="2025-02-05T00:00:00"/>
    <x v="2"/>
    <s v="App"/>
    <n v="5"/>
    <s v="California"/>
    <s v="San Francisco"/>
    <n v="1"/>
    <n v="6"/>
    <x v="2"/>
  </r>
  <r>
    <x v="840"/>
    <x v="0"/>
    <n v="3"/>
    <n v="22.6"/>
    <n v="67.800000000000011"/>
    <d v="2025-02-04T00:00:00"/>
    <d v="2025-02-05T00:00:00"/>
    <x v="2"/>
    <s v="Target.com"/>
    <n v="4"/>
    <s v="California"/>
    <s v="San Francisco"/>
    <n v="1"/>
    <n v="6"/>
    <x v="2"/>
  </r>
  <r>
    <x v="841"/>
    <x v="10"/>
    <n v="6"/>
    <n v="26.3"/>
    <n v="157.80000000000001"/>
    <d v="2025-02-04T00:00:00"/>
    <d v="2025-02-04T00:00:00"/>
    <x v="2"/>
    <s v="Target.com"/>
    <n v="4"/>
    <s v="California"/>
    <s v="San Mateo County"/>
    <n v="0"/>
    <n v="6"/>
    <x v="2"/>
  </r>
  <r>
    <x v="842"/>
    <x v="1"/>
    <n v="4"/>
    <n v="37.799999999999997"/>
    <n v="151.19999999999999"/>
    <d v="2025-02-04T00:00:00"/>
    <d v="2025-02-05T00:00:00"/>
    <x v="2"/>
    <s v="App"/>
    <n v="5"/>
    <s v="California"/>
    <s v="Santa Clara County"/>
    <n v="1"/>
    <n v="6"/>
    <x v="2"/>
  </r>
  <r>
    <x v="843"/>
    <x v="6"/>
    <n v="17"/>
    <n v="96"/>
    <n v="1632"/>
    <d v="2025-02-04T00:00:00"/>
    <d v="2025-02-07T00:00:00"/>
    <x v="2"/>
    <s v="Partner App"/>
    <n v="3"/>
    <s v="California"/>
    <s v="Sonoma County"/>
    <n v="3"/>
    <n v="6"/>
    <x v="2"/>
  </r>
  <r>
    <x v="844"/>
    <x v="1"/>
    <n v="1"/>
    <n v="83.6"/>
    <n v="83.6"/>
    <d v="2025-02-04T00:00:00"/>
    <d v="2025-02-07T00:00:00"/>
    <x v="2"/>
    <s v="Target.com"/>
    <n v="3"/>
    <s v="California"/>
    <s v="Stanislaus County"/>
    <n v="3"/>
    <n v="6"/>
    <x v="2"/>
  </r>
  <r>
    <x v="845"/>
    <x v="2"/>
    <n v="6"/>
    <n v="72.599999999999994"/>
    <n v="435.59999999999997"/>
    <d v="2025-02-04T00:00:00"/>
    <d v="2025-02-05T00:00:00"/>
    <x v="2"/>
    <s v="App"/>
    <n v="4"/>
    <s v="California"/>
    <s v="Alameda County"/>
    <n v="1"/>
    <n v="6"/>
    <x v="2"/>
  </r>
  <r>
    <x v="846"/>
    <x v="5"/>
    <n v="20"/>
    <n v="69.099999999999994"/>
    <n v="1382"/>
    <d v="2025-02-05T00:00:00"/>
    <d v="2025-02-11T00:00:00"/>
    <x v="1"/>
    <s v="App"/>
    <n v="5"/>
    <s v="California"/>
    <s v="Alameda County"/>
    <n v="6"/>
    <n v="6"/>
    <x v="1"/>
  </r>
  <r>
    <x v="847"/>
    <x v="4"/>
    <n v="2"/>
    <n v="22.6"/>
    <n v="45.2"/>
    <d v="2025-02-05T00:00:00"/>
    <d v="2025-02-07T00:00:00"/>
    <x v="2"/>
    <s v="Website"/>
    <n v="5"/>
    <s v="California"/>
    <s v="Alameda County"/>
    <n v="2"/>
    <n v="6"/>
    <x v="2"/>
  </r>
  <r>
    <x v="848"/>
    <x v="6"/>
    <n v="2"/>
    <n v="45.3"/>
    <n v="90.6"/>
    <d v="2025-02-05T00:00:00"/>
    <d v="2025-02-09T00:00:00"/>
    <x v="1"/>
    <s v="Partner App"/>
    <n v="5"/>
    <s v="California"/>
    <s v="Alameda County"/>
    <n v="4"/>
    <n v="6"/>
    <x v="1"/>
  </r>
  <r>
    <x v="849"/>
    <x v="2"/>
    <n v="2"/>
    <n v="115.1"/>
    <n v="230.2"/>
    <d v="2025-02-05T00:00:00"/>
    <d v="2025-02-06T00:00:00"/>
    <x v="2"/>
    <s v="Website"/>
    <n v="4"/>
    <s v="California"/>
    <s v="Contra Costa County"/>
    <n v="1"/>
    <n v="6"/>
    <x v="2"/>
  </r>
  <r>
    <x v="850"/>
    <x v="18"/>
    <n v="4"/>
    <n v="79"/>
    <n v="316"/>
    <d v="2025-02-05T00:00:00"/>
    <d v="2025-02-07T00:00:00"/>
    <x v="1"/>
    <s v="Target.com"/>
    <n v="2"/>
    <s v="California"/>
    <s v="Contra Costa County"/>
    <n v="2"/>
    <n v="6"/>
    <x v="1"/>
  </r>
  <r>
    <x v="851"/>
    <x v="6"/>
    <n v="5"/>
    <n v="52.8"/>
    <n v="264"/>
    <d v="2025-02-05T00:00:00"/>
    <d v="2025-02-06T00:00:00"/>
    <x v="2"/>
    <s v="App"/>
    <n v="4"/>
    <s v="California"/>
    <s v="El Dorado County"/>
    <n v="1"/>
    <n v="6"/>
    <x v="2"/>
  </r>
  <r>
    <x v="852"/>
    <x v="8"/>
    <n v="2"/>
    <n v="34.1"/>
    <n v="68.2"/>
    <d v="2025-02-05T00:00:00"/>
    <d v="2025-02-06T00:00:00"/>
    <x v="1"/>
    <s v="Instagram"/>
    <n v="5"/>
    <s v="California"/>
    <s v="Humboldt County"/>
    <n v="1"/>
    <n v="6"/>
    <x v="1"/>
  </r>
  <r>
    <x v="853"/>
    <x v="6"/>
    <n v="5"/>
    <n v="107.9"/>
    <n v="539.5"/>
    <d v="2025-02-05T00:00:00"/>
    <d v="2025-02-05T00:00:00"/>
    <x v="2"/>
    <s v="App"/>
    <n v="5"/>
    <s v="California"/>
    <s v="Lake County"/>
    <n v="0"/>
    <n v="6"/>
    <x v="2"/>
  </r>
  <r>
    <x v="854"/>
    <x v="8"/>
    <n v="13"/>
    <n v="48.5"/>
    <n v="630.5"/>
    <d v="2025-02-05T00:00:00"/>
    <d v="2025-02-05T00:00:00"/>
    <x v="1"/>
    <s v="Target.com"/>
    <n v="5"/>
    <s v="California"/>
    <s v="Los Angeles County"/>
    <n v="0"/>
    <n v="6"/>
    <x v="1"/>
  </r>
  <r>
    <x v="855"/>
    <x v="5"/>
    <n v="3"/>
    <n v="34.700000000000003"/>
    <n v="104.10000000000001"/>
    <d v="2025-02-05T00:00:00"/>
    <d v="2025-02-06T00:00:00"/>
    <x v="0"/>
    <s v="Partner App"/>
    <n v="3"/>
    <s v="California"/>
    <s v="Los Angeles County"/>
    <n v="1"/>
    <n v="6"/>
    <x v="0"/>
  </r>
  <r>
    <x v="856"/>
    <x v="8"/>
    <n v="1"/>
    <n v="16.8"/>
    <n v="16.8"/>
    <d v="2025-02-05T00:00:00"/>
    <d v="2025-02-07T00:00:00"/>
    <x v="2"/>
    <s v="Instagram"/>
    <n v="4"/>
    <s v="California"/>
    <s v="Los Angeles County"/>
    <n v="2"/>
    <n v="6"/>
    <x v="2"/>
  </r>
  <r>
    <x v="857"/>
    <x v="8"/>
    <n v="6"/>
    <n v="18.3"/>
    <n v="109.80000000000001"/>
    <d v="2025-02-05T00:00:00"/>
    <d v="2025-02-08T00:00:00"/>
    <x v="2"/>
    <s v="App"/>
    <n v="4"/>
    <s v="California"/>
    <s v="Los Angeles County"/>
    <n v="3"/>
    <n v="6"/>
    <x v="2"/>
  </r>
  <r>
    <x v="858"/>
    <x v="18"/>
    <n v="3"/>
    <n v="55.9"/>
    <n v="167.7"/>
    <d v="2025-02-05T00:00:00"/>
    <d v="2025-02-11T00:00:00"/>
    <x v="1"/>
    <s v="Instagram"/>
    <n v="3"/>
    <s v="California"/>
    <s v="Los Angeles County"/>
    <n v="6"/>
    <n v="6"/>
    <x v="1"/>
  </r>
  <r>
    <x v="859"/>
    <x v="8"/>
    <n v="3"/>
    <n v="39.200000000000003"/>
    <n v="117.60000000000001"/>
    <d v="2025-02-05T00:00:00"/>
    <d v="2025-02-07T00:00:00"/>
    <x v="2"/>
    <s v="App"/>
    <n v="3"/>
    <s v="California"/>
    <s v="Los Angeles County"/>
    <n v="2"/>
    <n v="6"/>
    <x v="2"/>
  </r>
  <r>
    <x v="860"/>
    <x v="15"/>
    <n v="4"/>
    <n v="66.5"/>
    <n v="266"/>
    <d v="2025-02-05T00:00:00"/>
    <d v="2025-02-07T00:00:00"/>
    <x v="0"/>
    <s v="Instagram"/>
    <n v="3"/>
    <s v="California"/>
    <s v="Los Angeles County"/>
    <n v="2"/>
    <n v="6"/>
    <x v="0"/>
  </r>
  <r>
    <x v="861"/>
    <x v="6"/>
    <n v="6"/>
    <n v="52.1"/>
    <n v="312.60000000000002"/>
    <d v="2025-02-05T00:00:00"/>
    <d v="2025-02-07T00:00:00"/>
    <x v="1"/>
    <s v="Website"/>
    <n v="3"/>
    <s v="California"/>
    <s v="Napa County"/>
    <n v="2"/>
    <n v="6"/>
    <x v="1"/>
  </r>
  <r>
    <x v="862"/>
    <x v="8"/>
    <n v="2"/>
    <n v="19"/>
    <n v="38"/>
    <d v="2025-02-05T00:00:00"/>
    <d v="2025-02-06T00:00:00"/>
    <x v="1"/>
    <s v="Partner App"/>
    <n v="5"/>
    <s v="California"/>
    <s v="Sacramento County"/>
    <n v="1"/>
    <n v="6"/>
    <x v="1"/>
  </r>
  <r>
    <x v="863"/>
    <x v="7"/>
    <n v="3"/>
    <n v="84.8"/>
    <n v="254.39999999999998"/>
    <d v="2025-02-05T00:00:00"/>
    <d v="2025-02-07T00:00:00"/>
    <x v="2"/>
    <s v="Target.com"/>
    <n v="4"/>
    <s v="California"/>
    <s v="San Diego County"/>
    <n v="2"/>
    <n v="6"/>
    <x v="2"/>
  </r>
  <r>
    <x v="864"/>
    <x v="2"/>
    <n v="4"/>
    <n v="63.9"/>
    <n v="255.6"/>
    <d v="2025-02-05T00:00:00"/>
    <d v="2025-02-08T00:00:00"/>
    <x v="2"/>
    <s v="App"/>
    <n v="4"/>
    <s v="California"/>
    <s v="San Diego County"/>
    <n v="3"/>
    <n v="6"/>
    <x v="2"/>
  </r>
  <r>
    <x v="865"/>
    <x v="2"/>
    <n v="3"/>
    <n v="65.5"/>
    <n v="196.5"/>
    <d v="2025-02-05T00:00:00"/>
    <d v="2025-02-05T00:00:00"/>
    <x v="2"/>
    <s v="Website"/>
    <n v="3"/>
    <s v="California"/>
    <s v="San Diego County"/>
    <n v="0"/>
    <n v="6"/>
    <x v="2"/>
  </r>
  <r>
    <x v="866"/>
    <x v="12"/>
    <n v="2"/>
    <n v="116.2"/>
    <n v="232.4"/>
    <d v="2025-02-05T00:00:00"/>
    <d v="2025-02-11T00:00:00"/>
    <x v="1"/>
    <s v="Instagram"/>
    <n v="4"/>
    <s v="California"/>
    <s v="San Francisco"/>
    <n v="6"/>
    <n v="6"/>
    <x v="1"/>
  </r>
  <r>
    <x v="867"/>
    <x v="10"/>
    <n v="4"/>
    <n v="22.9"/>
    <n v="91.6"/>
    <d v="2025-02-05T00:00:00"/>
    <d v="2025-02-07T00:00:00"/>
    <x v="2"/>
    <s v="Target.com"/>
    <n v="3"/>
    <s v="California"/>
    <s v="Solano County"/>
    <n v="2"/>
    <n v="6"/>
    <x v="2"/>
  </r>
  <r>
    <x v="868"/>
    <x v="10"/>
    <n v="3"/>
    <n v="53.7"/>
    <n v="161.10000000000002"/>
    <d v="2025-02-05T00:00:00"/>
    <d v="2025-02-06T00:00:00"/>
    <x v="1"/>
    <s v="App"/>
    <n v="2"/>
    <s v="California"/>
    <s v="Sonoma County"/>
    <n v="1"/>
    <n v="6"/>
    <x v="1"/>
  </r>
  <r>
    <x v="869"/>
    <x v="6"/>
    <n v="5"/>
    <n v="43.2"/>
    <n v="216"/>
    <d v="2025-02-05T00:00:00"/>
    <d v="2025-02-07T00:00:00"/>
    <x v="2"/>
    <s v="App"/>
    <n v="4"/>
    <s v="California"/>
    <s v="Stanislaus County"/>
    <n v="2"/>
    <n v="6"/>
    <x v="2"/>
  </r>
  <r>
    <x v="870"/>
    <x v="1"/>
    <n v="3"/>
    <n v="84.5"/>
    <n v="253.5"/>
    <d v="2025-02-05T00:00:00"/>
    <d v="2025-02-07T00:00:00"/>
    <x v="1"/>
    <s v="Target.com"/>
    <n v="5"/>
    <s v="California"/>
    <s v="Butte County"/>
    <n v="2"/>
    <n v="6"/>
    <x v="1"/>
  </r>
  <r>
    <x v="871"/>
    <x v="3"/>
    <n v="2"/>
    <n v="42.2"/>
    <n v="84.4"/>
    <d v="2025-02-05T00:00:00"/>
    <d v="2025-02-06T00:00:00"/>
    <x v="2"/>
    <s v="Website"/>
    <n v="5"/>
    <s v="California"/>
    <s v="Contra Costa County"/>
    <n v="1"/>
    <n v="6"/>
    <x v="2"/>
  </r>
  <r>
    <x v="872"/>
    <x v="2"/>
    <n v="6"/>
    <n v="94.7"/>
    <n v="568.20000000000005"/>
    <d v="2025-02-05T00:00:00"/>
    <d v="2025-02-08T00:00:00"/>
    <x v="2"/>
    <s v="Website"/>
    <n v="5"/>
    <s v="California"/>
    <s v="Fresno County"/>
    <n v="3"/>
    <n v="6"/>
    <x v="2"/>
  </r>
  <r>
    <x v="873"/>
    <x v="8"/>
    <n v="18"/>
    <n v="16.7"/>
    <n v="300.59999999999997"/>
    <d v="2025-02-05T00:00:00"/>
    <d v="2025-02-17T00:00:00"/>
    <x v="2"/>
    <s v="App"/>
    <n v="5"/>
    <s v="California"/>
    <s v="Fresno County"/>
    <n v="12"/>
    <n v="6"/>
    <x v="2"/>
  </r>
  <r>
    <x v="874"/>
    <x v="2"/>
    <n v="2"/>
    <n v="83.6"/>
    <n v="167.2"/>
    <d v="2025-02-05T00:00:00"/>
    <d v="2025-02-11T00:00:00"/>
    <x v="2"/>
    <s v="Website"/>
    <n v="4"/>
    <s v="California"/>
    <s v="Los Angeles County"/>
    <n v="6"/>
    <n v="6"/>
    <x v="2"/>
  </r>
  <r>
    <x v="875"/>
    <x v="7"/>
    <n v="6"/>
    <n v="33.6"/>
    <n v="201.60000000000002"/>
    <d v="2025-02-06T00:00:00"/>
    <d v="2025-02-07T00:00:00"/>
    <x v="2"/>
    <s v="Instagram"/>
    <n v="4"/>
    <s v="California"/>
    <s v="Los Angeles County"/>
    <n v="1"/>
    <n v="6"/>
    <x v="2"/>
  </r>
  <r>
    <x v="876"/>
    <x v="7"/>
    <n v="2"/>
    <n v="64.7"/>
    <n v="129.4"/>
    <d v="2025-02-06T00:00:00"/>
    <d v="2025-02-08T00:00:00"/>
    <x v="1"/>
    <s v="Website"/>
    <n v="5"/>
    <s v="California"/>
    <s v="Los Angeles County"/>
    <n v="2"/>
    <n v="6"/>
    <x v="1"/>
  </r>
  <r>
    <x v="877"/>
    <x v="0"/>
    <n v="3"/>
    <n v="15.7"/>
    <n v="47.099999999999994"/>
    <d v="2025-02-06T00:00:00"/>
    <d v="2025-02-12T00:00:00"/>
    <x v="2"/>
    <s v="App"/>
    <n v="4"/>
    <s v="California"/>
    <s v="Los Angeles County"/>
    <n v="6"/>
    <n v="6"/>
    <x v="2"/>
  </r>
  <r>
    <x v="878"/>
    <x v="15"/>
    <n v="6"/>
    <n v="49.4"/>
    <n v="296.39999999999998"/>
    <d v="2025-02-06T00:00:00"/>
    <d v="2025-02-06T00:00:00"/>
    <x v="1"/>
    <s v="Website"/>
    <n v="4"/>
    <s v="California"/>
    <s v="Los Angeles County"/>
    <n v="0"/>
    <n v="6"/>
    <x v="1"/>
  </r>
  <r>
    <x v="879"/>
    <x v="10"/>
    <n v="6"/>
    <n v="37"/>
    <n v="222"/>
    <d v="2025-02-06T00:00:00"/>
    <d v="2025-02-09T00:00:00"/>
    <x v="2"/>
    <s v="Website"/>
    <n v="5"/>
    <s v="California"/>
    <s v="Los Angeles County"/>
    <n v="3"/>
    <n v="6"/>
    <x v="2"/>
  </r>
  <r>
    <x v="880"/>
    <x v="2"/>
    <n v="2"/>
    <n v="83.7"/>
    <n v="167.4"/>
    <d v="2025-02-06T00:00:00"/>
    <d v="2025-02-08T00:00:00"/>
    <x v="2"/>
    <s v="Instagram"/>
    <n v="5"/>
    <s v="California"/>
    <s v="Los Angeles County"/>
    <n v="2"/>
    <n v="6"/>
    <x v="2"/>
  </r>
  <r>
    <x v="881"/>
    <x v="1"/>
    <n v="5"/>
    <n v="35.1"/>
    <n v="175.5"/>
    <d v="2025-02-06T00:00:00"/>
    <d v="2025-02-07T00:00:00"/>
    <x v="2"/>
    <s v="App"/>
    <n v="4"/>
    <s v="California"/>
    <s v="Los Angeles County"/>
    <n v="1"/>
    <n v="6"/>
    <x v="2"/>
  </r>
  <r>
    <x v="882"/>
    <x v="16"/>
    <n v="8"/>
    <n v="74"/>
    <n v="592"/>
    <d v="2025-02-06T00:00:00"/>
    <d v="2025-02-07T00:00:00"/>
    <x v="2"/>
    <s v="Partner App"/>
    <n v="4"/>
    <s v="California"/>
    <s v="Madera County"/>
    <n v="1"/>
    <n v="6"/>
    <x v="2"/>
  </r>
  <r>
    <x v="883"/>
    <x v="6"/>
    <n v="24"/>
    <n v="55.5"/>
    <n v="1332"/>
    <d v="2025-02-06T00:00:00"/>
    <d v="2025-02-09T00:00:00"/>
    <x v="1"/>
    <s v="Instagram"/>
    <n v="4"/>
    <s v="California"/>
    <s v="Monterey County"/>
    <n v="3"/>
    <n v="6"/>
    <x v="1"/>
  </r>
  <r>
    <x v="884"/>
    <x v="11"/>
    <n v="2"/>
    <n v="38.9"/>
    <n v="77.8"/>
    <d v="2025-02-06T00:00:00"/>
    <d v="2025-02-08T00:00:00"/>
    <x v="2"/>
    <s v="Website"/>
    <n v="5"/>
    <s v="California"/>
    <s v="Orange County"/>
    <n v="2"/>
    <n v="6"/>
    <x v="2"/>
  </r>
  <r>
    <x v="885"/>
    <x v="16"/>
    <n v="2"/>
    <n v="64.599999999999994"/>
    <n v="129.19999999999999"/>
    <d v="2025-02-06T00:00:00"/>
    <d v="2025-02-13T00:00:00"/>
    <x v="1"/>
    <s v="Target.com"/>
    <n v="3"/>
    <s v="California"/>
    <s v="Orange County"/>
    <n v="7"/>
    <n v="6"/>
    <x v="1"/>
  </r>
  <r>
    <x v="886"/>
    <x v="2"/>
    <n v="3"/>
    <n v="95.3"/>
    <n v="285.89999999999998"/>
    <d v="2025-02-06T00:00:00"/>
    <d v="2025-02-07T00:00:00"/>
    <x v="1"/>
    <s v="App"/>
    <n v="4"/>
    <s v="California"/>
    <s v="Placer County"/>
    <n v="1"/>
    <n v="6"/>
    <x v="1"/>
  </r>
  <r>
    <x v="887"/>
    <x v="13"/>
    <n v="3"/>
    <n v="25.8"/>
    <n v="77.400000000000006"/>
    <d v="2025-02-06T00:00:00"/>
    <d v="2025-02-07T00:00:00"/>
    <x v="2"/>
    <s v="Website"/>
    <n v="3"/>
    <s v="California"/>
    <s v="Sacramento County"/>
    <n v="1"/>
    <n v="6"/>
    <x v="2"/>
  </r>
  <r>
    <x v="888"/>
    <x v="0"/>
    <n v="2"/>
    <n v="11.6"/>
    <n v="23.2"/>
    <d v="2025-02-06T00:00:00"/>
    <d v="2025-02-10T00:00:00"/>
    <x v="2"/>
    <s v="Website"/>
    <n v="3"/>
    <s v="California"/>
    <s v="Sacramento County"/>
    <n v="4"/>
    <n v="6"/>
    <x v="2"/>
  </r>
  <r>
    <x v="889"/>
    <x v="7"/>
    <n v="1"/>
    <n v="52.3"/>
    <n v="52.3"/>
    <d v="2025-02-06T00:00:00"/>
    <d v="2025-02-07T00:00:00"/>
    <x v="2"/>
    <s v="Website"/>
    <n v="4"/>
    <s v="California"/>
    <s v="San Diego County"/>
    <n v="1"/>
    <n v="6"/>
    <x v="2"/>
  </r>
  <r>
    <x v="890"/>
    <x v="2"/>
    <n v="10"/>
    <n v="112.2"/>
    <n v="1122"/>
    <d v="2025-02-06T00:00:00"/>
    <d v="2025-02-07T00:00:00"/>
    <x v="2"/>
    <s v="Website"/>
    <n v="3"/>
    <s v="California"/>
    <s v="San Diego County"/>
    <n v="1"/>
    <n v="6"/>
    <x v="2"/>
  </r>
  <r>
    <x v="891"/>
    <x v="4"/>
    <n v="5"/>
    <n v="34.6"/>
    <n v="173"/>
    <d v="2025-02-06T00:00:00"/>
    <d v="2025-02-08T00:00:00"/>
    <x v="1"/>
    <s v="Target.com"/>
    <n v="4"/>
    <s v="California"/>
    <s v="San Diego County"/>
    <n v="2"/>
    <n v="6"/>
    <x v="1"/>
  </r>
  <r>
    <x v="892"/>
    <x v="14"/>
    <n v="4"/>
    <n v="20.100000000000001"/>
    <n v="80.400000000000006"/>
    <d v="2025-02-06T00:00:00"/>
    <d v="2025-02-12T00:00:00"/>
    <x v="1"/>
    <s v="Website"/>
    <n v="5"/>
    <s v="California"/>
    <s v="San Diego County"/>
    <n v="6"/>
    <n v="6"/>
    <x v="1"/>
  </r>
  <r>
    <x v="893"/>
    <x v="2"/>
    <n v="4"/>
    <n v="56.4"/>
    <n v="225.6"/>
    <d v="2025-02-06T00:00:00"/>
    <d v="2025-02-08T00:00:00"/>
    <x v="2"/>
    <s v="Target.com"/>
    <n v="4"/>
    <s v="California"/>
    <s v="Santa Barbara County"/>
    <n v="2"/>
    <n v="6"/>
    <x v="2"/>
  </r>
  <r>
    <x v="894"/>
    <x v="13"/>
    <n v="9"/>
    <n v="55.3"/>
    <n v="497.7"/>
    <d v="2025-02-06T00:00:00"/>
    <d v="2025-02-08T00:00:00"/>
    <x v="2"/>
    <s v="Website"/>
    <n v="2"/>
    <s v="California"/>
    <s v="Santa Clara County"/>
    <n v="2"/>
    <n v="6"/>
    <x v="2"/>
  </r>
  <r>
    <x v="895"/>
    <x v="2"/>
    <n v="28"/>
    <n v="75.5"/>
    <n v="2114"/>
    <d v="2025-02-06T00:00:00"/>
    <d v="2025-02-07T00:00:00"/>
    <x v="2"/>
    <s v="App"/>
    <n v="4"/>
    <s v="California"/>
    <s v="Santa Clara County"/>
    <n v="1"/>
    <n v="6"/>
    <x v="2"/>
  </r>
  <r>
    <x v="896"/>
    <x v="8"/>
    <n v="1"/>
    <n v="23.6"/>
    <n v="23.6"/>
    <d v="2025-02-06T00:00:00"/>
    <d v="2025-02-11T00:00:00"/>
    <x v="2"/>
    <s v="App"/>
    <n v="4"/>
    <s v="California"/>
    <s v="Stanislaus County"/>
    <n v="5"/>
    <n v="6"/>
    <x v="2"/>
  </r>
  <r>
    <x v="897"/>
    <x v="9"/>
    <n v="2"/>
    <n v="70.7"/>
    <n v="141.4"/>
    <d v="2025-02-06T00:00:00"/>
    <d v="2025-02-08T00:00:00"/>
    <x v="2"/>
    <s v="Target.com"/>
    <n v="4"/>
    <s v="California"/>
    <s v="Stanislaus County"/>
    <n v="2"/>
    <n v="6"/>
    <x v="2"/>
  </r>
  <r>
    <x v="898"/>
    <x v="12"/>
    <n v="2"/>
    <n v="43.2"/>
    <n v="86.4"/>
    <d v="2025-02-06T00:00:00"/>
    <d v="2025-02-07T00:00:00"/>
    <x v="2"/>
    <s v="Target.com"/>
    <n v="4"/>
    <s v="California"/>
    <s v="Sutter County"/>
    <n v="1"/>
    <n v="6"/>
    <x v="2"/>
  </r>
  <r>
    <x v="899"/>
    <x v="9"/>
    <n v="9"/>
    <n v="70"/>
    <n v="630"/>
    <d v="2025-02-06T00:00:00"/>
    <d v="2025-02-07T00:00:00"/>
    <x v="0"/>
    <s v="Website"/>
    <n v="4"/>
    <s v="California"/>
    <s v="Tuolumne County"/>
    <n v="1"/>
    <n v="6"/>
    <x v="0"/>
  </r>
  <r>
    <x v="900"/>
    <x v="0"/>
    <n v="2"/>
    <n v="20.5"/>
    <n v="41"/>
    <d v="2025-02-06T00:00:00"/>
    <d v="2025-02-08T00:00:00"/>
    <x v="2"/>
    <s v="Target.com"/>
    <n v="2"/>
    <s v="California"/>
    <s v="Ventura County"/>
    <n v="2"/>
    <n v="6"/>
    <x v="2"/>
  </r>
  <r>
    <x v="901"/>
    <x v="0"/>
    <n v="4"/>
    <n v="29.1"/>
    <n v="116.4"/>
    <d v="2025-02-06T00:00:00"/>
    <d v="2025-02-07T00:00:00"/>
    <x v="2"/>
    <s v="Instagram"/>
    <n v="4"/>
    <s v="California"/>
    <s v="Yolo County"/>
    <n v="1"/>
    <n v="6"/>
    <x v="2"/>
  </r>
  <r>
    <x v="902"/>
    <x v="6"/>
    <n v="9"/>
    <n v="53.6"/>
    <n v="482.40000000000003"/>
    <d v="2025-02-06T00:00:00"/>
    <d v="2025-02-07T00:00:00"/>
    <x v="1"/>
    <s v="Target.com"/>
    <n v="3"/>
    <s v="California"/>
    <s v="Los Angeles County"/>
    <n v="1"/>
    <n v="6"/>
    <x v="1"/>
  </r>
  <r>
    <x v="903"/>
    <x v="6"/>
    <n v="5"/>
    <n v="72.3"/>
    <n v="361.5"/>
    <d v="2025-02-06T00:00:00"/>
    <d v="2025-02-08T00:00:00"/>
    <x v="2"/>
    <s v="Website"/>
    <n v="4"/>
    <s v="California"/>
    <s v="Los Angeles County"/>
    <n v="2"/>
    <n v="6"/>
    <x v="2"/>
  </r>
  <r>
    <x v="904"/>
    <x v="13"/>
    <n v="4"/>
    <n v="22.6"/>
    <n v="90.4"/>
    <d v="2025-02-06T00:00:00"/>
    <d v="2025-02-09T00:00:00"/>
    <x v="3"/>
    <s v="App"/>
    <n v="3"/>
    <s v="California"/>
    <s v="Los Angeles County"/>
    <n v="3"/>
    <n v="6"/>
    <x v="3"/>
  </r>
  <r>
    <x v="905"/>
    <x v="9"/>
    <n v="2"/>
    <n v="44.2"/>
    <n v="88.4"/>
    <d v="2025-02-06T00:00:00"/>
    <d v="2025-02-10T00:00:00"/>
    <x v="0"/>
    <s v="Target.com"/>
    <n v="2"/>
    <s v="California"/>
    <s v="Los Angeles County"/>
    <n v="4"/>
    <n v="6"/>
    <x v="0"/>
  </r>
  <r>
    <x v="906"/>
    <x v="9"/>
    <n v="3"/>
    <n v="94.1"/>
    <n v="282.29999999999995"/>
    <d v="2025-02-06T00:00:00"/>
    <d v="2025-02-19T00:00:00"/>
    <x v="2"/>
    <s v="Target.com"/>
    <n v="5"/>
    <s v="California"/>
    <s v="Los Angeles County"/>
    <n v="13"/>
    <n v="6"/>
    <x v="2"/>
  </r>
  <r>
    <x v="907"/>
    <x v="8"/>
    <n v="3"/>
    <n v="17.899999999999999"/>
    <n v="53.699999999999996"/>
    <d v="2025-02-06T00:00:00"/>
    <d v="2025-02-08T00:00:00"/>
    <x v="1"/>
    <s v="Website"/>
    <n v="3"/>
    <s v="California"/>
    <s v="Los Angeles County"/>
    <n v="2"/>
    <n v="6"/>
    <x v="1"/>
  </r>
  <r>
    <x v="908"/>
    <x v="12"/>
    <n v="7"/>
    <n v="52.7"/>
    <n v="368.90000000000003"/>
    <d v="2025-02-06T00:00:00"/>
    <d v="2025-02-07T00:00:00"/>
    <x v="1"/>
    <s v="Website"/>
    <n v="3"/>
    <s v="California"/>
    <s v="Los Angeles County"/>
    <n v="1"/>
    <n v="6"/>
    <x v="1"/>
  </r>
  <r>
    <x v="909"/>
    <x v="8"/>
    <n v="1"/>
    <n v="36.799999999999997"/>
    <n v="36.799999999999997"/>
    <d v="2025-02-06T00:00:00"/>
    <d v="2025-02-06T00:00:00"/>
    <x v="0"/>
    <s v="App"/>
    <n v="5"/>
    <s v="California"/>
    <s v="Los Angeles County"/>
    <n v="0"/>
    <n v="6"/>
    <x v="0"/>
  </r>
  <r>
    <x v="910"/>
    <x v="4"/>
    <n v="1"/>
    <n v="52.5"/>
    <n v="52.5"/>
    <d v="2025-02-06T00:00:00"/>
    <d v="2025-02-07T00:00:00"/>
    <x v="1"/>
    <s v="App"/>
    <n v="3"/>
    <s v="California"/>
    <s v="Sacramento County"/>
    <n v="1"/>
    <n v="6"/>
    <x v="1"/>
  </r>
  <r>
    <x v="911"/>
    <x v="2"/>
    <n v="2"/>
    <n v="133.80000000000001"/>
    <n v="267.60000000000002"/>
    <d v="2025-02-06T00:00:00"/>
    <d v="2025-02-08T00:00:00"/>
    <x v="1"/>
    <s v="App"/>
    <n v="3"/>
    <s v="California"/>
    <s v="San Bernardino County"/>
    <n v="2"/>
    <n v="6"/>
    <x v="1"/>
  </r>
  <r>
    <x v="912"/>
    <x v="6"/>
    <n v="2"/>
    <n v="53.2"/>
    <n v="106.4"/>
    <d v="2025-02-06T00:00:00"/>
    <d v="2025-02-08T00:00:00"/>
    <x v="1"/>
    <s v="App"/>
    <n v="4"/>
    <s v="California"/>
    <s v="San Francisco"/>
    <n v="2"/>
    <n v="6"/>
    <x v="1"/>
  </r>
  <r>
    <x v="913"/>
    <x v="14"/>
    <n v="6"/>
    <n v="18.7"/>
    <n v="112.19999999999999"/>
    <d v="2025-02-06T00:00:00"/>
    <d v="2025-02-08T00:00:00"/>
    <x v="0"/>
    <s v="App"/>
    <n v="3"/>
    <s v="California"/>
    <s v="Santa Barbara County"/>
    <n v="2"/>
    <n v="6"/>
    <x v="0"/>
  </r>
  <r>
    <x v="914"/>
    <x v="6"/>
    <n v="4"/>
    <n v="108.8"/>
    <n v="435.2"/>
    <d v="2025-02-06T00:00:00"/>
    <d v="2025-02-07T00:00:00"/>
    <x v="2"/>
    <s v="Instagram"/>
    <n v="5"/>
    <s v="California"/>
    <s v="Santa Clara County"/>
    <n v="1"/>
    <n v="6"/>
    <x v="2"/>
  </r>
  <r>
    <x v="915"/>
    <x v="15"/>
    <n v="5"/>
    <n v="38.5"/>
    <n v="192.5"/>
    <d v="2025-02-06T00:00:00"/>
    <d v="2025-02-10T00:00:00"/>
    <x v="2"/>
    <s v="App"/>
    <n v="3"/>
    <s v="California"/>
    <s v="Calaveras County"/>
    <n v="4"/>
    <n v="6"/>
    <x v="2"/>
  </r>
  <r>
    <x v="916"/>
    <x v="10"/>
    <n v="10"/>
    <n v="46.5"/>
    <n v="465"/>
    <d v="2025-02-06T00:00:00"/>
    <d v="2025-02-08T00:00:00"/>
    <x v="1"/>
    <s v="Target.com"/>
    <n v="3"/>
    <s v="California"/>
    <s v="Fresno County"/>
    <n v="2"/>
    <n v="6"/>
    <x v="1"/>
  </r>
  <r>
    <x v="917"/>
    <x v="2"/>
    <n v="3"/>
    <n v="75.8"/>
    <n v="227.39999999999998"/>
    <d v="2025-02-06T00:00:00"/>
    <d v="2025-02-10T00:00:00"/>
    <x v="2"/>
    <s v="Website"/>
    <n v="2"/>
    <s v="California"/>
    <s v="Humboldt County"/>
    <n v="4"/>
    <n v="6"/>
    <x v="2"/>
  </r>
  <r>
    <x v="918"/>
    <x v="8"/>
    <n v="1"/>
    <n v="20.9"/>
    <n v="20.9"/>
    <d v="2025-02-06T00:00:00"/>
    <d v="2025-02-10T00:00:00"/>
    <x v="1"/>
    <s v="App"/>
    <n v="4"/>
    <s v="California"/>
    <s v="Kern County"/>
    <n v="4"/>
    <n v="6"/>
    <x v="1"/>
  </r>
  <r>
    <x v="919"/>
    <x v="18"/>
    <n v="3"/>
    <n v="47.4"/>
    <n v="142.19999999999999"/>
    <d v="2025-02-06T00:00:00"/>
    <d v="2025-02-09T00:00:00"/>
    <x v="2"/>
    <s v="App"/>
    <n v="4"/>
    <s v="California"/>
    <s v="Los Angeles County"/>
    <n v="3"/>
    <n v="6"/>
    <x v="2"/>
  </r>
  <r>
    <x v="920"/>
    <x v="9"/>
    <n v="2"/>
    <n v="53.8"/>
    <n v="107.6"/>
    <d v="2025-02-06T00:00:00"/>
    <d v="2025-02-07T00:00:00"/>
    <x v="0"/>
    <s v="App"/>
    <n v="3"/>
    <s v="California"/>
    <s v="Los Angeles County"/>
    <n v="1"/>
    <n v="6"/>
    <x v="0"/>
  </r>
  <r>
    <x v="921"/>
    <x v="8"/>
    <n v="3"/>
    <n v="24.6"/>
    <n v="73.800000000000011"/>
    <d v="2025-02-06T00:00:00"/>
    <d v="2025-02-08T00:00:00"/>
    <x v="3"/>
    <s v="Website"/>
    <n v="5"/>
    <s v="California"/>
    <s v="Los Angeles County"/>
    <n v="2"/>
    <n v="6"/>
    <x v="3"/>
  </r>
  <r>
    <x v="922"/>
    <x v="9"/>
    <n v="3"/>
    <n v="70.900000000000006"/>
    <n v="212.70000000000002"/>
    <d v="2025-02-06T00:00:00"/>
    <d v="2025-02-11T00:00:00"/>
    <x v="2"/>
    <s v="Target.com"/>
    <n v="5"/>
    <s v="California"/>
    <s v="Los Angeles County"/>
    <n v="5"/>
    <n v="6"/>
    <x v="2"/>
  </r>
  <r>
    <x v="923"/>
    <x v="17"/>
    <n v="3"/>
    <n v="31.9"/>
    <n v="95.699999999999989"/>
    <d v="2025-02-06T00:00:00"/>
    <d v="2025-02-08T00:00:00"/>
    <x v="2"/>
    <s v="Target.com"/>
    <n v="5"/>
    <s v="California"/>
    <s v="Los Angeles County"/>
    <n v="2"/>
    <n v="6"/>
    <x v="2"/>
  </r>
  <r>
    <x v="924"/>
    <x v="0"/>
    <n v="2"/>
    <n v="20.399999999999999"/>
    <n v="40.799999999999997"/>
    <d v="2025-02-06T00:00:00"/>
    <d v="2025-02-10T00:00:00"/>
    <x v="1"/>
    <s v="Instagram"/>
    <n v="5"/>
    <s v="California"/>
    <s v="Los Angeles County"/>
    <n v="4"/>
    <n v="6"/>
    <x v="1"/>
  </r>
  <r>
    <x v="925"/>
    <x v="8"/>
    <n v="2"/>
    <n v="18.600000000000001"/>
    <n v="37.200000000000003"/>
    <d v="2025-02-06T00:00:00"/>
    <d v="2025-02-08T00:00:00"/>
    <x v="0"/>
    <s v="App"/>
    <n v="3"/>
    <s v="California"/>
    <s v="Los Angeles County"/>
    <n v="2"/>
    <n v="6"/>
    <x v="0"/>
  </r>
  <r>
    <x v="926"/>
    <x v="4"/>
    <n v="5"/>
    <n v="48.3"/>
    <n v="241.5"/>
    <d v="2025-02-06T00:00:00"/>
    <d v="2025-02-08T00:00:00"/>
    <x v="2"/>
    <s v="Website"/>
    <n v="4"/>
    <s v="California"/>
    <s v="Los Angeles County"/>
    <n v="2"/>
    <n v="6"/>
    <x v="2"/>
  </r>
  <r>
    <x v="927"/>
    <x v="0"/>
    <n v="4"/>
    <n v="27.7"/>
    <n v="110.8"/>
    <d v="2025-02-06T00:00:00"/>
    <d v="2025-02-08T00:00:00"/>
    <x v="2"/>
    <s v="App"/>
    <n v="4"/>
    <s v="California"/>
    <s v="Los Angeles County"/>
    <n v="2"/>
    <n v="6"/>
    <x v="2"/>
  </r>
  <r>
    <x v="928"/>
    <x v="4"/>
    <n v="5"/>
    <n v="22.5"/>
    <n v="112.5"/>
    <d v="2025-02-06T00:00:00"/>
    <d v="2025-02-08T00:00:00"/>
    <x v="2"/>
    <s v="Partner App"/>
    <n v="5"/>
    <s v="California"/>
    <s v="Los Angeles County"/>
    <n v="2"/>
    <n v="6"/>
    <x v="2"/>
  </r>
  <r>
    <x v="929"/>
    <x v="17"/>
    <n v="5"/>
    <n v="21.6"/>
    <n v="108"/>
    <d v="2025-02-06T00:00:00"/>
    <d v="2025-02-14T00:00:00"/>
    <x v="2"/>
    <s v="App"/>
    <n v="3"/>
    <s v="California"/>
    <s v="Los Angeles County"/>
    <n v="8"/>
    <n v="6"/>
    <x v="2"/>
  </r>
  <r>
    <x v="930"/>
    <x v="10"/>
    <n v="7"/>
    <n v="26.3"/>
    <n v="184.1"/>
    <d v="2025-02-06T00:00:00"/>
    <d v="2025-02-06T00:00:00"/>
    <x v="2"/>
    <s v="Target.com"/>
    <n v="3"/>
    <s v="California"/>
    <s v="Los Angeles County"/>
    <n v="0"/>
    <n v="6"/>
    <x v="2"/>
  </r>
  <r>
    <x v="931"/>
    <x v="6"/>
    <n v="7"/>
    <n v="103"/>
    <n v="721"/>
    <d v="2025-02-07T00:00:00"/>
    <d v="2025-02-08T00:00:00"/>
    <x v="1"/>
    <s v="App"/>
    <n v="5"/>
    <s v="California"/>
    <s v="Sacramento County"/>
    <n v="1"/>
    <n v="6"/>
    <x v="1"/>
  </r>
  <r>
    <x v="932"/>
    <x v="5"/>
    <n v="15"/>
    <n v="46.6"/>
    <n v="699"/>
    <d v="2025-02-07T00:00:00"/>
    <d v="2025-02-08T00:00:00"/>
    <x v="2"/>
    <s v="App"/>
    <n v="3"/>
    <s v="California"/>
    <s v="Sacramento County"/>
    <n v="1"/>
    <n v="6"/>
    <x v="2"/>
  </r>
  <r>
    <x v="933"/>
    <x v="0"/>
    <n v="5"/>
    <n v="32.200000000000003"/>
    <n v="161"/>
    <d v="2025-02-07T00:00:00"/>
    <d v="2025-02-10T00:00:00"/>
    <x v="2"/>
    <s v="App"/>
    <n v="5"/>
    <s v="California"/>
    <s v="San Benito County"/>
    <n v="3"/>
    <n v="6"/>
    <x v="2"/>
  </r>
  <r>
    <x v="934"/>
    <x v="8"/>
    <n v="3"/>
    <n v="22"/>
    <n v="66"/>
    <d v="2025-02-07T00:00:00"/>
    <d v="2025-02-14T00:00:00"/>
    <x v="1"/>
    <s v="Website"/>
    <n v="4"/>
    <s v="California"/>
    <s v="San Bernardino County"/>
    <n v="7"/>
    <n v="6"/>
    <x v="1"/>
  </r>
  <r>
    <x v="935"/>
    <x v="0"/>
    <n v="2"/>
    <n v="25.2"/>
    <n v="50.4"/>
    <d v="2025-02-07T00:00:00"/>
    <d v="2025-02-11T00:00:00"/>
    <x v="2"/>
    <s v="App"/>
    <n v="4"/>
    <s v="California"/>
    <s v="San Bernardino County"/>
    <n v="4"/>
    <n v="6"/>
    <x v="2"/>
  </r>
  <r>
    <x v="936"/>
    <x v="1"/>
    <n v="6"/>
    <n v="68.7"/>
    <n v="412.20000000000005"/>
    <d v="2025-02-07T00:00:00"/>
    <d v="2025-02-09T00:00:00"/>
    <x v="1"/>
    <s v="Partner App"/>
    <n v="4"/>
    <s v="California"/>
    <s v="San Diego County"/>
    <n v="2"/>
    <n v="6"/>
    <x v="1"/>
  </r>
  <r>
    <x v="937"/>
    <x v="0"/>
    <n v="3"/>
    <n v="22.2"/>
    <n v="66.599999999999994"/>
    <d v="2025-02-07T00:00:00"/>
    <d v="2025-02-10T00:00:00"/>
    <x v="1"/>
    <s v="Target.com"/>
    <n v="5"/>
    <s v="California"/>
    <s v="San Diego County"/>
    <n v="3"/>
    <n v="6"/>
    <x v="1"/>
  </r>
  <r>
    <x v="938"/>
    <x v="1"/>
    <n v="7"/>
    <n v="36"/>
    <n v="252"/>
    <d v="2025-02-07T00:00:00"/>
    <d v="2025-02-08T00:00:00"/>
    <x v="2"/>
    <s v="Website"/>
    <n v="4"/>
    <s v="California"/>
    <s v="San Diego County"/>
    <n v="1"/>
    <n v="6"/>
    <x v="2"/>
  </r>
  <r>
    <x v="939"/>
    <x v="18"/>
    <n v="1"/>
    <n v="50.6"/>
    <n v="50.6"/>
    <d v="2025-02-07T00:00:00"/>
    <d v="2025-02-09T00:00:00"/>
    <x v="2"/>
    <s v="App"/>
    <n v="3"/>
    <s v="California"/>
    <s v="San Diego County"/>
    <n v="2"/>
    <n v="6"/>
    <x v="2"/>
  </r>
  <r>
    <x v="940"/>
    <x v="15"/>
    <n v="2"/>
    <n v="44.9"/>
    <n v="89.8"/>
    <d v="2025-02-07T00:00:00"/>
    <d v="2025-02-09T00:00:00"/>
    <x v="1"/>
    <s v="App"/>
    <n v="3"/>
    <s v="California"/>
    <s v="San Diego County"/>
    <n v="2"/>
    <n v="6"/>
    <x v="1"/>
  </r>
  <r>
    <x v="941"/>
    <x v="6"/>
    <n v="3"/>
    <n v="71.599999999999994"/>
    <n v="214.79999999999998"/>
    <d v="2025-02-07T00:00:00"/>
    <d v="2025-02-11T00:00:00"/>
    <x v="1"/>
    <s v="Website"/>
    <n v="5"/>
    <s v="California"/>
    <s v="Santa Barbara County"/>
    <n v="4"/>
    <n v="6"/>
    <x v="1"/>
  </r>
  <r>
    <x v="942"/>
    <x v="6"/>
    <n v="6"/>
    <n v="51.5"/>
    <n v="309"/>
    <d v="2025-02-07T00:00:00"/>
    <d v="2025-02-09T00:00:00"/>
    <x v="0"/>
    <s v="Partner App"/>
    <n v="4"/>
    <s v="California"/>
    <s v="Santa Clara County"/>
    <n v="2"/>
    <n v="6"/>
    <x v="0"/>
  </r>
  <r>
    <x v="943"/>
    <x v="7"/>
    <n v="5"/>
    <n v="55.5"/>
    <n v="277.5"/>
    <d v="2025-02-07T00:00:00"/>
    <d v="2025-02-08T00:00:00"/>
    <x v="1"/>
    <s v="Website"/>
    <n v="3"/>
    <s v="California"/>
    <s v="Santa Clara County"/>
    <n v="1"/>
    <n v="6"/>
    <x v="1"/>
  </r>
  <r>
    <x v="944"/>
    <x v="6"/>
    <n v="1"/>
    <n v="51.7"/>
    <n v="51.7"/>
    <d v="2025-02-07T00:00:00"/>
    <d v="2025-02-21T00:00:00"/>
    <x v="1"/>
    <s v="Target.com"/>
    <n v="4"/>
    <s v="California"/>
    <s v="Stanislaus County"/>
    <n v="14"/>
    <n v="6"/>
    <x v="1"/>
  </r>
  <r>
    <x v="945"/>
    <x v="8"/>
    <n v="21"/>
    <n v="45.5"/>
    <n v="955.5"/>
    <d v="2025-02-07T00:00:00"/>
    <d v="2025-02-08T00:00:00"/>
    <x v="2"/>
    <s v="Instagram"/>
    <n v="5"/>
    <s v="California"/>
    <s v="Stanislaus County"/>
    <n v="1"/>
    <n v="6"/>
    <x v="2"/>
  </r>
  <r>
    <x v="946"/>
    <x v="8"/>
    <n v="2"/>
    <n v="33.799999999999997"/>
    <n v="67.599999999999994"/>
    <d v="2025-02-07T00:00:00"/>
    <d v="2025-02-13T00:00:00"/>
    <x v="2"/>
    <s v="Instagram"/>
    <n v="4"/>
    <s v="California"/>
    <s v="Tulare County"/>
    <n v="6"/>
    <n v="6"/>
    <x v="2"/>
  </r>
  <r>
    <x v="947"/>
    <x v="3"/>
    <n v="3"/>
    <n v="76.5"/>
    <n v="229.5"/>
    <d v="2025-02-07T00:00:00"/>
    <d v="2025-02-08T00:00:00"/>
    <x v="2"/>
    <s v="App"/>
    <n v="3"/>
    <s v="California"/>
    <s v="Alameda County"/>
    <n v="1"/>
    <n v="6"/>
    <x v="2"/>
  </r>
  <r>
    <x v="948"/>
    <x v="9"/>
    <n v="3"/>
    <n v="42.6"/>
    <n v="127.80000000000001"/>
    <d v="2025-02-07T00:00:00"/>
    <d v="2025-02-13T00:00:00"/>
    <x v="2"/>
    <s v="Target.com"/>
    <n v="5"/>
    <s v="California"/>
    <s v="Fresno County"/>
    <n v="6"/>
    <n v="6"/>
    <x v="2"/>
  </r>
  <r>
    <x v="949"/>
    <x v="6"/>
    <n v="3"/>
    <n v="44.1"/>
    <n v="132.30000000000001"/>
    <d v="2025-02-07T00:00:00"/>
    <d v="2025-02-09T00:00:00"/>
    <x v="2"/>
    <s v="Website"/>
    <n v="3"/>
    <s v="California"/>
    <s v="Kern County"/>
    <n v="2"/>
    <n v="6"/>
    <x v="2"/>
  </r>
  <r>
    <x v="950"/>
    <x v="8"/>
    <n v="2"/>
    <n v="40.9"/>
    <n v="81.8"/>
    <d v="2025-02-07T00:00:00"/>
    <d v="2025-02-11T00:00:00"/>
    <x v="1"/>
    <s v="App"/>
    <n v="4"/>
    <s v="California"/>
    <s v="Los Angeles County"/>
    <n v="4"/>
    <n v="6"/>
    <x v="1"/>
  </r>
  <r>
    <x v="951"/>
    <x v="9"/>
    <n v="3"/>
    <n v="49.1"/>
    <n v="147.30000000000001"/>
    <d v="2025-02-07T00:00:00"/>
    <d v="2025-02-11T00:00:00"/>
    <x v="2"/>
    <s v="Instagram"/>
    <n v="3"/>
    <s v="California"/>
    <s v="Los Angeles County"/>
    <n v="4"/>
    <n v="6"/>
    <x v="2"/>
  </r>
  <r>
    <x v="952"/>
    <x v="18"/>
    <n v="1"/>
    <n v="85.3"/>
    <n v="85.3"/>
    <d v="2025-02-07T00:00:00"/>
    <d v="2025-02-11T00:00:00"/>
    <x v="1"/>
    <s v="Website"/>
    <n v="3"/>
    <s v="California"/>
    <s v="Los Angeles County"/>
    <n v="4"/>
    <n v="6"/>
    <x v="1"/>
  </r>
  <r>
    <x v="953"/>
    <x v="6"/>
    <n v="4"/>
    <n v="43.1"/>
    <n v="172.4"/>
    <d v="2025-02-08T00:00:00"/>
    <d v="2025-02-11T00:00:00"/>
    <x v="1"/>
    <s v="App"/>
    <n v="4"/>
    <s v="California"/>
    <s v="Los Angeles County"/>
    <n v="3"/>
    <n v="6"/>
    <x v="1"/>
  </r>
  <r>
    <x v="954"/>
    <x v="4"/>
    <n v="4"/>
    <n v="46.2"/>
    <n v="184.8"/>
    <d v="2025-02-08T00:00:00"/>
    <d v="2025-02-09T00:00:00"/>
    <x v="1"/>
    <s v="Target.com"/>
    <n v="4"/>
    <s v="California"/>
    <s v="Los Angeles County"/>
    <n v="1"/>
    <n v="6"/>
    <x v="1"/>
  </r>
  <r>
    <x v="955"/>
    <x v="1"/>
    <n v="1"/>
    <n v="74.400000000000006"/>
    <n v="74.400000000000006"/>
    <d v="2025-02-08T00:00:00"/>
    <d v="2025-02-10T00:00:00"/>
    <x v="1"/>
    <s v="Partner App"/>
    <n v="5"/>
    <s v="California"/>
    <s v="Los Angeles County"/>
    <n v="2"/>
    <n v="6"/>
    <x v="1"/>
  </r>
  <r>
    <x v="956"/>
    <x v="17"/>
    <n v="2"/>
    <n v="51.2"/>
    <n v="102.4"/>
    <d v="2025-02-08T00:00:00"/>
    <d v="2025-02-09T00:00:00"/>
    <x v="1"/>
    <s v="Website"/>
    <n v="4"/>
    <s v="California"/>
    <s v="Los Angeles County"/>
    <n v="1"/>
    <n v="6"/>
    <x v="1"/>
  </r>
  <r>
    <x v="957"/>
    <x v="14"/>
    <n v="4"/>
    <n v="11.8"/>
    <n v="47.2"/>
    <d v="2025-02-08T00:00:00"/>
    <d v="2025-02-08T00:00:00"/>
    <x v="1"/>
    <s v="Target.com"/>
    <n v="4"/>
    <s v="California"/>
    <s v="Los Angeles County"/>
    <n v="0"/>
    <n v="6"/>
    <x v="1"/>
  </r>
  <r>
    <x v="958"/>
    <x v="10"/>
    <n v="27"/>
    <n v="40.799999999999997"/>
    <n v="1101.5999999999999"/>
    <d v="2025-02-08T00:00:00"/>
    <d v="2025-02-09T00:00:00"/>
    <x v="2"/>
    <s v="Instagram"/>
    <n v="5"/>
    <s v="California"/>
    <s v="Los Angeles County"/>
    <n v="1"/>
    <n v="6"/>
    <x v="2"/>
  </r>
  <r>
    <x v="959"/>
    <x v="8"/>
    <n v="1"/>
    <n v="24.7"/>
    <n v="24.7"/>
    <d v="2025-02-08T00:00:00"/>
    <d v="2025-02-10T00:00:00"/>
    <x v="2"/>
    <s v="Target.com"/>
    <n v="3"/>
    <s v="California"/>
    <s v="Los Angeles County"/>
    <n v="2"/>
    <n v="6"/>
    <x v="2"/>
  </r>
  <r>
    <x v="960"/>
    <x v="8"/>
    <n v="7"/>
    <n v="22.1"/>
    <n v="154.70000000000002"/>
    <d v="2025-02-08T00:00:00"/>
    <d v="2025-02-08T00:00:00"/>
    <x v="2"/>
    <s v="Target.com"/>
    <n v="2"/>
    <s v="California"/>
    <s v="Los Angeles County"/>
    <n v="0"/>
    <n v="6"/>
    <x v="2"/>
  </r>
  <r>
    <x v="961"/>
    <x v="8"/>
    <n v="1"/>
    <n v="18.100000000000001"/>
    <n v="18.100000000000001"/>
    <d v="2025-02-08T00:00:00"/>
    <d v="2025-02-12T00:00:00"/>
    <x v="1"/>
    <s v="Instagram"/>
    <n v="5"/>
    <s v="California"/>
    <s v="Los Angeles County"/>
    <n v="4"/>
    <n v="6"/>
    <x v="1"/>
  </r>
  <r>
    <x v="962"/>
    <x v="17"/>
    <n v="2"/>
    <n v="58.8"/>
    <n v="117.6"/>
    <d v="2025-02-08T00:00:00"/>
    <d v="2025-02-11T00:00:00"/>
    <x v="2"/>
    <s v="App"/>
    <n v="4"/>
    <s v="California"/>
    <s v="Orange County"/>
    <n v="3"/>
    <n v="6"/>
    <x v="2"/>
  </r>
  <r>
    <x v="963"/>
    <x v="18"/>
    <n v="2"/>
    <n v="30.8"/>
    <n v="61.6"/>
    <d v="2025-02-08T00:00:00"/>
    <d v="2025-02-09T00:00:00"/>
    <x v="2"/>
    <s v="App"/>
    <n v="4"/>
    <s v="California"/>
    <s v="Sacramento County"/>
    <n v="1"/>
    <n v="6"/>
    <x v="2"/>
  </r>
  <r>
    <x v="964"/>
    <x v="0"/>
    <n v="2"/>
    <n v="12"/>
    <n v="24"/>
    <d v="2025-02-08T00:00:00"/>
    <d v="2025-02-12T00:00:00"/>
    <x v="2"/>
    <s v="App"/>
    <n v="4"/>
    <s v="California"/>
    <s v="Sacramento County"/>
    <n v="4"/>
    <n v="6"/>
    <x v="2"/>
  </r>
  <r>
    <x v="965"/>
    <x v="0"/>
    <n v="4"/>
    <n v="13.6"/>
    <n v="54.4"/>
    <d v="2025-02-08T00:00:00"/>
    <d v="2025-02-11T00:00:00"/>
    <x v="1"/>
    <s v="Target.com"/>
    <n v="4"/>
    <s v="California"/>
    <s v="Sacramento County"/>
    <n v="3"/>
    <n v="6"/>
    <x v="1"/>
  </r>
  <r>
    <x v="966"/>
    <x v="0"/>
    <n v="1"/>
    <n v="17.899999999999999"/>
    <n v="17.899999999999999"/>
    <d v="2025-02-08T00:00:00"/>
    <d v="2025-02-09T00:00:00"/>
    <x v="1"/>
    <s v="Instagram"/>
    <n v="4"/>
    <s v="California"/>
    <s v="Sacramento County"/>
    <n v="1"/>
    <n v="6"/>
    <x v="1"/>
  </r>
  <r>
    <x v="967"/>
    <x v="9"/>
    <n v="2"/>
    <n v="38.6"/>
    <n v="77.2"/>
    <d v="2025-02-08T00:00:00"/>
    <d v="2025-02-12T00:00:00"/>
    <x v="2"/>
    <s v="Partner App"/>
    <n v="4"/>
    <s v="California"/>
    <s v="San Bernardino County"/>
    <n v="4"/>
    <n v="6"/>
    <x v="2"/>
  </r>
  <r>
    <x v="968"/>
    <x v="5"/>
    <n v="5"/>
    <n v="32.700000000000003"/>
    <n v="163.5"/>
    <d v="2025-02-08T00:00:00"/>
    <d v="2025-02-09T00:00:00"/>
    <x v="1"/>
    <s v="Target.com"/>
    <n v="5"/>
    <s v="California"/>
    <s v="San Diego County"/>
    <n v="1"/>
    <n v="6"/>
    <x v="1"/>
  </r>
  <r>
    <x v="969"/>
    <x v="3"/>
    <n v="2"/>
    <n v="111.4"/>
    <n v="222.8"/>
    <d v="2025-02-08T00:00:00"/>
    <d v="2025-02-09T00:00:00"/>
    <x v="2"/>
    <s v="Website"/>
    <n v="4"/>
    <s v="California"/>
    <s v="San Diego County"/>
    <n v="1"/>
    <n v="6"/>
    <x v="2"/>
  </r>
  <r>
    <x v="970"/>
    <x v="2"/>
    <n v="6"/>
    <n v="80.3"/>
    <n v="481.79999999999995"/>
    <d v="2025-02-08T00:00:00"/>
    <d v="2025-02-10T00:00:00"/>
    <x v="2"/>
    <s v="Website"/>
    <n v="4"/>
    <s v="California"/>
    <s v="San Diego County"/>
    <n v="2"/>
    <n v="6"/>
    <x v="2"/>
  </r>
  <r>
    <x v="971"/>
    <x v="6"/>
    <n v="2"/>
    <n v="58.9"/>
    <n v="117.8"/>
    <d v="2025-02-08T00:00:00"/>
    <d v="2025-02-09T00:00:00"/>
    <x v="1"/>
    <s v="Website"/>
    <n v="4"/>
    <s v="California"/>
    <s v="San Diego County"/>
    <n v="1"/>
    <n v="6"/>
    <x v="1"/>
  </r>
  <r>
    <x v="972"/>
    <x v="6"/>
    <n v="3"/>
    <n v="51.9"/>
    <n v="155.69999999999999"/>
    <d v="2025-02-08T00:00:00"/>
    <d v="2025-02-10T00:00:00"/>
    <x v="2"/>
    <s v="Website"/>
    <n v="2"/>
    <s v="California"/>
    <s v="San Diego County"/>
    <n v="2"/>
    <n v="6"/>
    <x v="2"/>
  </r>
  <r>
    <x v="973"/>
    <x v="2"/>
    <n v="3"/>
    <n v="50.3"/>
    <n v="150.89999999999998"/>
    <d v="2025-02-08T00:00:00"/>
    <d v="2025-02-09T00:00:00"/>
    <x v="1"/>
    <s v="Target.com"/>
    <n v="4"/>
    <s v="California"/>
    <s v="San Francisco"/>
    <n v="1"/>
    <n v="6"/>
    <x v="1"/>
  </r>
  <r>
    <x v="974"/>
    <x v="11"/>
    <n v="6"/>
    <n v="45"/>
    <n v="270"/>
    <d v="2025-02-08T00:00:00"/>
    <d v="2025-02-14T00:00:00"/>
    <x v="2"/>
    <s v="Instagram"/>
    <n v="4"/>
    <s v="California"/>
    <s v="San Mateo County"/>
    <n v="6"/>
    <n v="6"/>
    <x v="2"/>
  </r>
  <r>
    <x v="975"/>
    <x v="10"/>
    <n v="6"/>
    <n v="44.7"/>
    <n v="268.20000000000005"/>
    <d v="2025-02-08T00:00:00"/>
    <d v="2025-02-10T00:00:00"/>
    <x v="2"/>
    <s v="Target.com"/>
    <n v="4"/>
    <s v="California"/>
    <s v="Santa Clara County"/>
    <n v="2"/>
    <n v="6"/>
    <x v="2"/>
  </r>
  <r>
    <x v="976"/>
    <x v="18"/>
    <n v="15"/>
    <n v="33"/>
    <n v="495"/>
    <d v="2025-02-08T00:00:00"/>
    <d v="2025-02-09T00:00:00"/>
    <x v="2"/>
    <s v="Target.com"/>
    <n v="4"/>
    <s v="California"/>
    <s v="Santa Clara County"/>
    <n v="1"/>
    <n v="6"/>
    <x v="2"/>
  </r>
  <r>
    <x v="977"/>
    <x v="1"/>
    <n v="5"/>
    <n v="44.9"/>
    <n v="224.5"/>
    <d v="2025-02-08T00:00:00"/>
    <d v="2025-02-11T00:00:00"/>
    <x v="2"/>
    <s v="Target.com"/>
    <n v="5"/>
    <s v="California"/>
    <s v="Sonoma County"/>
    <n v="3"/>
    <n v="6"/>
    <x v="2"/>
  </r>
  <r>
    <x v="978"/>
    <x v="10"/>
    <n v="2"/>
    <n v="34.6"/>
    <n v="69.2"/>
    <d v="2025-02-08T00:00:00"/>
    <d v="2025-02-12T00:00:00"/>
    <x v="2"/>
    <s v="App"/>
    <n v="3"/>
    <s v="California"/>
    <s v="Stanislaus County"/>
    <n v="4"/>
    <n v="6"/>
    <x v="2"/>
  </r>
  <r>
    <x v="979"/>
    <x v="7"/>
    <n v="7"/>
    <n v="47.1"/>
    <n v="329.7"/>
    <d v="2025-02-08T00:00:00"/>
    <d v="2025-02-13T00:00:00"/>
    <x v="2"/>
    <s v="App"/>
    <n v="4"/>
    <s v="California"/>
    <s v="Ventura County"/>
    <n v="5"/>
    <n v="6"/>
    <x v="2"/>
  </r>
  <r>
    <x v="980"/>
    <x v="4"/>
    <n v="5"/>
    <n v="26.1"/>
    <n v="130.5"/>
    <d v="2025-02-08T00:00:00"/>
    <d v="2025-02-13T00:00:00"/>
    <x v="1"/>
    <s v="App"/>
    <n v="5"/>
    <s v="California"/>
    <s v="Alameda County"/>
    <n v="5"/>
    <n v="6"/>
    <x v="1"/>
  </r>
  <r>
    <x v="981"/>
    <x v="12"/>
    <n v="5"/>
    <n v="66.8"/>
    <n v="334"/>
    <d v="2025-02-08T00:00:00"/>
    <d v="2025-02-11T00:00:00"/>
    <x v="2"/>
    <s v="App"/>
    <n v="4"/>
    <s v="California"/>
    <s v="Alameda County"/>
    <n v="3"/>
    <n v="6"/>
    <x v="2"/>
  </r>
  <r>
    <x v="982"/>
    <x v="2"/>
    <n v="2"/>
    <n v="167.9"/>
    <n v="335.8"/>
    <d v="2025-02-08T00:00:00"/>
    <d v="2025-02-09T00:00:00"/>
    <x v="2"/>
    <s v="Instagram"/>
    <n v="5"/>
    <s v="California"/>
    <s v="Alameda County"/>
    <n v="1"/>
    <n v="6"/>
    <x v="2"/>
  </r>
  <r>
    <x v="983"/>
    <x v="10"/>
    <n v="9"/>
    <n v="34.6"/>
    <n v="311.40000000000003"/>
    <d v="2025-02-08T00:00:00"/>
    <d v="2025-02-09T00:00:00"/>
    <x v="2"/>
    <s v="Target.com"/>
    <n v="3"/>
    <s v="California"/>
    <s v="Alameda County"/>
    <n v="1"/>
    <n v="6"/>
    <x v="2"/>
  </r>
  <r>
    <x v="984"/>
    <x v="8"/>
    <n v="3"/>
    <n v="35.1"/>
    <n v="105.30000000000001"/>
    <d v="2025-02-09T00:00:00"/>
    <d v="2025-02-13T00:00:00"/>
    <x v="1"/>
    <s v="Partner App"/>
    <n v="5"/>
    <s v="California"/>
    <s v="Contra Costa County"/>
    <n v="4"/>
    <n v="7"/>
    <x v="1"/>
  </r>
  <r>
    <x v="985"/>
    <x v="6"/>
    <n v="4"/>
    <n v="104.5"/>
    <n v="418"/>
    <d v="2025-02-09T00:00:00"/>
    <d v="2025-02-10T00:00:00"/>
    <x v="1"/>
    <s v="Website"/>
    <n v="3"/>
    <s v="California"/>
    <s v="Contra Costa County"/>
    <n v="1"/>
    <n v="7"/>
    <x v="1"/>
  </r>
  <r>
    <x v="986"/>
    <x v="8"/>
    <n v="1"/>
    <n v="37.9"/>
    <n v="37.9"/>
    <d v="2025-02-09T00:00:00"/>
    <d v="2025-02-11T00:00:00"/>
    <x v="0"/>
    <s v="Website"/>
    <n v="5"/>
    <s v="California"/>
    <s v="Fresno County"/>
    <n v="2"/>
    <n v="7"/>
    <x v="0"/>
  </r>
  <r>
    <x v="987"/>
    <x v="4"/>
    <n v="3"/>
    <n v="25.5"/>
    <n v="76.5"/>
    <d v="2025-02-09T00:00:00"/>
    <d v="2025-02-12T00:00:00"/>
    <x v="1"/>
    <s v="Instagram"/>
    <n v="4"/>
    <s v="California"/>
    <s v="Fresno County"/>
    <n v="3"/>
    <n v="7"/>
    <x v="1"/>
  </r>
  <r>
    <x v="988"/>
    <x v="0"/>
    <n v="3"/>
    <n v="32"/>
    <n v="96"/>
    <d v="2025-02-09T00:00:00"/>
    <d v="2025-02-13T00:00:00"/>
    <x v="2"/>
    <s v="Website"/>
    <n v="4"/>
    <s v="California"/>
    <s v="Kern County"/>
    <n v="4"/>
    <n v="7"/>
    <x v="2"/>
  </r>
  <r>
    <x v="989"/>
    <x v="1"/>
    <n v="1"/>
    <n v="47.1"/>
    <n v="47.1"/>
    <d v="2025-02-09T00:00:00"/>
    <d v="2025-02-10T00:00:00"/>
    <x v="2"/>
    <s v="App"/>
    <n v="4"/>
    <s v="California"/>
    <s v="Kings County"/>
    <n v="1"/>
    <n v="7"/>
    <x v="2"/>
  </r>
  <r>
    <x v="990"/>
    <x v="6"/>
    <n v="2"/>
    <n v="50.6"/>
    <n v="101.2"/>
    <d v="2025-02-09T00:00:00"/>
    <d v="2025-02-15T00:00:00"/>
    <x v="0"/>
    <s v="App"/>
    <n v="4"/>
    <s v="California"/>
    <s v="Los Angeles County"/>
    <n v="6"/>
    <n v="7"/>
    <x v="0"/>
  </r>
  <r>
    <x v="991"/>
    <x v="6"/>
    <n v="5"/>
    <n v="81.7"/>
    <n v="408.5"/>
    <d v="2025-02-09T00:00:00"/>
    <d v="2025-02-10T00:00:00"/>
    <x v="2"/>
    <s v="Website"/>
    <n v="5"/>
    <s v="California"/>
    <s v="Los Angeles County"/>
    <n v="1"/>
    <n v="7"/>
    <x v="2"/>
  </r>
  <r>
    <x v="992"/>
    <x v="5"/>
    <n v="2"/>
    <n v="50.7"/>
    <n v="101.4"/>
    <d v="2025-02-09T00:00:00"/>
    <d v="2025-02-10T00:00:00"/>
    <x v="3"/>
    <s v="Target.com"/>
    <n v="5"/>
    <s v="California"/>
    <s v="Los Angeles County"/>
    <n v="1"/>
    <n v="7"/>
    <x v="3"/>
  </r>
  <r>
    <x v="993"/>
    <x v="2"/>
    <n v="19"/>
    <n v="67.3"/>
    <n v="1278.7"/>
    <d v="2025-02-09T00:00:00"/>
    <d v="2025-02-13T00:00:00"/>
    <x v="2"/>
    <s v="Target.com"/>
    <n v="4"/>
    <s v="California"/>
    <s v="Los Angeles County"/>
    <n v="4"/>
    <n v="7"/>
    <x v="2"/>
  </r>
  <r>
    <x v="994"/>
    <x v="2"/>
    <n v="4"/>
    <n v="64.8"/>
    <n v="259.2"/>
    <d v="2025-02-09T00:00:00"/>
    <d v="2025-02-12T00:00:00"/>
    <x v="2"/>
    <s v="Instagram"/>
    <n v="4"/>
    <s v="California"/>
    <s v="Los Angeles County"/>
    <n v="3"/>
    <n v="7"/>
    <x v="2"/>
  </r>
  <r>
    <x v="995"/>
    <x v="5"/>
    <n v="22"/>
    <n v="61.3"/>
    <n v="1348.6"/>
    <d v="2025-02-09T00:00:00"/>
    <d v="2025-02-10T00:00:00"/>
    <x v="2"/>
    <s v="App"/>
    <n v="5"/>
    <s v="California"/>
    <s v="Los Angeles County"/>
    <n v="1"/>
    <n v="7"/>
    <x v="2"/>
  </r>
  <r>
    <x v="996"/>
    <x v="14"/>
    <n v="1"/>
    <n v="32.9"/>
    <n v="32.9"/>
    <d v="2025-02-09T00:00:00"/>
    <d v="2025-02-12T00:00:00"/>
    <x v="2"/>
    <s v="Partner App"/>
    <n v="4"/>
    <s v="California"/>
    <s v="Los Angeles County"/>
    <n v="3"/>
    <n v="7"/>
    <x v="2"/>
  </r>
  <r>
    <x v="997"/>
    <x v="6"/>
    <n v="2"/>
    <n v="100.8"/>
    <n v="201.6"/>
    <d v="2025-02-09T00:00:00"/>
    <d v="2025-02-12T00:00:00"/>
    <x v="2"/>
    <s v="App"/>
    <n v="4"/>
    <s v="California"/>
    <s v="Los Angeles County"/>
    <n v="3"/>
    <n v="7"/>
    <x v="2"/>
  </r>
  <r>
    <x v="998"/>
    <x v="8"/>
    <n v="4"/>
    <n v="25.1"/>
    <n v="100.4"/>
    <d v="2025-02-09T00:00:00"/>
    <d v="2025-02-11T00:00:00"/>
    <x v="2"/>
    <s v="Website"/>
    <n v="4"/>
    <s v="California"/>
    <s v="Los Angeles County"/>
    <n v="2"/>
    <n v="7"/>
    <x v="2"/>
  </r>
  <r>
    <x v="999"/>
    <x v="17"/>
    <n v="1"/>
    <n v="48.5"/>
    <n v="48.5"/>
    <d v="2025-02-09T00:00:00"/>
    <d v="2025-02-10T00:00:00"/>
    <x v="2"/>
    <s v="App"/>
    <n v="3"/>
    <s v="California"/>
    <s v="Los Angeles County"/>
    <n v="1"/>
    <n v="7"/>
    <x v="2"/>
  </r>
  <r>
    <x v="1000"/>
    <x v="7"/>
    <n v="2"/>
    <n v="33.6"/>
    <n v="67.2"/>
    <d v="2025-02-09T00:00:00"/>
    <d v="2025-02-13T00:00:00"/>
    <x v="2"/>
    <s v="Target.com"/>
    <n v="5"/>
    <s v="California"/>
    <s v="Los Angeles County"/>
    <n v="4"/>
    <n v="7"/>
    <x v="2"/>
  </r>
  <r>
    <x v="1001"/>
    <x v="8"/>
    <n v="1"/>
    <n v="39.299999999999997"/>
    <n v="39.299999999999997"/>
    <d v="2025-02-09T00:00:00"/>
    <d v="2025-02-20T00:00:00"/>
    <x v="2"/>
    <s v="Website"/>
    <n v="3"/>
    <s v="California"/>
    <s v="Monterey County"/>
    <n v="11"/>
    <n v="7"/>
    <x v="2"/>
  </r>
  <r>
    <x v="1002"/>
    <x v="4"/>
    <n v="10"/>
    <n v="48.8"/>
    <n v="488"/>
    <d v="2025-02-09T00:00:00"/>
    <d v="2025-02-11T00:00:00"/>
    <x v="2"/>
    <s v="Instagram"/>
    <n v="3"/>
    <s v="California"/>
    <s v="Orange County"/>
    <n v="2"/>
    <n v="7"/>
    <x v="2"/>
  </r>
  <r>
    <x v="1003"/>
    <x v="6"/>
    <n v="8"/>
    <n v="72.8"/>
    <n v="582.4"/>
    <d v="2025-02-09T00:00:00"/>
    <d v="2025-02-11T00:00:00"/>
    <x v="1"/>
    <s v="Website"/>
    <n v="5"/>
    <s v="California"/>
    <s v="Placer County"/>
    <n v="2"/>
    <n v="7"/>
    <x v="1"/>
  </r>
  <r>
    <x v="1004"/>
    <x v="10"/>
    <n v="8"/>
    <n v="46.2"/>
    <n v="369.6"/>
    <d v="2025-02-09T00:00:00"/>
    <d v="2025-02-10T00:00:00"/>
    <x v="1"/>
    <s v="Instagram"/>
    <n v="2"/>
    <s v="California"/>
    <s v="Placer County"/>
    <n v="1"/>
    <n v="7"/>
    <x v="1"/>
  </r>
  <r>
    <x v="1005"/>
    <x v="4"/>
    <n v="2"/>
    <n v="20.7"/>
    <n v="41.4"/>
    <d v="2025-02-09T00:00:00"/>
    <d v="2025-02-10T00:00:00"/>
    <x v="2"/>
    <s v="Target.com"/>
    <n v="1"/>
    <s v="California"/>
    <s v="Sacramento County"/>
    <n v="1"/>
    <n v="7"/>
    <x v="2"/>
  </r>
  <r>
    <x v="1006"/>
    <x v="0"/>
    <n v="1"/>
    <n v="35.700000000000003"/>
    <n v="35.700000000000003"/>
    <d v="2025-02-09T00:00:00"/>
    <d v="2025-02-11T00:00:00"/>
    <x v="2"/>
    <s v="Instagram"/>
    <n v="4"/>
    <s v="California"/>
    <s v="Sacramento County"/>
    <n v="2"/>
    <n v="7"/>
    <x v="2"/>
  </r>
  <r>
    <x v="1007"/>
    <x v="2"/>
    <n v="16"/>
    <n v="166.2"/>
    <n v="2659.2"/>
    <d v="2025-02-09T00:00:00"/>
    <d v="2025-02-11T00:00:00"/>
    <x v="0"/>
    <s v="Target.com"/>
    <n v="4"/>
    <s v="California"/>
    <s v="San Bernardino County"/>
    <n v="2"/>
    <n v="7"/>
    <x v="0"/>
  </r>
  <r>
    <x v="1008"/>
    <x v="6"/>
    <n v="4"/>
    <n v="85.8"/>
    <n v="343.2"/>
    <d v="2025-02-09T00:00:00"/>
    <d v="2025-02-10T00:00:00"/>
    <x v="2"/>
    <s v="Website"/>
    <n v="3"/>
    <s v="California"/>
    <s v="San Bernardino County"/>
    <n v="1"/>
    <n v="7"/>
    <x v="2"/>
  </r>
  <r>
    <x v="1009"/>
    <x v="8"/>
    <n v="3"/>
    <n v="26"/>
    <n v="78"/>
    <d v="2025-02-09T00:00:00"/>
    <d v="2025-02-11T00:00:00"/>
    <x v="3"/>
    <s v="Website"/>
    <n v="4"/>
    <s v="California"/>
    <s v="San Bernardino County"/>
    <n v="2"/>
    <n v="7"/>
    <x v="3"/>
  </r>
  <r>
    <x v="1010"/>
    <x v="2"/>
    <n v="13"/>
    <n v="116.6"/>
    <n v="1515.8"/>
    <d v="2025-02-09T00:00:00"/>
    <d v="2025-02-12T00:00:00"/>
    <x v="2"/>
    <s v="App"/>
    <n v="4"/>
    <s v="California"/>
    <s v="San Diego County"/>
    <n v="3"/>
    <n v="7"/>
    <x v="2"/>
  </r>
  <r>
    <x v="1011"/>
    <x v="9"/>
    <n v="7"/>
    <n v="53.9"/>
    <n v="377.3"/>
    <d v="2025-02-09T00:00:00"/>
    <d v="2025-02-12T00:00:00"/>
    <x v="3"/>
    <s v="App"/>
    <n v="5"/>
    <s v="California"/>
    <s v="San Diego County"/>
    <n v="3"/>
    <n v="7"/>
    <x v="3"/>
  </r>
  <r>
    <x v="1012"/>
    <x v="12"/>
    <n v="5"/>
    <n v="72.3"/>
    <n v="361.5"/>
    <d v="2025-02-09T00:00:00"/>
    <d v="2025-02-11T00:00:00"/>
    <x v="0"/>
    <s v="Target.com"/>
    <n v="5"/>
    <s v="California"/>
    <s v="San Diego County"/>
    <n v="2"/>
    <n v="7"/>
    <x v="0"/>
  </r>
  <r>
    <x v="1013"/>
    <x v="5"/>
    <n v="2"/>
    <n v="31.4"/>
    <n v="62.8"/>
    <d v="2025-02-09T00:00:00"/>
    <d v="2025-02-11T00:00:00"/>
    <x v="2"/>
    <s v="App"/>
    <n v="4"/>
    <s v="California"/>
    <s v="San Diego County"/>
    <n v="2"/>
    <n v="7"/>
    <x v="2"/>
  </r>
  <r>
    <x v="1014"/>
    <x v="13"/>
    <n v="2"/>
    <n v="53.1"/>
    <n v="106.2"/>
    <d v="2025-02-09T00:00:00"/>
    <d v="2025-02-12T00:00:00"/>
    <x v="1"/>
    <s v="Website"/>
    <n v="4"/>
    <s v="California"/>
    <s v="San Diego County"/>
    <n v="3"/>
    <n v="7"/>
    <x v="1"/>
  </r>
  <r>
    <x v="1015"/>
    <x v="2"/>
    <n v="4"/>
    <n v="56.2"/>
    <n v="224.8"/>
    <d v="2025-02-09T00:00:00"/>
    <d v="2025-02-10T00:00:00"/>
    <x v="2"/>
    <s v="App"/>
    <n v="4"/>
    <s v="California"/>
    <s v="San Diego County"/>
    <n v="1"/>
    <n v="7"/>
    <x v="2"/>
  </r>
  <r>
    <x v="1016"/>
    <x v="1"/>
    <n v="10"/>
    <n v="77.3"/>
    <n v="773"/>
    <d v="2025-02-09T00:00:00"/>
    <d v="2025-02-10T00:00:00"/>
    <x v="2"/>
    <s v="Target.com"/>
    <n v="4"/>
    <s v="California"/>
    <s v="Santa Clara County"/>
    <n v="1"/>
    <n v="7"/>
    <x v="2"/>
  </r>
  <r>
    <x v="1017"/>
    <x v="6"/>
    <n v="13"/>
    <n v="57.8"/>
    <n v="751.4"/>
    <d v="2025-02-09T00:00:00"/>
    <d v="2025-02-10T00:00:00"/>
    <x v="0"/>
    <s v="App"/>
    <n v="4"/>
    <s v="California"/>
    <s v="Shasta County"/>
    <n v="1"/>
    <n v="7"/>
    <x v="0"/>
  </r>
  <r>
    <x v="1018"/>
    <x v="12"/>
    <n v="15"/>
    <n v="42.1"/>
    <n v="631.5"/>
    <d v="2025-02-09T00:00:00"/>
    <d v="2025-02-11T00:00:00"/>
    <x v="2"/>
    <s v="Website"/>
    <n v="3"/>
    <s v="California"/>
    <s v="Shasta County"/>
    <n v="2"/>
    <n v="7"/>
    <x v="2"/>
  </r>
  <r>
    <x v="1019"/>
    <x v="8"/>
    <n v="9"/>
    <n v="22.8"/>
    <n v="205.20000000000002"/>
    <d v="2025-02-09T00:00:00"/>
    <d v="2025-02-13T00:00:00"/>
    <x v="1"/>
    <s v="Target.com"/>
    <n v="5"/>
    <s v="California"/>
    <s v="Stanislaus County"/>
    <n v="4"/>
    <n v="7"/>
    <x v="1"/>
  </r>
  <r>
    <x v="1020"/>
    <x v="2"/>
    <n v="3"/>
    <n v="171.1"/>
    <n v="513.29999999999995"/>
    <d v="2025-02-10T00:00:00"/>
    <d v="2025-02-17T00:00:00"/>
    <x v="2"/>
    <s v="Target.com"/>
    <n v="3"/>
    <s v="California"/>
    <s v="Stanislaus County"/>
    <n v="7"/>
    <n v="7"/>
    <x v="2"/>
  </r>
  <r>
    <x v="1021"/>
    <x v="8"/>
    <n v="1"/>
    <n v="28"/>
    <n v="28"/>
    <d v="2025-02-10T00:00:00"/>
    <d v="2025-02-12T00:00:00"/>
    <x v="1"/>
    <s v="Target.com"/>
    <n v="5"/>
    <s v="California"/>
    <s v="Alameda County"/>
    <n v="2"/>
    <n v="7"/>
    <x v="1"/>
  </r>
  <r>
    <x v="1022"/>
    <x v="6"/>
    <n v="7"/>
    <n v="50.2"/>
    <n v="351.40000000000003"/>
    <d v="2025-02-10T00:00:00"/>
    <d v="2025-02-12T00:00:00"/>
    <x v="1"/>
    <s v="Target.com"/>
    <n v="4"/>
    <s v="California"/>
    <s v="Alameda County"/>
    <n v="2"/>
    <n v="7"/>
    <x v="1"/>
  </r>
  <r>
    <x v="1023"/>
    <x v="6"/>
    <n v="2"/>
    <n v="56"/>
    <n v="112"/>
    <d v="2025-02-10T00:00:00"/>
    <d v="2025-02-10T00:00:00"/>
    <x v="1"/>
    <s v="App"/>
    <n v="5"/>
    <s v="California"/>
    <s v="Kern County"/>
    <n v="0"/>
    <n v="7"/>
    <x v="1"/>
  </r>
  <r>
    <x v="1024"/>
    <x v="1"/>
    <n v="2"/>
    <n v="38.299999999999997"/>
    <n v="76.599999999999994"/>
    <d v="2025-02-10T00:00:00"/>
    <d v="2025-02-11T00:00:00"/>
    <x v="2"/>
    <s v="Website"/>
    <n v="4"/>
    <s v="California"/>
    <s v="Los Angeles County"/>
    <n v="1"/>
    <n v="7"/>
    <x v="2"/>
  </r>
  <r>
    <x v="1025"/>
    <x v="0"/>
    <n v="5"/>
    <n v="22.3"/>
    <n v="111.5"/>
    <d v="2025-02-10T00:00:00"/>
    <d v="2025-02-14T00:00:00"/>
    <x v="2"/>
    <s v="Target.com"/>
    <n v="3"/>
    <s v="California"/>
    <s v="Los Angeles County"/>
    <n v="4"/>
    <n v="7"/>
    <x v="2"/>
  </r>
  <r>
    <x v="1026"/>
    <x v="0"/>
    <n v="3"/>
    <n v="22.3"/>
    <n v="66.900000000000006"/>
    <d v="2025-02-10T00:00:00"/>
    <d v="2025-02-13T00:00:00"/>
    <x v="2"/>
    <s v="Target.com"/>
    <n v="4"/>
    <s v="California"/>
    <s v="Los Angeles County"/>
    <n v="3"/>
    <n v="7"/>
    <x v="2"/>
  </r>
  <r>
    <x v="1027"/>
    <x v="1"/>
    <n v="1"/>
    <n v="32.9"/>
    <n v="32.9"/>
    <d v="2025-02-10T00:00:00"/>
    <d v="2025-02-15T00:00:00"/>
    <x v="2"/>
    <s v="App"/>
    <n v="4"/>
    <s v="California"/>
    <s v="Los Angeles County"/>
    <n v="5"/>
    <n v="7"/>
    <x v="2"/>
  </r>
  <r>
    <x v="1028"/>
    <x v="10"/>
    <n v="3"/>
    <n v="31.9"/>
    <n v="95.699999999999989"/>
    <d v="2025-02-10T00:00:00"/>
    <d v="2025-02-15T00:00:00"/>
    <x v="2"/>
    <s v="App"/>
    <n v="4"/>
    <s v="California"/>
    <s v="Los Angeles County"/>
    <n v="5"/>
    <n v="7"/>
    <x v="2"/>
  </r>
  <r>
    <x v="1029"/>
    <x v="6"/>
    <n v="2"/>
    <n v="94"/>
    <n v="188"/>
    <d v="2025-02-10T00:00:00"/>
    <d v="2025-02-11T00:00:00"/>
    <x v="1"/>
    <s v="Target.com"/>
    <n v="5"/>
    <s v="California"/>
    <s v="Los Angeles County"/>
    <n v="1"/>
    <n v="7"/>
    <x v="1"/>
  </r>
  <r>
    <x v="1030"/>
    <x v="10"/>
    <n v="2"/>
    <n v="30.7"/>
    <n v="61.4"/>
    <d v="2025-02-10T00:00:00"/>
    <d v="2025-02-11T00:00:00"/>
    <x v="2"/>
    <s v="App"/>
    <n v="3"/>
    <s v="California"/>
    <s v="Los Angeles County"/>
    <n v="1"/>
    <n v="7"/>
    <x v="2"/>
  </r>
  <r>
    <x v="1031"/>
    <x v="5"/>
    <n v="5"/>
    <n v="90.5"/>
    <n v="452.5"/>
    <d v="2025-02-10T00:00:00"/>
    <d v="2025-02-17T00:00:00"/>
    <x v="1"/>
    <s v="App"/>
    <n v="5"/>
    <s v="California"/>
    <s v="Los Angeles County"/>
    <n v="7"/>
    <n v="7"/>
    <x v="1"/>
  </r>
  <r>
    <x v="1032"/>
    <x v="8"/>
    <n v="5"/>
    <n v="25.3"/>
    <n v="126.5"/>
    <d v="2025-02-10T00:00:00"/>
    <d v="2025-02-14T00:00:00"/>
    <x v="2"/>
    <s v="App"/>
    <n v="5"/>
    <s v="California"/>
    <s v="Los Angeles County"/>
    <n v="4"/>
    <n v="7"/>
    <x v="2"/>
  </r>
  <r>
    <x v="1033"/>
    <x v="6"/>
    <n v="3"/>
    <n v="58.1"/>
    <n v="174.3"/>
    <d v="2025-02-10T00:00:00"/>
    <d v="2025-02-14T00:00:00"/>
    <x v="0"/>
    <s v="App"/>
    <n v="5"/>
    <s v="California"/>
    <s v="Los Angeles County"/>
    <n v="4"/>
    <n v="7"/>
    <x v="0"/>
  </r>
  <r>
    <x v="1034"/>
    <x v="2"/>
    <n v="3"/>
    <n v="74.900000000000006"/>
    <n v="224.70000000000002"/>
    <d v="2025-02-10T00:00:00"/>
    <d v="2025-02-11T00:00:00"/>
    <x v="2"/>
    <s v="Partner App"/>
    <n v="4"/>
    <s v="California"/>
    <s v="Los Angeles County"/>
    <n v="1"/>
    <n v="7"/>
    <x v="2"/>
  </r>
  <r>
    <x v="1035"/>
    <x v="4"/>
    <n v="2"/>
    <n v="32.5"/>
    <n v="65"/>
    <d v="2025-02-10T00:00:00"/>
    <d v="2025-02-11T00:00:00"/>
    <x v="1"/>
    <s v="Target.com"/>
    <n v="5"/>
    <s v="California"/>
    <s v="Marin County"/>
    <n v="1"/>
    <n v="7"/>
    <x v="1"/>
  </r>
  <r>
    <x v="1036"/>
    <x v="4"/>
    <n v="5"/>
    <n v="62"/>
    <n v="310"/>
    <d v="2025-02-10T00:00:00"/>
    <d v="2025-02-11T00:00:00"/>
    <x v="1"/>
    <s v="Partner App"/>
    <n v="5"/>
    <s v="California"/>
    <s v="Orange County"/>
    <n v="1"/>
    <n v="7"/>
    <x v="1"/>
  </r>
  <r>
    <x v="1037"/>
    <x v="13"/>
    <n v="6"/>
    <n v="28.9"/>
    <n v="173.39999999999998"/>
    <d v="2025-02-10T00:00:00"/>
    <d v="2025-02-13T00:00:00"/>
    <x v="2"/>
    <s v="App"/>
    <n v="3"/>
    <s v="California"/>
    <s v="Sacramento County"/>
    <n v="3"/>
    <n v="7"/>
    <x v="2"/>
  </r>
  <r>
    <x v="1038"/>
    <x v="6"/>
    <n v="8"/>
    <n v="42.8"/>
    <n v="342.4"/>
    <d v="2025-02-10T00:00:00"/>
    <d v="2025-02-12T00:00:00"/>
    <x v="2"/>
    <s v="App"/>
    <n v="5"/>
    <s v="California"/>
    <s v="Sacramento County"/>
    <n v="2"/>
    <n v="7"/>
    <x v="2"/>
  </r>
  <r>
    <x v="1039"/>
    <x v="8"/>
    <n v="8"/>
    <n v="39.4"/>
    <n v="315.2"/>
    <d v="2025-02-10T00:00:00"/>
    <d v="2025-02-12T00:00:00"/>
    <x v="1"/>
    <s v="App"/>
    <n v="4"/>
    <s v="California"/>
    <s v="San Benito County"/>
    <n v="2"/>
    <n v="7"/>
    <x v="1"/>
  </r>
  <r>
    <x v="1040"/>
    <x v="18"/>
    <n v="3"/>
    <n v="66.400000000000006"/>
    <n v="199.20000000000002"/>
    <d v="2025-02-10T00:00:00"/>
    <d v="2025-02-11T00:00:00"/>
    <x v="0"/>
    <s v="Target.com"/>
    <n v="3"/>
    <s v="California"/>
    <s v="San Bernardino County"/>
    <n v="1"/>
    <n v="7"/>
    <x v="0"/>
  </r>
  <r>
    <x v="1041"/>
    <x v="17"/>
    <n v="4"/>
    <n v="35.9"/>
    <n v="143.6"/>
    <d v="2025-02-10T00:00:00"/>
    <d v="2025-02-17T00:00:00"/>
    <x v="2"/>
    <s v="Website"/>
    <n v="4"/>
    <s v="California"/>
    <s v="San Bernardino County"/>
    <n v="7"/>
    <n v="7"/>
    <x v="2"/>
  </r>
  <r>
    <x v="1042"/>
    <x v="0"/>
    <n v="4"/>
    <n v="26.9"/>
    <n v="107.6"/>
    <d v="2025-02-10T00:00:00"/>
    <d v="2025-02-11T00:00:00"/>
    <x v="1"/>
    <s v="Website"/>
    <n v="4"/>
    <s v="California"/>
    <s v="San Bernardino County"/>
    <n v="1"/>
    <n v="7"/>
    <x v="1"/>
  </r>
  <r>
    <x v="1043"/>
    <x v="2"/>
    <n v="1"/>
    <n v="55.1"/>
    <n v="55.1"/>
    <d v="2025-02-10T00:00:00"/>
    <d v="2025-02-11T00:00:00"/>
    <x v="2"/>
    <s v="App"/>
    <n v="4"/>
    <s v="California"/>
    <s v="San Bernardino County"/>
    <n v="1"/>
    <n v="7"/>
    <x v="2"/>
  </r>
  <r>
    <x v="1044"/>
    <x v="4"/>
    <n v="2"/>
    <n v="23.9"/>
    <n v="47.8"/>
    <d v="2025-02-10T00:00:00"/>
    <d v="2025-02-11T00:00:00"/>
    <x v="1"/>
    <s v="App"/>
    <n v="5"/>
    <s v="California"/>
    <s v="San Diego County"/>
    <n v="1"/>
    <n v="7"/>
    <x v="1"/>
  </r>
  <r>
    <x v="1045"/>
    <x v="9"/>
    <n v="13"/>
    <n v="21.1"/>
    <n v="274.3"/>
    <d v="2025-02-10T00:00:00"/>
    <d v="2025-02-18T00:00:00"/>
    <x v="2"/>
    <s v="App"/>
    <n v="3"/>
    <s v="California"/>
    <s v="San Diego County"/>
    <n v="8"/>
    <n v="7"/>
    <x v="2"/>
  </r>
  <r>
    <x v="1046"/>
    <x v="8"/>
    <n v="5"/>
    <n v="33.799999999999997"/>
    <n v="169"/>
    <d v="2025-02-10T00:00:00"/>
    <d v="2025-02-12T00:00:00"/>
    <x v="2"/>
    <s v="App"/>
    <n v="4"/>
    <s v="California"/>
    <s v="San Diego County"/>
    <n v="2"/>
    <n v="7"/>
    <x v="2"/>
  </r>
  <r>
    <x v="1047"/>
    <x v="2"/>
    <n v="4"/>
    <n v="56.1"/>
    <n v="224.4"/>
    <d v="2025-02-10T00:00:00"/>
    <d v="2025-02-10T00:00:00"/>
    <x v="2"/>
    <s v="Instagram"/>
    <n v="5"/>
    <s v="California"/>
    <s v="San Mateo County"/>
    <n v="0"/>
    <n v="7"/>
    <x v="2"/>
  </r>
  <r>
    <x v="1048"/>
    <x v="3"/>
    <n v="1"/>
    <n v="58.5"/>
    <n v="58.5"/>
    <d v="2025-02-11T00:00:00"/>
    <d v="2025-02-15T00:00:00"/>
    <x v="2"/>
    <s v="Website"/>
    <n v="5"/>
    <s v="California"/>
    <s v="San Mateo County"/>
    <n v="4"/>
    <n v="7"/>
    <x v="2"/>
  </r>
  <r>
    <x v="1049"/>
    <x v="6"/>
    <n v="1"/>
    <n v="84.2"/>
    <n v="84.2"/>
    <d v="2025-02-11T00:00:00"/>
    <d v="2025-02-13T00:00:00"/>
    <x v="1"/>
    <s v="Instagram"/>
    <n v="4"/>
    <s v="California"/>
    <s v="Santa Clara County"/>
    <n v="2"/>
    <n v="7"/>
    <x v="1"/>
  </r>
  <r>
    <x v="1050"/>
    <x v="11"/>
    <n v="4"/>
    <n v="52"/>
    <n v="208"/>
    <d v="2025-02-11T00:00:00"/>
    <d v="2025-02-14T00:00:00"/>
    <x v="1"/>
    <s v="App"/>
    <n v="4"/>
    <s v="California"/>
    <s v="Santa Clara County"/>
    <n v="3"/>
    <n v="7"/>
    <x v="1"/>
  </r>
  <r>
    <x v="1051"/>
    <x v="4"/>
    <n v="5"/>
    <n v="31.5"/>
    <n v="157.5"/>
    <d v="2025-02-11T00:00:00"/>
    <d v="2025-02-12T00:00:00"/>
    <x v="2"/>
    <s v="App"/>
    <n v="5"/>
    <s v="California"/>
    <s v="Santa Clara County"/>
    <n v="1"/>
    <n v="7"/>
    <x v="2"/>
  </r>
  <r>
    <x v="1052"/>
    <x v="16"/>
    <n v="3"/>
    <n v="46.2"/>
    <n v="138.60000000000002"/>
    <d v="2025-02-11T00:00:00"/>
    <d v="2025-02-12T00:00:00"/>
    <x v="1"/>
    <s v="App"/>
    <n v="4"/>
    <s v="California"/>
    <s v="Shasta County"/>
    <n v="1"/>
    <n v="7"/>
    <x v="1"/>
  </r>
  <r>
    <x v="1053"/>
    <x v="2"/>
    <n v="6"/>
    <n v="135"/>
    <n v="810"/>
    <d v="2025-02-11T00:00:00"/>
    <d v="2025-02-12T00:00:00"/>
    <x v="2"/>
    <s v="Website"/>
    <n v="5"/>
    <s v="California"/>
    <s v="Sonoma County"/>
    <n v="1"/>
    <n v="7"/>
    <x v="2"/>
  </r>
  <r>
    <x v="1054"/>
    <x v="12"/>
    <n v="3"/>
    <n v="92.2"/>
    <n v="276.60000000000002"/>
    <d v="2025-02-11T00:00:00"/>
    <d v="2025-02-15T00:00:00"/>
    <x v="1"/>
    <s v="App"/>
    <n v="4"/>
    <s v="California"/>
    <s v="Alameda County"/>
    <n v="4"/>
    <n v="7"/>
    <x v="1"/>
  </r>
  <r>
    <x v="1055"/>
    <x v="8"/>
    <n v="1"/>
    <n v="36.6"/>
    <n v="36.6"/>
    <d v="2025-02-11T00:00:00"/>
    <d v="2025-02-13T00:00:00"/>
    <x v="1"/>
    <s v="Target.com"/>
    <n v="5"/>
    <s v="California"/>
    <s v="Alameda County"/>
    <n v="2"/>
    <n v="7"/>
    <x v="1"/>
  </r>
  <r>
    <x v="1056"/>
    <x v="9"/>
    <n v="2"/>
    <n v="50.6"/>
    <n v="101.2"/>
    <d v="2025-02-11T00:00:00"/>
    <d v="2025-02-14T00:00:00"/>
    <x v="2"/>
    <s v="App"/>
    <n v="4"/>
    <s v="California"/>
    <s v="Fresno County"/>
    <n v="3"/>
    <n v="7"/>
    <x v="2"/>
  </r>
  <r>
    <x v="1057"/>
    <x v="18"/>
    <n v="7"/>
    <n v="56.7"/>
    <n v="396.90000000000003"/>
    <d v="2025-02-11T00:00:00"/>
    <d v="2025-02-14T00:00:00"/>
    <x v="2"/>
    <s v="App"/>
    <n v="4"/>
    <s v="California"/>
    <s v="Fresno County"/>
    <n v="3"/>
    <n v="7"/>
    <x v="2"/>
  </r>
  <r>
    <x v="1058"/>
    <x v="9"/>
    <n v="13"/>
    <n v="22.9"/>
    <n v="297.7"/>
    <d v="2025-02-11T00:00:00"/>
    <d v="2025-02-12T00:00:00"/>
    <x v="2"/>
    <s v="App"/>
    <n v="3"/>
    <s v="California"/>
    <s v="Humboldt County"/>
    <n v="1"/>
    <n v="7"/>
    <x v="2"/>
  </r>
  <r>
    <x v="1059"/>
    <x v="15"/>
    <n v="19"/>
    <n v="53.6"/>
    <n v="1018.4"/>
    <d v="2025-02-11T00:00:00"/>
    <d v="2025-02-12T00:00:00"/>
    <x v="1"/>
    <s v="App"/>
    <n v="4"/>
    <s v="California"/>
    <s v="Kern County"/>
    <n v="1"/>
    <n v="7"/>
    <x v="1"/>
  </r>
  <r>
    <x v="1060"/>
    <x v="18"/>
    <n v="2"/>
    <n v="30.2"/>
    <n v="60.4"/>
    <d v="2025-02-11T00:00:00"/>
    <d v="2025-02-13T00:00:00"/>
    <x v="0"/>
    <s v="Target.com"/>
    <n v="5"/>
    <s v="California"/>
    <s v="Los Angeles County"/>
    <n v="2"/>
    <n v="7"/>
    <x v="0"/>
  </r>
  <r>
    <x v="1061"/>
    <x v="15"/>
    <n v="6"/>
    <n v="83.4"/>
    <n v="500.40000000000003"/>
    <d v="2025-02-11T00:00:00"/>
    <d v="2025-02-12T00:00:00"/>
    <x v="1"/>
    <s v="Website"/>
    <n v="5"/>
    <s v="California"/>
    <s v="Los Angeles County"/>
    <n v="1"/>
    <n v="7"/>
    <x v="1"/>
  </r>
  <r>
    <x v="1062"/>
    <x v="13"/>
    <n v="12"/>
    <n v="16.600000000000001"/>
    <n v="199.20000000000002"/>
    <d v="2025-02-11T00:00:00"/>
    <d v="2025-02-13T00:00:00"/>
    <x v="1"/>
    <s v="Website"/>
    <n v="4"/>
    <s v="California"/>
    <s v="Los Angeles County"/>
    <n v="2"/>
    <n v="7"/>
    <x v="1"/>
  </r>
  <r>
    <x v="1063"/>
    <x v="8"/>
    <n v="17"/>
    <n v="21.9"/>
    <n v="372.29999999999995"/>
    <d v="2025-02-11T00:00:00"/>
    <d v="2025-02-13T00:00:00"/>
    <x v="2"/>
    <s v="Partner App"/>
    <n v="3"/>
    <s v="California"/>
    <s v="Los Angeles County"/>
    <n v="2"/>
    <n v="7"/>
    <x v="2"/>
  </r>
  <r>
    <x v="1064"/>
    <x v="8"/>
    <n v="28"/>
    <n v="33.799999999999997"/>
    <n v="946.39999999999986"/>
    <d v="2025-02-11T00:00:00"/>
    <d v="2025-02-13T00:00:00"/>
    <x v="1"/>
    <s v="Target.com"/>
    <n v="2"/>
    <s v="California"/>
    <s v="Los Angeles County"/>
    <n v="2"/>
    <n v="7"/>
    <x v="1"/>
  </r>
  <r>
    <x v="1065"/>
    <x v="18"/>
    <n v="2"/>
    <n v="53.2"/>
    <n v="106.4"/>
    <d v="2025-02-11T00:00:00"/>
    <d v="2025-02-11T00:00:00"/>
    <x v="1"/>
    <s v="Website"/>
    <n v="4"/>
    <s v="California"/>
    <s v="Los Angeles County"/>
    <n v="0"/>
    <n v="7"/>
    <x v="1"/>
  </r>
  <r>
    <x v="1066"/>
    <x v="2"/>
    <n v="2"/>
    <n v="176.7"/>
    <n v="353.4"/>
    <d v="2025-02-11T00:00:00"/>
    <d v="2025-02-14T00:00:00"/>
    <x v="2"/>
    <s v="Target.com"/>
    <n v="4"/>
    <s v="California"/>
    <s v="Los Angeles County"/>
    <n v="3"/>
    <n v="7"/>
    <x v="2"/>
  </r>
  <r>
    <x v="1067"/>
    <x v="12"/>
    <n v="3"/>
    <n v="54"/>
    <n v="162"/>
    <d v="2025-02-11T00:00:00"/>
    <d v="2025-02-14T00:00:00"/>
    <x v="1"/>
    <s v="App"/>
    <n v="3"/>
    <s v="California"/>
    <s v="Los Angeles County"/>
    <n v="3"/>
    <n v="7"/>
    <x v="1"/>
  </r>
  <r>
    <x v="1068"/>
    <x v="9"/>
    <n v="2"/>
    <n v="70.099999999999994"/>
    <n v="140.19999999999999"/>
    <d v="2025-02-11T00:00:00"/>
    <d v="2025-02-19T00:00:00"/>
    <x v="2"/>
    <s v="Instagram"/>
    <n v="5"/>
    <s v="California"/>
    <s v="Los Angeles County"/>
    <n v="8"/>
    <n v="7"/>
    <x v="2"/>
  </r>
  <r>
    <x v="1069"/>
    <x v="8"/>
    <n v="1"/>
    <n v="26.5"/>
    <n v="26.5"/>
    <d v="2025-02-11T00:00:00"/>
    <d v="2025-02-13T00:00:00"/>
    <x v="2"/>
    <s v="Website"/>
    <n v="4"/>
    <s v="California"/>
    <s v="Los Angeles County"/>
    <n v="2"/>
    <n v="7"/>
    <x v="2"/>
  </r>
  <r>
    <x v="1070"/>
    <x v="7"/>
    <n v="5"/>
    <n v="89"/>
    <n v="445"/>
    <d v="2025-02-11T00:00:00"/>
    <d v="2025-02-13T00:00:00"/>
    <x v="1"/>
    <s v="Target.com"/>
    <n v="2"/>
    <s v="California"/>
    <s v="Los Angeles County"/>
    <n v="2"/>
    <n v="7"/>
    <x v="1"/>
  </r>
  <r>
    <x v="1071"/>
    <x v="1"/>
    <n v="6"/>
    <n v="47"/>
    <n v="282"/>
    <d v="2025-02-11T00:00:00"/>
    <d v="2025-02-14T00:00:00"/>
    <x v="2"/>
    <s v="Instagram"/>
    <n v="4"/>
    <s v="California"/>
    <s v="Merced County"/>
    <n v="3"/>
    <n v="7"/>
    <x v="2"/>
  </r>
  <r>
    <x v="1072"/>
    <x v="3"/>
    <n v="2"/>
    <n v="55.2"/>
    <n v="110.4"/>
    <d v="2025-02-11T00:00:00"/>
    <d v="2025-02-14T00:00:00"/>
    <x v="1"/>
    <s v="Website"/>
    <n v="3"/>
    <s v="California"/>
    <s v="Sacramento County"/>
    <n v="3"/>
    <n v="7"/>
    <x v="1"/>
  </r>
  <r>
    <x v="1073"/>
    <x v="8"/>
    <n v="42"/>
    <n v="33.299999999999997"/>
    <n v="1398.6"/>
    <d v="2025-02-11T00:00:00"/>
    <d v="2025-02-25T00:00:00"/>
    <x v="1"/>
    <s v="Website"/>
    <n v="5"/>
    <s v="California"/>
    <s v="Sacramento County"/>
    <n v="14"/>
    <n v="7"/>
    <x v="1"/>
  </r>
  <r>
    <x v="1074"/>
    <x v="2"/>
    <n v="4"/>
    <n v="110.9"/>
    <n v="443.6"/>
    <d v="2025-02-12T00:00:00"/>
    <d v="2025-02-12T00:00:00"/>
    <x v="1"/>
    <s v="Target.com"/>
    <n v="2"/>
    <s v="California"/>
    <s v="Sacramento County"/>
    <n v="0"/>
    <n v="7"/>
    <x v="1"/>
  </r>
  <r>
    <x v="1075"/>
    <x v="2"/>
    <n v="6"/>
    <n v="67.3"/>
    <n v="403.79999999999995"/>
    <d v="2025-02-12T00:00:00"/>
    <d v="2025-02-13T00:00:00"/>
    <x v="1"/>
    <s v="App"/>
    <n v="4"/>
    <s v="California"/>
    <s v="San Diego County"/>
    <n v="1"/>
    <n v="7"/>
    <x v="1"/>
  </r>
  <r>
    <x v="1076"/>
    <x v="6"/>
    <n v="3"/>
    <n v="69.7"/>
    <n v="209.10000000000002"/>
    <d v="2025-02-12T00:00:00"/>
    <d v="2025-02-13T00:00:00"/>
    <x v="1"/>
    <s v="Target.com"/>
    <n v="3"/>
    <s v="California"/>
    <s v="San Diego County"/>
    <n v="1"/>
    <n v="7"/>
    <x v="1"/>
  </r>
  <r>
    <x v="1077"/>
    <x v="5"/>
    <n v="1"/>
    <n v="39.1"/>
    <n v="39.1"/>
    <d v="2025-02-12T00:00:00"/>
    <d v="2025-02-17T00:00:00"/>
    <x v="1"/>
    <s v="App"/>
    <n v="3"/>
    <s v="California"/>
    <s v="San Francisco"/>
    <n v="5"/>
    <n v="7"/>
    <x v="1"/>
  </r>
  <r>
    <x v="1078"/>
    <x v="2"/>
    <n v="3"/>
    <n v="208.6"/>
    <n v="625.79999999999995"/>
    <d v="2025-02-12T00:00:00"/>
    <d v="2025-02-12T00:00:00"/>
    <x v="1"/>
    <s v="Partner App"/>
    <n v="5"/>
    <s v="California"/>
    <s v="San Francisco"/>
    <n v="0"/>
    <n v="7"/>
    <x v="1"/>
  </r>
  <r>
    <x v="1079"/>
    <x v="15"/>
    <n v="3"/>
    <n v="27.8"/>
    <n v="83.4"/>
    <d v="2025-02-12T00:00:00"/>
    <d v="2025-02-13T00:00:00"/>
    <x v="1"/>
    <s v="Instagram"/>
    <n v="3"/>
    <s v="California"/>
    <s v="Santa Clara County"/>
    <n v="1"/>
    <n v="7"/>
    <x v="1"/>
  </r>
  <r>
    <x v="1080"/>
    <x v="10"/>
    <n v="5"/>
    <n v="29.4"/>
    <n v="147"/>
    <d v="2025-02-12T00:00:00"/>
    <d v="2025-02-14T00:00:00"/>
    <x v="2"/>
    <s v="App"/>
    <n v="4"/>
    <s v="California"/>
    <s v="Santa Clara County"/>
    <n v="2"/>
    <n v="7"/>
    <x v="2"/>
  </r>
  <r>
    <x v="1081"/>
    <x v="9"/>
    <n v="2"/>
    <n v="29.2"/>
    <n v="58.4"/>
    <d v="2025-02-12T00:00:00"/>
    <d v="2025-02-14T00:00:00"/>
    <x v="2"/>
    <s v="Website"/>
    <n v="5"/>
    <s v="California"/>
    <s v="Tulare County"/>
    <n v="2"/>
    <n v="7"/>
    <x v="2"/>
  </r>
  <r>
    <x v="1082"/>
    <x v="10"/>
    <n v="5"/>
    <n v="26.5"/>
    <n v="132.5"/>
    <d v="2025-02-12T00:00:00"/>
    <d v="2025-02-14T00:00:00"/>
    <x v="2"/>
    <s v="App"/>
    <n v="4"/>
    <s v="California"/>
    <s v="Tuolumne County"/>
    <n v="2"/>
    <n v="7"/>
    <x v="2"/>
  </r>
  <r>
    <x v="1083"/>
    <x v="5"/>
    <n v="1"/>
    <n v="30.3"/>
    <n v="30.3"/>
    <d v="2025-02-12T00:00:00"/>
    <d v="2025-02-13T00:00:00"/>
    <x v="2"/>
    <s v="Partner App"/>
    <n v="3"/>
    <s v="California"/>
    <s v="Ventura County"/>
    <n v="1"/>
    <n v="7"/>
    <x v="2"/>
  </r>
  <r>
    <x v="1084"/>
    <x v="16"/>
    <n v="12"/>
    <n v="39.700000000000003"/>
    <n v="476.40000000000003"/>
    <d v="2025-02-12T00:00:00"/>
    <d v="2025-02-13T00:00:00"/>
    <x v="2"/>
    <s v="App"/>
    <n v="4"/>
    <s v="California"/>
    <s v="Alameda County"/>
    <n v="1"/>
    <n v="7"/>
    <x v="2"/>
  </r>
  <r>
    <x v="1085"/>
    <x v="7"/>
    <n v="10"/>
    <n v="58.9"/>
    <n v="589"/>
    <d v="2025-02-12T00:00:00"/>
    <d v="2025-02-14T00:00:00"/>
    <x v="2"/>
    <s v="Website"/>
    <n v="2"/>
    <s v="California"/>
    <s v="Alameda County"/>
    <n v="2"/>
    <n v="7"/>
    <x v="2"/>
  </r>
  <r>
    <x v="1086"/>
    <x v="2"/>
    <n v="2"/>
    <n v="174.1"/>
    <n v="348.2"/>
    <d v="2025-02-12T00:00:00"/>
    <d v="2025-02-14T00:00:00"/>
    <x v="2"/>
    <s v="App"/>
    <n v="3"/>
    <s v="California"/>
    <s v="Amador County"/>
    <n v="2"/>
    <n v="7"/>
    <x v="2"/>
  </r>
  <r>
    <x v="1087"/>
    <x v="6"/>
    <n v="2"/>
    <n v="70.8"/>
    <n v="141.6"/>
    <d v="2025-02-12T00:00:00"/>
    <d v="2025-02-15T00:00:00"/>
    <x v="1"/>
    <s v="Target.com"/>
    <n v="4"/>
    <s v="California"/>
    <s v="Kern County"/>
    <n v="3"/>
    <n v="7"/>
    <x v="1"/>
  </r>
  <r>
    <x v="1088"/>
    <x v="7"/>
    <n v="2"/>
    <n v="57.4"/>
    <n v="114.8"/>
    <d v="2025-02-12T00:00:00"/>
    <d v="2025-02-14T00:00:00"/>
    <x v="2"/>
    <s v="Website"/>
    <n v="3"/>
    <s v="California"/>
    <s v="Kings County"/>
    <n v="2"/>
    <n v="7"/>
    <x v="2"/>
  </r>
  <r>
    <x v="1089"/>
    <x v="0"/>
    <n v="2"/>
    <n v="28.5"/>
    <n v="57"/>
    <d v="2025-02-12T00:00:00"/>
    <d v="2025-02-14T00:00:00"/>
    <x v="1"/>
    <s v="Instagram"/>
    <n v="3"/>
    <s v="California"/>
    <s v="Los Angeles County"/>
    <n v="2"/>
    <n v="7"/>
    <x v="1"/>
  </r>
  <r>
    <x v="1090"/>
    <x v="2"/>
    <n v="20"/>
    <n v="106.6"/>
    <n v="2132"/>
    <d v="2025-02-12T00:00:00"/>
    <d v="2025-02-13T00:00:00"/>
    <x v="0"/>
    <s v="Website"/>
    <n v="2"/>
    <s v="California"/>
    <s v="Los Angeles County"/>
    <n v="1"/>
    <n v="7"/>
    <x v="0"/>
  </r>
  <r>
    <x v="1091"/>
    <x v="2"/>
    <n v="3"/>
    <n v="119.7"/>
    <n v="359.1"/>
    <d v="2025-02-12T00:00:00"/>
    <d v="2025-02-13T00:00:00"/>
    <x v="2"/>
    <s v="Website"/>
    <n v="2"/>
    <s v="California"/>
    <s v="Los Angeles County"/>
    <n v="1"/>
    <n v="7"/>
    <x v="2"/>
  </r>
  <r>
    <x v="1092"/>
    <x v="18"/>
    <n v="1"/>
    <n v="73.3"/>
    <n v="73.3"/>
    <d v="2025-02-12T00:00:00"/>
    <d v="2025-02-17T00:00:00"/>
    <x v="2"/>
    <s v="App"/>
    <n v="5"/>
    <s v="California"/>
    <s v="Los Angeles County"/>
    <n v="5"/>
    <n v="7"/>
    <x v="2"/>
  </r>
  <r>
    <x v="1093"/>
    <x v="0"/>
    <n v="2"/>
    <n v="25.8"/>
    <n v="51.6"/>
    <d v="2025-02-12T00:00:00"/>
    <d v="2025-02-26T00:00:00"/>
    <x v="1"/>
    <s v="Target.com"/>
    <n v="4"/>
    <s v="California"/>
    <s v="Los Angeles County"/>
    <n v="14"/>
    <n v="7"/>
    <x v="1"/>
  </r>
  <r>
    <x v="1094"/>
    <x v="17"/>
    <n v="3"/>
    <n v="49.1"/>
    <n v="147.30000000000001"/>
    <d v="2025-02-12T00:00:00"/>
    <d v="2025-02-14T00:00:00"/>
    <x v="2"/>
    <s v="App"/>
    <n v="4"/>
    <s v="California"/>
    <s v="Merced County"/>
    <n v="2"/>
    <n v="7"/>
    <x v="2"/>
  </r>
  <r>
    <x v="1095"/>
    <x v="1"/>
    <n v="1"/>
    <n v="44.9"/>
    <n v="44.9"/>
    <d v="2025-02-12T00:00:00"/>
    <d v="2025-02-15T00:00:00"/>
    <x v="2"/>
    <s v="Instagram"/>
    <n v="5"/>
    <s v="California"/>
    <s v="Sacramento County"/>
    <n v="3"/>
    <n v="7"/>
    <x v="2"/>
  </r>
  <r>
    <x v="1096"/>
    <x v="15"/>
    <n v="7"/>
    <n v="29.9"/>
    <n v="209.29999999999998"/>
    <d v="2025-02-12T00:00:00"/>
    <d v="2025-02-13T00:00:00"/>
    <x v="2"/>
    <s v="App"/>
    <n v="4"/>
    <s v="California"/>
    <s v="Sacramento County"/>
    <n v="1"/>
    <n v="7"/>
    <x v="2"/>
  </r>
  <r>
    <x v="1097"/>
    <x v="7"/>
    <n v="2"/>
    <n v="54.3"/>
    <n v="108.6"/>
    <d v="2025-02-13T00:00:00"/>
    <d v="2025-02-14T00:00:00"/>
    <x v="1"/>
    <s v="Instagram"/>
    <n v="4"/>
    <s v="California"/>
    <s v="San Benito County"/>
    <n v="1"/>
    <n v="7"/>
    <x v="1"/>
  </r>
  <r>
    <x v="1098"/>
    <x v="9"/>
    <n v="4"/>
    <n v="57"/>
    <n v="228"/>
    <d v="2025-02-13T00:00:00"/>
    <d v="2025-02-15T00:00:00"/>
    <x v="2"/>
    <s v="App"/>
    <n v="4"/>
    <s v="California"/>
    <s v="San Diego County"/>
    <n v="2"/>
    <n v="7"/>
    <x v="2"/>
  </r>
  <r>
    <x v="1099"/>
    <x v="2"/>
    <n v="1"/>
    <n v="139.19999999999999"/>
    <n v="139.19999999999999"/>
    <d v="2025-02-13T00:00:00"/>
    <d v="2025-02-14T00:00:00"/>
    <x v="2"/>
    <s v="Instagram"/>
    <n v="5"/>
    <s v="California"/>
    <s v="San Diego County"/>
    <n v="1"/>
    <n v="7"/>
    <x v="2"/>
  </r>
  <r>
    <x v="1100"/>
    <x v="10"/>
    <n v="1"/>
    <n v="33"/>
    <n v="33"/>
    <d v="2025-02-13T00:00:00"/>
    <d v="2025-02-16T00:00:00"/>
    <x v="2"/>
    <s v="App"/>
    <n v="5"/>
    <s v="California"/>
    <s v="San Diego County"/>
    <n v="3"/>
    <n v="7"/>
    <x v="2"/>
  </r>
  <r>
    <x v="1101"/>
    <x v="11"/>
    <n v="6"/>
    <n v="80.2"/>
    <n v="481.20000000000005"/>
    <d v="2025-02-13T00:00:00"/>
    <d v="2025-02-15T00:00:00"/>
    <x v="1"/>
    <s v="Website"/>
    <n v="2"/>
    <s v="California"/>
    <s v="San Diego County"/>
    <n v="2"/>
    <n v="7"/>
    <x v="1"/>
  </r>
  <r>
    <x v="1102"/>
    <x v="18"/>
    <n v="8"/>
    <n v="49"/>
    <n v="392"/>
    <d v="2025-02-13T00:00:00"/>
    <d v="2025-02-14T00:00:00"/>
    <x v="0"/>
    <s v="Target.com"/>
    <n v="3"/>
    <s v="California"/>
    <s v="San Mateo County"/>
    <n v="1"/>
    <n v="7"/>
    <x v="0"/>
  </r>
  <r>
    <x v="1103"/>
    <x v="1"/>
    <n v="4"/>
    <n v="104.4"/>
    <n v="417.6"/>
    <d v="2025-02-13T00:00:00"/>
    <d v="2025-02-13T00:00:00"/>
    <x v="2"/>
    <s v="App"/>
    <n v="4"/>
    <s v="California"/>
    <s v="San Mateo County"/>
    <n v="0"/>
    <n v="7"/>
    <x v="2"/>
  </r>
  <r>
    <x v="1104"/>
    <x v="3"/>
    <n v="1"/>
    <n v="41.6"/>
    <n v="41.6"/>
    <d v="2025-02-13T00:00:00"/>
    <d v="2025-02-16T00:00:00"/>
    <x v="1"/>
    <s v="Instagram"/>
    <n v="4"/>
    <s v="California"/>
    <s v="Santa Clara County"/>
    <n v="3"/>
    <n v="7"/>
    <x v="1"/>
  </r>
  <r>
    <x v="1105"/>
    <x v="19"/>
    <n v="2"/>
    <n v="16.399999999999999"/>
    <n v="32.799999999999997"/>
    <d v="2025-02-13T00:00:00"/>
    <d v="2025-02-14T00:00:00"/>
    <x v="3"/>
    <s v="App"/>
    <n v="5"/>
    <s v="California"/>
    <s v="Santa Clara County"/>
    <n v="1"/>
    <n v="7"/>
    <x v="3"/>
  </r>
  <r>
    <x v="1106"/>
    <x v="8"/>
    <n v="2"/>
    <n v="22"/>
    <n v="44"/>
    <d v="2025-02-13T00:00:00"/>
    <d v="2025-02-14T00:00:00"/>
    <x v="1"/>
    <s v="Target.com"/>
    <n v="5"/>
    <s v="California"/>
    <s v="Shasta County"/>
    <n v="1"/>
    <n v="7"/>
    <x v="1"/>
  </r>
  <r>
    <x v="1107"/>
    <x v="15"/>
    <n v="2"/>
    <n v="33.6"/>
    <n v="67.2"/>
    <d v="2025-02-13T00:00:00"/>
    <d v="2025-02-18T00:00:00"/>
    <x v="2"/>
    <s v="App"/>
    <n v="4"/>
    <s v="California"/>
    <s v="Alameda County"/>
    <n v="5"/>
    <n v="7"/>
    <x v="2"/>
  </r>
  <r>
    <x v="1108"/>
    <x v="11"/>
    <n v="6"/>
    <n v="43"/>
    <n v="258"/>
    <d v="2025-02-13T00:00:00"/>
    <d v="2025-02-14T00:00:00"/>
    <x v="2"/>
    <s v="Target.com"/>
    <n v="4"/>
    <s v="California"/>
    <s v="Alameda County"/>
    <n v="1"/>
    <n v="7"/>
    <x v="2"/>
  </r>
  <r>
    <x v="1109"/>
    <x v="6"/>
    <n v="5"/>
    <n v="108.8"/>
    <n v="544"/>
    <d v="2025-02-13T00:00:00"/>
    <d v="2025-02-16T00:00:00"/>
    <x v="2"/>
    <s v="Partner App"/>
    <n v="5"/>
    <s v="California"/>
    <s v="Alameda County"/>
    <n v="3"/>
    <n v="7"/>
    <x v="2"/>
  </r>
  <r>
    <x v="1110"/>
    <x v="0"/>
    <n v="9"/>
    <n v="29.3"/>
    <n v="263.7"/>
    <d v="2025-02-13T00:00:00"/>
    <d v="2025-02-15T00:00:00"/>
    <x v="1"/>
    <s v="Partner App"/>
    <n v="5"/>
    <s v="California"/>
    <s v="Alameda County"/>
    <n v="2"/>
    <n v="7"/>
    <x v="1"/>
  </r>
  <r>
    <x v="1111"/>
    <x v="2"/>
    <n v="1"/>
    <n v="122.7"/>
    <n v="122.7"/>
    <d v="2025-02-13T00:00:00"/>
    <d v="2025-02-16T00:00:00"/>
    <x v="3"/>
    <s v="App"/>
    <n v="5"/>
    <s v="California"/>
    <s v="Contra Costa County"/>
    <n v="3"/>
    <n v="7"/>
    <x v="3"/>
  </r>
  <r>
    <x v="1112"/>
    <x v="4"/>
    <n v="7"/>
    <n v="22.9"/>
    <n v="160.29999999999998"/>
    <d v="2025-02-13T00:00:00"/>
    <d v="2025-02-14T00:00:00"/>
    <x v="2"/>
    <s v="App"/>
    <n v="4"/>
    <s v="California"/>
    <s v="El Dorado County"/>
    <n v="1"/>
    <n v="7"/>
    <x v="2"/>
  </r>
  <r>
    <x v="1113"/>
    <x v="8"/>
    <n v="10"/>
    <n v="25.5"/>
    <n v="255"/>
    <d v="2025-02-13T00:00:00"/>
    <d v="2025-02-20T00:00:00"/>
    <x v="2"/>
    <s v="App"/>
    <n v="4"/>
    <s v="California"/>
    <s v="Imperial County"/>
    <n v="7"/>
    <n v="7"/>
    <x v="2"/>
  </r>
  <r>
    <x v="1114"/>
    <x v="17"/>
    <n v="3"/>
    <n v="23.4"/>
    <n v="70.199999999999989"/>
    <d v="2025-02-13T00:00:00"/>
    <d v="2025-02-17T00:00:00"/>
    <x v="2"/>
    <s v="App"/>
    <n v="5"/>
    <s v="California"/>
    <s v="Los Angeles County"/>
    <n v="4"/>
    <n v="7"/>
    <x v="2"/>
  </r>
  <r>
    <x v="1115"/>
    <x v="5"/>
    <n v="8"/>
    <n v="27.4"/>
    <n v="219.2"/>
    <d v="2025-02-13T00:00:00"/>
    <d v="2025-02-16T00:00:00"/>
    <x v="2"/>
    <s v="Target.com"/>
    <n v="4"/>
    <s v="California"/>
    <s v="Los Angeles County"/>
    <n v="3"/>
    <n v="7"/>
    <x v="2"/>
  </r>
  <r>
    <x v="1116"/>
    <x v="5"/>
    <n v="5"/>
    <n v="68.400000000000006"/>
    <n v="342"/>
    <d v="2025-02-13T00:00:00"/>
    <d v="2025-02-14T00:00:00"/>
    <x v="2"/>
    <s v="App"/>
    <n v="4"/>
    <s v="California"/>
    <s v="Los Angeles County"/>
    <n v="1"/>
    <n v="7"/>
    <x v="2"/>
  </r>
  <r>
    <x v="1117"/>
    <x v="6"/>
    <n v="1"/>
    <n v="51.9"/>
    <n v="51.9"/>
    <d v="2025-02-13T00:00:00"/>
    <d v="2025-02-13T00:00:00"/>
    <x v="2"/>
    <s v="App"/>
    <n v="4"/>
    <s v="California"/>
    <s v="Los Angeles County"/>
    <n v="0"/>
    <n v="7"/>
    <x v="2"/>
  </r>
  <r>
    <x v="1118"/>
    <x v="0"/>
    <n v="5"/>
    <n v="26.4"/>
    <n v="132"/>
    <d v="2025-02-13T00:00:00"/>
    <d v="2025-02-16T00:00:00"/>
    <x v="2"/>
    <s v="App"/>
    <n v="5"/>
    <s v="California"/>
    <s v="Los Angeles County"/>
    <n v="3"/>
    <n v="7"/>
    <x v="2"/>
  </r>
  <r>
    <x v="1119"/>
    <x v="12"/>
    <n v="2"/>
    <n v="117"/>
    <n v="234"/>
    <d v="2025-02-13T00:00:00"/>
    <d v="2025-02-14T00:00:00"/>
    <x v="2"/>
    <s v="Website"/>
    <n v="3"/>
    <s v="California"/>
    <s v="Los Angeles County"/>
    <n v="1"/>
    <n v="7"/>
    <x v="2"/>
  </r>
  <r>
    <x v="1120"/>
    <x v="7"/>
    <n v="3"/>
    <n v="49.6"/>
    <n v="148.80000000000001"/>
    <d v="2025-02-14T00:00:00"/>
    <d v="2025-02-16T00:00:00"/>
    <x v="2"/>
    <s v="App"/>
    <n v="4"/>
    <s v="California"/>
    <s v="Los Angeles County"/>
    <n v="2"/>
    <n v="7"/>
    <x v="2"/>
  </r>
  <r>
    <x v="1121"/>
    <x v="4"/>
    <n v="3"/>
    <n v="38"/>
    <n v="114"/>
    <d v="2025-02-14T00:00:00"/>
    <d v="2025-02-17T00:00:00"/>
    <x v="1"/>
    <s v="Target.com"/>
    <n v="2"/>
    <s v="California"/>
    <s v="Los Angeles County"/>
    <n v="3"/>
    <n v="7"/>
    <x v="1"/>
  </r>
  <r>
    <x v="1122"/>
    <x v="0"/>
    <n v="3"/>
    <n v="20.6"/>
    <n v="61.800000000000004"/>
    <d v="2025-02-14T00:00:00"/>
    <d v="2025-02-16T00:00:00"/>
    <x v="2"/>
    <s v="Partner App"/>
    <n v="5"/>
    <s v="California"/>
    <s v="Los Angeles County"/>
    <n v="2"/>
    <n v="7"/>
    <x v="2"/>
  </r>
  <r>
    <x v="1123"/>
    <x v="0"/>
    <n v="2"/>
    <n v="16"/>
    <n v="32"/>
    <d v="2025-02-14T00:00:00"/>
    <d v="2025-02-15T00:00:00"/>
    <x v="1"/>
    <s v="Website"/>
    <n v="3"/>
    <s v="California"/>
    <s v="Monterey County"/>
    <n v="1"/>
    <n v="7"/>
    <x v="1"/>
  </r>
  <r>
    <x v="1124"/>
    <x v="15"/>
    <n v="4"/>
    <n v="49.3"/>
    <n v="197.2"/>
    <d v="2025-02-14T00:00:00"/>
    <d v="2025-02-15T00:00:00"/>
    <x v="2"/>
    <s v="Target.com"/>
    <n v="4"/>
    <s v="California"/>
    <s v="Riverside County"/>
    <n v="1"/>
    <n v="7"/>
    <x v="2"/>
  </r>
  <r>
    <x v="1125"/>
    <x v="9"/>
    <n v="2"/>
    <n v="24.1"/>
    <n v="48.2"/>
    <d v="2025-02-14T00:00:00"/>
    <d v="2025-02-18T00:00:00"/>
    <x v="2"/>
    <s v="App"/>
    <n v="4"/>
    <s v="California"/>
    <s v="Sacramento County"/>
    <n v="4"/>
    <n v="7"/>
    <x v="2"/>
  </r>
  <r>
    <x v="1126"/>
    <x v="15"/>
    <n v="8"/>
    <n v="32.700000000000003"/>
    <n v="261.60000000000002"/>
    <d v="2025-02-14T00:00:00"/>
    <d v="2025-02-15T00:00:00"/>
    <x v="2"/>
    <s v="Website"/>
    <n v="4"/>
    <s v="California"/>
    <s v="Sacramento County"/>
    <n v="1"/>
    <n v="7"/>
    <x v="2"/>
  </r>
  <r>
    <x v="1127"/>
    <x v="6"/>
    <n v="3"/>
    <n v="74.400000000000006"/>
    <n v="223.20000000000002"/>
    <d v="2025-02-14T00:00:00"/>
    <d v="2025-02-15T00:00:00"/>
    <x v="2"/>
    <s v="Instagram"/>
    <n v="5"/>
    <s v="California"/>
    <s v="San Diego County"/>
    <n v="1"/>
    <n v="7"/>
    <x v="2"/>
  </r>
  <r>
    <x v="1128"/>
    <x v="12"/>
    <n v="1"/>
    <n v="45.6"/>
    <n v="45.6"/>
    <d v="2025-02-14T00:00:00"/>
    <d v="2025-02-18T00:00:00"/>
    <x v="2"/>
    <s v="Partner App"/>
    <n v="4"/>
    <s v="California"/>
    <s v="San Diego County"/>
    <n v="4"/>
    <n v="7"/>
    <x v="2"/>
  </r>
  <r>
    <x v="1129"/>
    <x v="8"/>
    <n v="8"/>
    <n v="19.600000000000001"/>
    <n v="156.80000000000001"/>
    <d v="2025-02-14T00:00:00"/>
    <d v="2025-02-27T00:00:00"/>
    <x v="2"/>
    <s v="App"/>
    <n v="4"/>
    <s v="California"/>
    <s v="San Diego County"/>
    <n v="13"/>
    <n v="7"/>
    <x v="2"/>
  </r>
  <r>
    <x v="1130"/>
    <x v="9"/>
    <n v="1"/>
    <n v="51.8"/>
    <n v="51.8"/>
    <d v="2025-02-14T00:00:00"/>
    <d v="2025-02-15T00:00:00"/>
    <x v="2"/>
    <s v="Website"/>
    <n v="4"/>
    <s v="California"/>
    <s v="San Diego County"/>
    <n v="1"/>
    <n v="7"/>
    <x v="2"/>
  </r>
  <r>
    <x v="1131"/>
    <x v="6"/>
    <n v="1"/>
    <n v="74.7"/>
    <n v="74.7"/>
    <d v="2025-02-14T00:00:00"/>
    <d v="2025-02-15T00:00:00"/>
    <x v="1"/>
    <s v="App"/>
    <n v="3"/>
    <s v="California"/>
    <s v="San Diego County"/>
    <n v="1"/>
    <n v="7"/>
    <x v="1"/>
  </r>
  <r>
    <x v="1132"/>
    <x v="19"/>
    <n v="3"/>
    <n v="22.4"/>
    <n v="67.199999999999989"/>
    <d v="2025-02-14T00:00:00"/>
    <d v="2025-02-15T00:00:00"/>
    <x v="2"/>
    <s v="Website"/>
    <n v="5"/>
    <s v="California"/>
    <s v="San Mateo County"/>
    <n v="1"/>
    <n v="7"/>
    <x v="2"/>
  </r>
  <r>
    <x v="1133"/>
    <x v="1"/>
    <n v="4"/>
    <n v="31.4"/>
    <n v="125.6"/>
    <d v="2025-02-14T00:00:00"/>
    <d v="2025-02-15T00:00:00"/>
    <x v="2"/>
    <s v="Website"/>
    <n v="4"/>
    <s v="California"/>
    <s v="San Mateo County"/>
    <n v="1"/>
    <n v="7"/>
    <x v="2"/>
  </r>
  <r>
    <x v="1134"/>
    <x v="6"/>
    <n v="1"/>
    <n v="94"/>
    <n v="94"/>
    <d v="2025-02-14T00:00:00"/>
    <d v="2025-02-14T00:00:00"/>
    <x v="2"/>
    <s v="Website"/>
    <n v="5"/>
    <s v="California"/>
    <s v="Santa Barbara County"/>
    <n v="0"/>
    <n v="7"/>
    <x v="2"/>
  </r>
  <r>
    <x v="1135"/>
    <x v="10"/>
    <n v="1"/>
    <n v="22.3"/>
    <n v="22.3"/>
    <d v="2025-02-14T00:00:00"/>
    <d v="2025-02-15T00:00:00"/>
    <x v="1"/>
    <s v="Partner App"/>
    <n v="4"/>
    <s v="California"/>
    <s v="Tulare County"/>
    <n v="1"/>
    <n v="7"/>
    <x v="1"/>
  </r>
  <r>
    <x v="1136"/>
    <x v="0"/>
    <n v="1"/>
    <n v="21.9"/>
    <n v="21.9"/>
    <d v="2025-02-14T00:00:00"/>
    <d v="2025-02-17T00:00:00"/>
    <x v="2"/>
    <s v="Target.com"/>
    <n v="4"/>
    <s v="California"/>
    <s v="Alameda County"/>
    <n v="3"/>
    <n v="7"/>
    <x v="2"/>
  </r>
  <r>
    <x v="1137"/>
    <x v="17"/>
    <n v="3"/>
    <n v="27"/>
    <n v="81"/>
    <d v="2025-02-14T00:00:00"/>
    <d v="2025-02-16T00:00:00"/>
    <x v="2"/>
    <s v="Partner App"/>
    <n v="5"/>
    <s v="California"/>
    <s v="Fresno County"/>
    <n v="2"/>
    <n v="7"/>
    <x v="2"/>
  </r>
  <r>
    <x v="1138"/>
    <x v="2"/>
    <n v="4"/>
    <n v="149.6"/>
    <n v="598.4"/>
    <d v="2025-02-14T00:00:00"/>
    <d v="2025-02-14T00:00:00"/>
    <x v="2"/>
    <s v="Partner App"/>
    <n v="4"/>
    <s v="California"/>
    <s v="Kern County"/>
    <n v="0"/>
    <n v="7"/>
    <x v="2"/>
  </r>
  <r>
    <x v="1139"/>
    <x v="2"/>
    <n v="4"/>
    <n v="129.1"/>
    <n v="516.4"/>
    <d v="2025-02-14T00:00:00"/>
    <d v="2025-02-24T00:00:00"/>
    <x v="1"/>
    <s v="App"/>
    <n v="3"/>
    <s v="California"/>
    <s v="Los Angeles County"/>
    <n v="10"/>
    <n v="7"/>
    <x v="1"/>
  </r>
  <r>
    <x v="1140"/>
    <x v="1"/>
    <n v="12"/>
    <n v="40.4"/>
    <n v="484.79999999999995"/>
    <d v="2025-02-14T00:00:00"/>
    <d v="2025-02-15T00:00:00"/>
    <x v="1"/>
    <s v="Website"/>
    <n v="3"/>
    <s v="California"/>
    <s v="Los Angeles County"/>
    <n v="1"/>
    <n v="7"/>
    <x v="1"/>
  </r>
  <r>
    <x v="1141"/>
    <x v="4"/>
    <n v="3"/>
    <n v="48.5"/>
    <n v="145.5"/>
    <d v="2025-02-14T00:00:00"/>
    <d v="2025-02-16T00:00:00"/>
    <x v="2"/>
    <s v="App"/>
    <n v="2"/>
    <s v="California"/>
    <s v="Los Angeles County"/>
    <n v="2"/>
    <n v="7"/>
    <x v="2"/>
  </r>
  <r>
    <x v="1142"/>
    <x v="9"/>
    <n v="2"/>
    <n v="37.6"/>
    <n v="75.2"/>
    <d v="2025-02-14T00:00:00"/>
    <d v="2025-02-16T00:00:00"/>
    <x v="2"/>
    <s v="Website"/>
    <n v="5"/>
    <s v="California"/>
    <s v="Los Angeles County"/>
    <n v="2"/>
    <n v="7"/>
    <x v="2"/>
  </r>
  <r>
    <x v="1143"/>
    <x v="8"/>
    <n v="2"/>
    <n v="19.600000000000001"/>
    <n v="39.200000000000003"/>
    <d v="2025-02-14T00:00:00"/>
    <d v="2025-02-15T00:00:00"/>
    <x v="1"/>
    <s v="Instagram"/>
    <n v="2"/>
    <s v="California"/>
    <s v="Marin County"/>
    <n v="1"/>
    <n v="7"/>
    <x v="1"/>
  </r>
  <r>
    <x v="1144"/>
    <x v="8"/>
    <n v="5"/>
    <n v="18.5"/>
    <n v="92.5"/>
    <d v="2025-02-14T00:00:00"/>
    <d v="2025-02-15T00:00:00"/>
    <x v="2"/>
    <s v="Target.com"/>
    <n v="3"/>
    <s v="California"/>
    <s v="Sacramento County"/>
    <n v="1"/>
    <n v="7"/>
    <x v="2"/>
  </r>
  <r>
    <x v="1145"/>
    <x v="5"/>
    <n v="3"/>
    <n v="25.5"/>
    <n v="76.5"/>
    <d v="2025-02-14T00:00:00"/>
    <d v="2025-02-16T00:00:00"/>
    <x v="2"/>
    <s v="Partner App"/>
    <n v="3"/>
    <s v="California"/>
    <s v="Sacramento County"/>
    <n v="2"/>
    <n v="7"/>
    <x v="2"/>
  </r>
  <r>
    <x v="1146"/>
    <x v="2"/>
    <n v="2"/>
    <n v="94.7"/>
    <n v="189.4"/>
    <d v="2025-02-14T00:00:00"/>
    <d v="2025-02-15T00:00:00"/>
    <x v="2"/>
    <s v="Target.com"/>
    <n v="4"/>
    <s v="California"/>
    <s v="San Benito County"/>
    <n v="1"/>
    <n v="7"/>
    <x v="2"/>
  </r>
  <r>
    <x v="1147"/>
    <x v="1"/>
    <n v="6"/>
    <n v="38.799999999999997"/>
    <n v="232.79999999999998"/>
    <d v="2025-02-14T00:00:00"/>
    <d v="2025-02-19T00:00:00"/>
    <x v="2"/>
    <s v="Target.com"/>
    <n v="5"/>
    <s v="California"/>
    <s v="San Diego County"/>
    <n v="5"/>
    <n v="7"/>
    <x v="2"/>
  </r>
  <r>
    <x v="1148"/>
    <x v="9"/>
    <n v="2"/>
    <n v="49.4"/>
    <n v="98.8"/>
    <d v="2025-02-15T00:00:00"/>
    <d v="2025-02-23T00:00:00"/>
    <x v="1"/>
    <s v="Partner App"/>
    <n v="3"/>
    <s v="California"/>
    <s v="San Diego County"/>
    <n v="8"/>
    <n v="7"/>
    <x v="1"/>
  </r>
  <r>
    <x v="1149"/>
    <x v="7"/>
    <n v="3"/>
    <n v="68"/>
    <n v="204"/>
    <d v="2025-02-15T00:00:00"/>
    <d v="2025-02-18T00:00:00"/>
    <x v="1"/>
    <s v="App"/>
    <n v="5"/>
    <s v="California"/>
    <s v="San Diego County"/>
    <n v="3"/>
    <n v="7"/>
    <x v="1"/>
  </r>
  <r>
    <x v="1150"/>
    <x v="15"/>
    <n v="7"/>
    <n v="63.7"/>
    <n v="445.90000000000003"/>
    <d v="2025-02-15T00:00:00"/>
    <d v="2025-02-16T00:00:00"/>
    <x v="2"/>
    <s v="Target.com"/>
    <n v="5"/>
    <s v="California"/>
    <s v="San Diego County"/>
    <n v="1"/>
    <n v="7"/>
    <x v="2"/>
  </r>
  <r>
    <x v="1151"/>
    <x v="10"/>
    <n v="2"/>
    <n v="66.2"/>
    <n v="132.4"/>
    <d v="2025-02-15T00:00:00"/>
    <d v="2025-02-16T00:00:00"/>
    <x v="2"/>
    <s v="Partner App"/>
    <n v="5"/>
    <s v="California"/>
    <s v="San Francisco"/>
    <n v="1"/>
    <n v="7"/>
    <x v="2"/>
  </r>
  <r>
    <x v="1152"/>
    <x v="12"/>
    <n v="3"/>
    <n v="32.299999999999997"/>
    <n v="96.899999999999991"/>
    <d v="2025-02-15T00:00:00"/>
    <d v="2025-02-16T00:00:00"/>
    <x v="3"/>
    <s v="Target.com"/>
    <n v="3"/>
    <s v="California"/>
    <s v="San Mateo County"/>
    <n v="1"/>
    <n v="7"/>
    <x v="3"/>
  </r>
  <r>
    <x v="1153"/>
    <x v="4"/>
    <n v="2"/>
    <n v="66.900000000000006"/>
    <n v="133.80000000000001"/>
    <d v="2025-02-15T00:00:00"/>
    <d v="2025-02-18T00:00:00"/>
    <x v="1"/>
    <s v="Website"/>
    <n v="4"/>
    <s v="California"/>
    <s v="Santa Clara County"/>
    <n v="3"/>
    <n v="7"/>
    <x v="1"/>
  </r>
  <r>
    <x v="1154"/>
    <x v="4"/>
    <n v="12"/>
    <n v="25.2"/>
    <n v="302.39999999999998"/>
    <d v="2025-02-15T00:00:00"/>
    <d v="2025-02-19T00:00:00"/>
    <x v="2"/>
    <s v="App"/>
    <n v="3"/>
    <s v="California"/>
    <s v="Santa Clara County"/>
    <n v="4"/>
    <n v="7"/>
    <x v="2"/>
  </r>
  <r>
    <x v="1155"/>
    <x v="10"/>
    <n v="6"/>
    <n v="29.5"/>
    <n v="177"/>
    <d v="2025-02-15T00:00:00"/>
    <d v="2025-02-16T00:00:00"/>
    <x v="1"/>
    <s v="Target.com"/>
    <n v="4"/>
    <s v="California"/>
    <s v="Santa Clara County"/>
    <n v="1"/>
    <n v="7"/>
    <x v="1"/>
  </r>
  <r>
    <x v="1156"/>
    <x v="8"/>
    <n v="5"/>
    <n v="21.6"/>
    <n v="108"/>
    <d v="2025-02-15T00:00:00"/>
    <d v="2025-02-17T00:00:00"/>
    <x v="2"/>
    <s v="App"/>
    <n v="5"/>
    <s v="California"/>
    <s v="Santa Cruz County"/>
    <n v="2"/>
    <n v="7"/>
    <x v="2"/>
  </r>
  <r>
    <x v="1157"/>
    <x v="12"/>
    <n v="3"/>
    <n v="69"/>
    <n v="207"/>
    <d v="2025-02-15T00:00:00"/>
    <d v="2025-02-16T00:00:00"/>
    <x v="2"/>
    <s v="App"/>
    <n v="4"/>
    <s v="California"/>
    <s v="Sonoma County"/>
    <n v="1"/>
    <n v="7"/>
    <x v="2"/>
  </r>
  <r>
    <x v="1158"/>
    <x v="7"/>
    <n v="2"/>
    <n v="115"/>
    <n v="230"/>
    <d v="2025-02-15T00:00:00"/>
    <d v="2025-02-19T00:00:00"/>
    <x v="1"/>
    <s v="App"/>
    <n v="5"/>
    <s v="California"/>
    <s v="Sonoma County"/>
    <n v="4"/>
    <n v="7"/>
    <x v="1"/>
  </r>
  <r>
    <x v="1159"/>
    <x v="2"/>
    <n v="2"/>
    <n v="109.3"/>
    <n v="218.6"/>
    <d v="2025-02-15T00:00:00"/>
    <d v="2025-02-17T00:00:00"/>
    <x v="0"/>
    <s v="Instagram"/>
    <n v="3"/>
    <s v="California"/>
    <s v="Stanislaus County"/>
    <n v="2"/>
    <n v="7"/>
    <x v="0"/>
  </r>
  <r>
    <x v="1160"/>
    <x v="9"/>
    <n v="2"/>
    <n v="66.599999999999994"/>
    <n v="133.19999999999999"/>
    <d v="2025-02-15T00:00:00"/>
    <d v="2025-02-18T00:00:00"/>
    <x v="0"/>
    <s v="Partner App"/>
    <n v="3"/>
    <s v="California"/>
    <s v="Stanislaus County"/>
    <n v="3"/>
    <n v="7"/>
    <x v="0"/>
  </r>
  <r>
    <x v="1161"/>
    <x v="12"/>
    <n v="5"/>
    <n v="47.7"/>
    <n v="238.5"/>
    <d v="2025-02-15T00:00:00"/>
    <d v="2025-02-16T00:00:00"/>
    <x v="1"/>
    <s v="Instagram"/>
    <n v="5"/>
    <s v="California"/>
    <s v="Alameda County"/>
    <n v="1"/>
    <n v="7"/>
    <x v="1"/>
  </r>
  <r>
    <x v="1162"/>
    <x v="8"/>
    <n v="2"/>
    <n v="46"/>
    <n v="92"/>
    <d v="2025-02-15T00:00:00"/>
    <d v="2025-02-16T00:00:00"/>
    <x v="2"/>
    <s v="Partner App"/>
    <n v="2"/>
    <s v="California"/>
    <s v="Kern County"/>
    <n v="1"/>
    <n v="7"/>
    <x v="2"/>
  </r>
  <r>
    <x v="1163"/>
    <x v="1"/>
    <n v="6"/>
    <n v="39.299999999999997"/>
    <n v="235.79999999999998"/>
    <d v="2025-02-15T00:00:00"/>
    <d v="2025-02-17T00:00:00"/>
    <x v="1"/>
    <s v="Instagram"/>
    <n v="5"/>
    <s v="California"/>
    <s v="Los Angeles County"/>
    <n v="2"/>
    <n v="7"/>
    <x v="1"/>
  </r>
  <r>
    <x v="1164"/>
    <x v="9"/>
    <n v="1"/>
    <n v="70.2"/>
    <n v="70.2"/>
    <d v="2025-02-15T00:00:00"/>
    <d v="2025-02-16T00:00:00"/>
    <x v="2"/>
    <s v="App"/>
    <n v="2"/>
    <s v="California"/>
    <s v="Los Angeles County"/>
    <n v="1"/>
    <n v="7"/>
    <x v="2"/>
  </r>
  <r>
    <x v="1165"/>
    <x v="3"/>
    <n v="4"/>
    <n v="71.5"/>
    <n v="286"/>
    <d v="2025-02-15T00:00:00"/>
    <d v="2025-02-15T00:00:00"/>
    <x v="2"/>
    <s v="Website"/>
    <n v="5"/>
    <s v="California"/>
    <s v="Los Angeles County"/>
    <n v="0"/>
    <n v="7"/>
    <x v="2"/>
  </r>
  <r>
    <x v="1166"/>
    <x v="10"/>
    <n v="7"/>
    <n v="31"/>
    <n v="217"/>
    <d v="2025-02-15T00:00:00"/>
    <d v="2025-02-22T00:00:00"/>
    <x v="2"/>
    <s v="Instagram"/>
    <n v="5"/>
    <s v="California"/>
    <s v="Los Angeles County"/>
    <n v="7"/>
    <n v="7"/>
    <x v="2"/>
  </r>
  <r>
    <x v="1167"/>
    <x v="2"/>
    <n v="5"/>
    <n v="68.2"/>
    <n v="341"/>
    <d v="2025-02-15T00:00:00"/>
    <d v="2025-02-20T00:00:00"/>
    <x v="2"/>
    <s v="App"/>
    <n v="5"/>
    <s v="California"/>
    <s v="Los Angeles County"/>
    <n v="5"/>
    <n v="7"/>
    <x v="2"/>
  </r>
  <r>
    <x v="1168"/>
    <x v="2"/>
    <n v="1"/>
    <n v="91.4"/>
    <n v="91.4"/>
    <d v="2025-02-15T00:00:00"/>
    <d v="2025-02-19T00:00:00"/>
    <x v="2"/>
    <s v="Website"/>
    <n v="5"/>
    <s v="California"/>
    <s v="Sacramento County"/>
    <n v="4"/>
    <n v="7"/>
    <x v="2"/>
  </r>
  <r>
    <x v="1169"/>
    <x v="6"/>
    <n v="10"/>
    <n v="112.9"/>
    <n v="1129"/>
    <d v="2025-02-15T00:00:00"/>
    <d v="2025-02-16T00:00:00"/>
    <x v="2"/>
    <s v="App"/>
    <n v="4"/>
    <s v="California"/>
    <s v="Sacramento County"/>
    <n v="1"/>
    <n v="7"/>
    <x v="2"/>
  </r>
  <r>
    <x v="1170"/>
    <x v="17"/>
    <n v="9"/>
    <n v="33.700000000000003"/>
    <n v="303.3"/>
    <d v="2025-02-15T00:00:00"/>
    <d v="2025-02-16T00:00:00"/>
    <x v="2"/>
    <s v="Website"/>
    <n v="5"/>
    <s v="California"/>
    <s v="San Diego County"/>
    <n v="1"/>
    <n v="7"/>
    <x v="2"/>
  </r>
  <r>
    <x v="1171"/>
    <x v="15"/>
    <n v="10"/>
    <n v="35.299999999999997"/>
    <n v="353"/>
    <d v="2025-02-15T00:00:00"/>
    <d v="2025-02-17T00:00:00"/>
    <x v="1"/>
    <s v="Target.com"/>
    <n v="4"/>
    <s v="California"/>
    <s v="San Diego County"/>
    <n v="2"/>
    <n v="7"/>
    <x v="1"/>
  </r>
  <r>
    <x v="1172"/>
    <x v="18"/>
    <n v="3"/>
    <n v="45.6"/>
    <n v="136.80000000000001"/>
    <d v="2025-02-15T00:00:00"/>
    <d v="2025-02-19T00:00:00"/>
    <x v="1"/>
    <s v="Instagram"/>
    <n v="4"/>
    <s v="California"/>
    <s v="San Diego County"/>
    <n v="4"/>
    <n v="7"/>
    <x v="1"/>
  </r>
  <r>
    <x v="1173"/>
    <x v="7"/>
    <n v="7"/>
    <n v="47.1"/>
    <n v="329.7"/>
    <d v="2025-02-15T00:00:00"/>
    <d v="2025-02-16T00:00:00"/>
    <x v="2"/>
    <s v="Partner App"/>
    <n v="5"/>
    <s v="California"/>
    <s v="San Mateo County"/>
    <n v="1"/>
    <n v="7"/>
    <x v="2"/>
  </r>
  <r>
    <x v="1174"/>
    <x v="8"/>
    <n v="5"/>
    <n v="16.2"/>
    <n v="81"/>
    <d v="2025-02-15T00:00:00"/>
    <d v="2025-02-17T00:00:00"/>
    <x v="2"/>
    <s v="Instagram"/>
    <n v="5"/>
    <s v="California"/>
    <s v="Stanislaus County"/>
    <n v="2"/>
    <n v="7"/>
    <x v="2"/>
  </r>
  <r>
    <x v="1175"/>
    <x v="1"/>
    <n v="2"/>
    <n v="159.69999999999999"/>
    <n v="319.39999999999998"/>
    <d v="2025-02-16T00:00:00"/>
    <d v="2025-02-17T00:00:00"/>
    <x v="1"/>
    <s v="Partner App"/>
    <n v="4"/>
    <s v="California"/>
    <s v="Ventura County"/>
    <n v="1"/>
    <n v="8"/>
    <x v="1"/>
  </r>
  <r>
    <x v="1176"/>
    <x v="8"/>
    <n v="4"/>
    <n v="19"/>
    <n v="76"/>
    <d v="2025-02-16T00:00:00"/>
    <d v="2025-02-23T00:00:00"/>
    <x v="2"/>
    <s v="Target.com"/>
    <n v="5"/>
    <s v="California"/>
    <s v="Alameda County"/>
    <n v="7"/>
    <n v="8"/>
    <x v="2"/>
  </r>
  <r>
    <x v="1177"/>
    <x v="6"/>
    <n v="6"/>
    <n v="91.1"/>
    <n v="546.59999999999991"/>
    <d v="2025-02-16T00:00:00"/>
    <d v="2025-02-25T00:00:00"/>
    <x v="2"/>
    <s v="Partner App"/>
    <n v="4"/>
    <s v="California"/>
    <s v="Alameda County"/>
    <n v="9"/>
    <n v="8"/>
    <x v="2"/>
  </r>
  <r>
    <x v="1178"/>
    <x v="2"/>
    <n v="5"/>
    <n v="94.1"/>
    <n v="470.5"/>
    <d v="2025-02-16T00:00:00"/>
    <d v="2025-02-19T00:00:00"/>
    <x v="0"/>
    <s v="Website"/>
    <n v="3"/>
    <s v="California"/>
    <s v="Alameda County"/>
    <n v="3"/>
    <n v="8"/>
    <x v="0"/>
  </r>
  <r>
    <x v="1179"/>
    <x v="9"/>
    <n v="9"/>
    <n v="21.1"/>
    <n v="189.9"/>
    <d v="2025-02-16T00:00:00"/>
    <d v="2025-02-17T00:00:00"/>
    <x v="2"/>
    <s v="Partner App"/>
    <n v="5"/>
    <s v="California"/>
    <s v="Butte County"/>
    <n v="1"/>
    <n v="8"/>
    <x v="2"/>
  </r>
  <r>
    <x v="1180"/>
    <x v="8"/>
    <n v="7"/>
    <n v="15.3"/>
    <n v="107.10000000000001"/>
    <d v="2025-02-16T00:00:00"/>
    <d v="2025-02-24T00:00:00"/>
    <x v="2"/>
    <s v="Target.com"/>
    <n v="4"/>
    <s v="California"/>
    <s v="Contra Costa County"/>
    <n v="8"/>
    <n v="8"/>
    <x v="2"/>
  </r>
  <r>
    <x v="1181"/>
    <x v="15"/>
    <n v="4"/>
    <n v="21.3"/>
    <n v="85.2"/>
    <d v="2025-02-16T00:00:00"/>
    <d v="2025-02-19T00:00:00"/>
    <x v="1"/>
    <s v="Website"/>
    <n v="4"/>
    <s v="California"/>
    <s v="Los Angeles County"/>
    <n v="3"/>
    <n v="8"/>
    <x v="1"/>
  </r>
  <r>
    <x v="1182"/>
    <x v="0"/>
    <n v="2"/>
    <n v="23.2"/>
    <n v="46.4"/>
    <d v="2025-02-16T00:00:00"/>
    <d v="2025-02-16T00:00:00"/>
    <x v="0"/>
    <s v="Instagram"/>
    <n v="3"/>
    <s v="California"/>
    <s v="Los Angeles County"/>
    <n v="0"/>
    <n v="8"/>
    <x v="0"/>
  </r>
  <r>
    <x v="1183"/>
    <x v="4"/>
    <n v="3"/>
    <n v="25.7"/>
    <n v="77.099999999999994"/>
    <d v="2025-02-16T00:00:00"/>
    <d v="2025-02-17T00:00:00"/>
    <x v="1"/>
    <s v="Partner App"/>
    <n v="4"/>
    <s v="California"/>
    <s v="Los Angeles County"/>
    <n v="1"/>
    <n v="8"/>
    <x v="1"/>
  </r>
  <r>
    <x v="1184"/>
    <x v="0"/>
    <n v="9"/>
    <n v="31.6"/>
    <n v="284.40000000000003"/>
    <d v="2025-02-16T00:00:00"/>
    <d v="2025-02-18T00:00:00"/>
    <x v="2"/>
    <s v="App"/>
    <n v="4"/>
    <s v="California"/>
    <s v="Los Angeles County"/>
    <n v="2"/>
    <n v="8"/>
    <x v="2"/>
  </r>
  <r>
    <x v="1185"/>
    <x v="6"/>
    <n v="1"/>
    <n v="64.2"/>
    <n v="64.2"/>
    <d v="2025-02-16T00:00:00"/>
    <d v="2025-02-21T00:00:00"/>
    <x v="1"/>
    <s v="App"/>
    <n v="4"/>
    <s v="California"/>
    <s v="Los Angeles County"/>
    <n v="5"/>
    <n v="8"/>
    <x v="1"/>
  </r>
  <r>
    <x v="1186"/>
    <x v="8"/>
    <n v="2"/>
    <n v="55.8"/>
    <n v="111.6"/>
    <d v="2025-02-16T00:00:00"/>
    <d v="2025-02-18T00:00:00"/>
    <x v="0"/>
    <s v="App"/>
    <n v="4"/>
    <s v="California"/>
    <s v="Los Angeles County"/>
    <n v="2"/>
    <n v="8"/>
    <x v="0"/>
  </r>
  <r>
    <x v="1187"/>
    <x v="8"/>
    <n v="2"/>
    <n v="28.1"/>
    <n v="56.2"/>
    <d v="2025-02-16T00:00:00"/>
    <d v="2025-02-17T00:00:00"/>
    <x v="2"/>
    <s v="Partner App"/>
    <n v="3"/>
    <s v="California"/>
    <s v="Los Angeles County"/>
    <n v="1"/>
    <n v="8"/>
    <x v="2"/>
  </r>
  <r>
    <x v="1188"/>
    <x v="0"/>
    <n v="2"/>
    <n v="11.6"/>
    <n v="23.2"/>
    <d v="2025-02-16T00:00:00"/>
    <d v="2025-02-18T00:00:00"/>
    <x v="2"/>
    <s v="Website"/>
    <n v="4"/>
    <s v="California"/>
    <s v="Merced County"/>
    <n v="2"/>
    <n v="8"/>
    <x v="2"/>
  </r>
  <r>
    <x v="1189"/>
    <x v="5"/>
    <n v="3"/>
    <n v="50.4"/>
    <n v="151.19999999999999"/>
    <d v="2025-02-16T00:00:00"/>
    <d v="2025-02-17T00:00:00"/>
    <x v="1"/>
    <s v="Partner App"/>
    <n v="5"/>
    <s v="California"/>
    <s v="Orange County"/>
    <n v="1"/>
    <n v="8"/>
    <x v="1"/>
  </r>
  <r>
    <x v="1190"/>
    <x v="6"/>
    <n v="6"/>
    <n v="48.3"/>
    <n v="289.79999999999995"/>
    <d v="2025-02-16T00:00:00"/>
    <d v="2025-02-20T00:00:00"/>
    <x v="2"/>
    <s v="App"/>
    <n v="4"/>
    <s v="California"/>
    <s v="Orange County"/>
    <n v="4"/>
    <n v="8"/>
    <x v="2"/>
  </r>
  <r>
    <x v="1191"/>
    <x v="17"/>
    <n v="7"/>
    <n v="32.200000000000003"/>
    <n v="225.40000000000003"/>
    <d v="2025-02-16T00:00:00"/>
    <d v="2025-02-18T00:00:00"/>
    <x v="2"/>
    <s v="Target.com"/>
    <n v="4"/>
    <s v="California"/>
    <s v="Orange County"/>
    <n v="2"/>
    <n v="8"/>
    <x v="2"/>
  </r>
  <r>
    <x v="1192"/>
    <x v="7"/>
    <n v="28"/>
    <n v="48.5"/>
    <n v="1358"/>
    <d v="2025-02-16T00:00:00"/>
    <d v="2025-02-17T00:00:00"/>
    <x v="1"/>
    <s v="App"/>
    <n v="4"/>
    <s v="California"/>
    <s v="Placer County"/>
    <n v="1"/>
    <n v="8"/>
    <x v="1"/>
  </r>
  <r>
    <x v="1193"/>
    <x v="2"/>
    <n v="5"/>
    <n v="62"/>
    <n v="310"/>
    <d v="2025-02-16T00:00:00"/>
    <d v="2025-02-19T00:00:00"/>
    <x v="2"/>
    <s v="Website"/>
    <n v="4"/>
    <s v="California"/>
    <s v="Sacramento County"/>
    <n v="3"/>
    <n v="8"/>
    <x v="2"/>
  </r>
  <r>
    <x v="1194"/>
    <x v="8"/>
    <n v="3"/>
    <n v="32.1"/>
    <n v="96.300000000000011"/>
    <d v="2025-02-17T00:00:00"/>
    <d v="2025-02-19T00:00:00"/>
    <x v="1"/>
    <s v="App"/>
    <n v="4"/>
    <s v="California"/>
    <s v="Sacramento County"/>
    <n v="2"/>
    <n v="8"/>
    <x v="1"/>
  </r>
  <r>
    <x v="1195"/>
    <x v="12"/>
    <n v="3"/>
    <n v="106.1"/>
    <n v="318.29999999999995"/>
    <d v="2025-02-17T00:00:00"/>
    <d v="2025-02-19T00:00:00"/>
    <x v="1"/>
    <s v="App"/>
    <n v="3"/>
    <s v="California"/>
    <s v="San Bernardino County"/>
    <n v="2"/>
    <n v="8"/>
    <x v="1"/>
  </r>
  <r>
    <x v="1196"/>
    <x v="10"/>
    <n v="3"/>
    <n v="23.5"/>
    <n v="70.5"/>
    <d v="2025-02-17T00:00:00"/>
    <d v="2025-02-20T00:00:00"/>
    <x v="1"/>
    <s v="App"/>
    <n v="2"/>
    <s v="California"/>
    <s v="San Bernardino County"/>
    <n v="3"/>
    <n v="8"/>
    <x v="1"/>
  </r>
  <r>
    <x v="1197"/>
    <x v="1"/>
    <n v="2"/>
    <n v="35.6"/>
    <n v="71.2"/>
    <d v="2025-02-17T00:00:00"/>
    <d v="2025-02-22T00:00:00"/>
    <x v="1"/>
    <s v="Partner App"/>
    <n v="4"/>
    <s v="California"/>
    <s v="San Diego County"/>
    <n v="5"/>
    <n v="8"/>
    <x v="1"/>
  </r>
  <r>
    <x v="1198"/>
    <x v="1"/>
    <n v="2"/>
    <n v="63.5"/>
    <n v="127"/>
    <d v="2025-02-17T00:00:00"/>
    <d v="2025-02-17T00:00:00"/>
    <x v="2"/>
    <s v="Website"/>
    <n v="5"/>
    <s v="California"/>
    <s v="San Diego County"/>
    <n v="0"/>
    <n v="8"/>
    <x v="2"/>
  </r>
  <r>
    <x v="1199"/>
    <x v="6"/>
    <n v="7"/>
    <n v="82.9"/>
    <n v="580.30000000000007"/>
    <d v="2025-02-17T00:00:00"/>
    <d v="2025-02-22T00:00:00"/>
    <x v="2"/>
    <s v="Partner App"/>
    <n v="4"/>
    <s v="California"/>
    <s v="San Mateo County"/>
    <n v="5"/>
    <n v="8"/>
    <x v="2"/>
  </r>
  <r>
    <x v="1200"/>
    <x v="6"/>
    <n v="2"/>
    <n v="83.6"/>
    <n v="167.2"/>
    <d v="2025-02-17T00:00:00"/>
    <d v="2025-02-22T00:00:00"/>
    <x v="2"/>
    <s v="App"/>
    <n v="4"/>
    <s v="California"/>
    <s v="Santa Clara County"/>
    <n v="5"/>
    <n v="8"/>
    <x v="2"/>
  </r>
  <r>
    <x v="1201"/>
    <x v="4"/>
    <n v="2"/>
    <n v="29.4"/>
    <n v="58.8"/>
    <d v="2025-02-17T00:00:00"/>
    <d v="2025-02-17T00:00:00"/>
    <x v="2"/>
    <s v="App"/>
    <n v="3"/>
    <s v="California"/>
    <s v="Siskiyou County"/>
    <n v="0"/>
    <n v="8"/>
    <x v="2"/>
  </r>
  <r>
    <x v="1202"/>
    <x v="2"/>
    <n v="3"/>
    <n v="107.1"/>
    <n v="321.29999999999995"/>
    <d v="2025-02-17T00:00:00"/>
    <d v="2025-02-21T00:00:00"/>
    <x v="2"/>
    <s v="Target.com"/>
    <n v="4"/>
    <s v="California"/>
    <s v="Tulare County"/>
    <n v="4"/>
    <n v="8"/>
    <x v="2"/>
  </r>
  <r>
    <x v="1203"/>
    <x v="2"/>
    <n v="1"/>
    <n v="62.7"/>
    <n v="62.7"/>
    <d v="2025-02-17T00:00:00"/>
    <d v="2025-02-21T00:00:00"/>
    <x v="1"/>
    <s v="Website"/>
    <n v="4"/>
    <s v="California"/>
    <s v="Alameda County"/>
    <n v="4"/>
    <n v="8"/>
    <x v="1"/>
  </r>
  <r>
    <x v="1204"/>
    <x v="11"/>
    <n v="1"/>
    <n v="41.6"/>
    <n v="41.6"/>
    <d v="2025-02-17T00:00:00"/>
    <d v="2025-02-18T00:00:00"/>
    <x v="1"/>
    <s v="App"/>
    <n v="3"/>
    <s v="California"/>
    <s v="Contra Costa County"/>
    <n v="1"/>
    <n v="8"/>
    <x v="1"/>
  </r>
  <r>
    <x v="1205"/>
    <x v="6"/>
    <n v="1"/>
    <n v="44.2"/>
    <n v="44.2"/>
    <d v="2025-02-17T00:00:00"/>
    <d v="2025-02-18T00:00:00"/>
    <x v="3"/>
    <s v="App"/>
    <n v="3"/>
    <s v="California"/>
    <s v="Contra Costa County"/>
    <n v="1"/>
    <n v="8"/>
    <x v="3"/>
  </r>
  <r>
    <x v="1206"/>
    <x v="4"/>
    <n v="6"/>
    <n v="40.4"/>
    <n v="242.39999999999998"/>
    <d v="2025-02-17T00:00:00"/>
    <d v="2025-03-02T00:00:00"/>
    <x v="2"/>
    <s v="Target.com"/>
    <n v="4"/>
    <s v="California"/>
    <s v="Kern County"/>
    <n v="13"/>
    <n v="8"/>
    <x v="2"/>
  </r>
  <r>
    <x v="1207"/>
    <x v="15"/>
    <n v="6"/>
    <n v="59.6"/>
    <n v="357.6"/>
    <d v="2025-02-17T00:00:00"/>
    <d v="2025-02-18T00:00:00"/>
    <x v="2"/>
    <s v="Partner App"/>
    <n v="4"/>
    <s v="California"/>
    <s v="Kings County"/>
    <n v="1"/>
    <n v="8"/>
    <x v="2"/>
  </r>
  <r>
    <x v="1208"/>
    <x v="17"/>
    <n v="12"/>
    <n v="63.8"/>
    <n v="765.59999999999991"/>
    <d v="2025-02-17T00:00:00"/>
    <d v="2025-02-18T00:00:00"/>
    <x v="1"/>
    <s v="Website"/>
    <n v="4"/>
    <s v="California"/>
    <s v="Los Angeles County"/>
    <n v="1"/>
    <n v="8"/>
    <x v="1"/>
  </r>
  <r>
    <x v="1209"/>
    <x v="9"/>
    <n v="6"/>
    <n v="30.8"/>
    <n v="184.8"/>
    <d v="2025-02-17T00:00:00"/>
    <d v="2025-02-19T00:00:00"/>
    <x v="1"/>
    <s v="Partner App"/>
    <n v="4"/>
    <s v="California"/>
    <s v="Los Angeles County"/>
    <n v="2"/>
    <n v="8"/>
    <x v="1"/>
  </r>
  <r>
    <x v="1210"/>
    <x v="1"/>
    <n v="2"/>
    <n v="41.5"/>
    <n v="83"/>
    <d v="2025-02-17T00:00:00"/>
    <d v="2025-02-20T00:00:00"/>
    <x v="3"/>
    <s v="App"/>
    <n v="4"/>
    <s v="California"/>
    <s v="Los Angeles County"/>
    <n v="3"/>
    <n v="8"/>
    <x v="3"/>
  </r>
  <r>
    <x v="1211"/>
    <x v="10"/>
    <n v="4"/>
    <n v="44.7"/>
    <n v="178.8"/>
    <d v="2025-02-17T00:00:00"/>
    <d v="2025-02-19T00:00:00"/>
    <x v="2"/>
    <s v="Target.com"/>
    <n v="3"/>
    <s v="California"/>
    <s v="Los Angeles County"/>
    <n v="2"/>
    <n v="8"/>
    <x v="2"/>
  </r>
  <r>
    <x v="1212"/>
    <x v="12"/>
    <n v="2"/>
    <n v="64.099999999999994"/>
    <n v="128.19999999999999"/>
    <d v="2025-02-17T00:00:00"/>
    <d v="2025-02-21T00:00:00"/>
    <x v="2"/>
    <s v="Website"/>
    <n v="2"/>
    <s v="California"/>
    <s v="Los Angeles County"/>
    <n v="4"/>
    <n v="8"/>
    <x v="2"/>
  </r>
  <r>
    <x v="1213"/>
    <x v="8"/>
    <n v="1"/>
    <n v="15.9"/>
    <n v="15.9"/>
    <d v="2025-02-17T00:00:00"/>
    <d v="2025-02-20T00:00:00"/>
    <x v="0"/>
    <s v="Website"/>
    <n v="4"/>
    <s v="California"/>
    <s v="Los Angeles County"/>
    <n v="3"/>
    <n v="8"/>
    <x v="0"/>
  </r>
  <r>
    <x v="1214"/>
    <x v="6"/>
    <n v="2"/>
    <n v="78.7"/>
    <n v="157.4"/>
    <d v="2025-02-17T00:00:00"/>
    <d v="2025-02-17T00:00:00"/>
    <x v="2"/>
    <s v="Target.com"/>
    <n v="3"/>
    <s v="California"/>
    <s v="Los Angeles County"/>
    <n v="0"/>
    <n v="8"/>
    <x v="2"/>
  </r>
  <r>
    <x v="1215"/>
    <x v="5"/>
    <n v="12"/>
    <n v="29.6"/>
    <n v="355.20000000000005"/>
    <d v="2025-02-17T00:00:00"/>
    <d v="2025-02-21T00:00:00"/>
    <x v="1"/>
    <s v="Target.com"/>
    <n v="2"/>
    <s v="California"/>
    <s v="Los Angeles County"/>
    <n v="4"/>
    <n v="8"/>
    <x v="1"/>
  </r>
  <r>
    <x v="1216"/>
    <x v="8"/>
    <n v="4"/>
    <n v="21.5"/>
    <n v="86"/>
    <d v="2025-02-17T00:00:00"/>
    <d v="2025-02-20T00:00:00"/>
    <x v="1"/>
    <s v="Website"/>
    <n v="4"/>
    <s v="California"/>
    <s v="Los Angeles County"/>
    <n v="3"/>
    <n v="8"/>
    <x v="1"/>
  </r>
  <r>
    <x v="1217"/>
    <x v="9"/>
    <n v="3"/>
    <n v="74.900000000000006"/>
    <n v="224.70000000000002"/>
    <d v="2025-02-17T00:00:00"/>
    <d v="2025-02-26T00:00:00"/>
    <x v="1"/>
    <s v="Instagram"/>
    <n v="3"/>
    <s v="California"/>
    <s v="Los Angeles County"/>
    <n v="9"/>
    <n v="8"/>
    <x v="1"/>
  </r>
  <r>
    <x v="1218"/>
    <x v="10"/>
    <n v="6"/>
    <n v="45"/>
    <n v="270"/>
    <d v="2025-02-17T00:00:00"/>
    <d v="2025-02-22T00:00:00"/>
    <x v="2"/>
    <s v="Target.com"/>
    <n v="4"/>
    <s v="California"/>
    <s v="Los Angeles County"/>
    <n v="5"/>
    <n v="8"/>
    <x v="2"/>
  </r>
  <r>
    <x v="1219"/>
    <x v="7"/>
    <n v="34"/>
    <n v="37.9"/>
    <n v="1288.5999999999999"/>
    <d v="2025-02-17T00:00:00"/>
    <d v="2025-02-18T00:00:00"/>
    <x v="1"/>
    <s v="App"/>
    <n v="4"/>
    <s v="California"/>
    <s v="Los Angeles County"/>
    <n v="1"/>
    <n v="8"/>
    <x v="1"/>
  </r>
  <r>
    <x v="1220"/>
    <x v="6"/>
    <n v="3"/>
    <n v="56.6"/>
    <n v="169.8"/>
    <d v="2025-02-17T00:00:00"/>
    <d v="2025-02-18T00:00:00"/>
    <x v="1"/>
    <s v="Instagram"/>
    <n v="4"/>
    <s v="California"/>
    <s v="Los Angeles County"/>
    <n v="1"/>
    <n v="8"/>
    <x v="1"/>
  </r>
  <r>
    <x v="1221"/>
    <x v="3"/>
    <n v="13"/>
    <n v="84.5"/>
    <n v="1098.5"/>
    <d v="2025-02-17T00:00:00"/>
    <d v="2025-02-20T00:00:00"/>
    <x v="2"/>
    <s v="Website"/>
    <n v="2"/>
    <s v="California"/>
    <s v="Los Angeles County"/>
    <n v="3"/>
    <n v="8"/>
    <x v="2"/>
  </r>
  <r>
    <x v="1222"/>
    <x v="2"/>
    <n v="5"/>
    <n v="105.4"/>
    <n v="527"/>
    <d v="2025-02-17T00:00:00"/>
    <d v="2025-02-19T00:00:00"/>
    <x v="2"/>
    <s v="Website"/>
    <n v="3"/>
    <s v="California"/>
    <s v="Los Angeles County"/>
    <n v="2"/>
    <n v="8"/>
    <x v="2"/>
  </r>
  <r>
    <x v="1223"/>
    <x v="18"/>
    <n v="7"/>
    <n v="39.4"/>
    <n v="275.8"/>
    <d v="2025-02-18T00:00:00"/>
    <d v="2025-02-18T00:00:00"/>
    <x v="1"/>
    <s v="Website"/>
    <n v="4"/>
    <s v="California"/>
    <s v="Madera County"/>
    <n v="0"/>
    <n v="8"/>
    <x v="1"/>
  </r>
  <r>
    <x v="1224"/>
    <x v="19"/>
    <n v="3"/>
    <n v="38"/>
    <n v="114"/>
    <d v="2025-02-18T00:00:00"/>
    <d v="2025-02-21T00:00:00"/>
    <x v="1"/>
    <s v="Partner App"/>
    <n v="3"/>
    <s v="California"/>
    <s v="Sacramento County"/>
    <n v="3"/>
    <n v="8"/>
    <x v="1"/>
  </r>
  <r>
    <x v="1225"/>
    <x v="17"/>
    <n v="4"/>
    <n v="42.5"/>
    <n v="170"/>
    <d v="2025-02-18T00:00:00"/>
    <d v="2025-02-20T00:00:00"/>
    <x v="0"/>
    <s v="App"/>
    <n v="4"/>
    <s v="California"/>
    <s v="Sacramento County"/>
    <n v="2"/>
    <n v="8"/>
    <x v="0"/>
  </r>
  <r>
    <x v="1226"/>
    <x v="15"/>
    <n v="1"/>
    <n v="62.3"/>
    <n v="62.3"/>
    <d v="2025-02-18T00:00:00"/>
    <d v="2025-02-27T00:00:00"/>
    <x v="1"/>
    <s v="App"/>
    <n v="5"/>
    <s v="California"/>
    <s v="Sacramento County"/>
    <n v="9"/>
    <n v="8"/>
    <x v="1"/>
  </r>
  <r>
    <x v="1227"/>
    <x v="6"/>
    <n v="5"/>
    <n v="49.1"/>
    <n v="245.5"/>
    <d v="2025-02-18T00:00:00"/>
    <d v="2025-02-20T00:00:00"/>
    <x v="2"/>
    <s v="Website"/>
    <n v="5"/>
    <s v="California"/>
    <s v="San Bernardino County"/>
    <n v="2"/>
    <n v="8"/>
    <x v="2"/>
  </r>
  <r>
    <x v="1228"/>
    <x v="3"/>
    <n v="2"/>
    <n v="30.5"/>
    <n v="61"/>
    <d v="2025-02-18T00:00:00"/>
    <d v="2025-02-21T00:00:00"/>
    <x v="1"/>
    <s v="App"/>
    <n v="5"/>
    <s v="California"/>
    <s v="San Diego County"/>
    <n v="3"/>
    <n v="8"/>
    <x v="1"/>
  </r>
  <r>
    <x v="1229"/>
    <x v="2"/>
    <n v="2"/>
    <n v="154.80000000000001"/>
    <n v="309.60000000000002"/>
    <d v="2025-02-18T00:00:00"/>
    <d v="2025-02-21T00:00:00"/>
    <x v="2"/>
    <s v="Website"/>
    <n v="2"/>
    <s v="California"/>
    <s v="San Diego County"/>
    <n v="3"/>
    <n v="8"/>
    <x v="2"/>
  </r>
  <r>
    <x v="1230"/>
    <x v="6"/>
    <n v="1"/>
    <n v="45"/>
    <n v="45"/>
    <d v="2025-02-18T00:00:00"/>
    <d v="2025-02-22T00:00:00"/>
    <x v="1"/>
    <s v="Instagram"/>
    <n v="3"/>
    <s v="California"/>
    <s v="San Diego County"/>
    <n v="4"/>
    <n v="8"/>
    <x v="1"/>
  </r>
  <r>
    <x v="1231"/>
    <x v="0"/>
    <n v="7"/>
    <n v="15.3"/>
    <n v="107.10000000000001"/>
    <d v="2025-02-18T00:00:00"/>
    <d v="2025-02-19T00:00:00"/>
    <x v="1"/>
    <s v="App"/>
    <n v="5"/>
    <s v="California"/>
    <s v="San Diego County"/>
    <n v="1"/>
    <n v="8"/>
    <x v="1"/>
  </r>
  <r>
    <x v="1232"/>
    <x v="2"/>
    <n v="11"/>
    <n v="88.6"/>
    <n v="974.59999999999991"/>
    <d v="2025-02-18T00:00:00"/>
    <d v="2025-02-21T00:00:00"/>
    <x v="2"/>
    <s v="App"/>
    <n v="2"/>
    <s v="California"/>
    <s v="San Francisco"/>
    <n v="3"/>
    <n v="8"/>
    <x v="2"/>
  </r>
  <r>
    <x v="1233"/>
    <x v="9"/>
    <n v="2"/>
    <n v="49.7"/>
    <n v="99.4"/>
    <d v="2025-02-18T00:00:00"/>
    <d v="2025-02-20T00:00:00"/>
    <x v="3"/>
    <s v="Partner App"/>
    <n v="4"/>
    <s v="California"/>
    <s v="Santa Barbara County"/>
    <n v="2"/>
    <n v="8"/>
    <x v="3"/>
  </r>
  <r>
    <x v="1234"/>
    <x v="10"/>
    <n v="1"/>
    <n v="29"/>
    <n v="29"/>
    <d v="2025-02-18T00:00:00"/>
    <d v="2025-02-19T00:00:00"/>
    <x v="1"/>
    <s v="App"/>
    <n v="4"/>
    <s v="California"/>
    <s v="Santa Clara County"/>
    <n v="1"/>
    <n v="8"/>
    <x v="1"/>
  </r>
  <r>
    <x v="1235"/>
    <x v="1"/>
    <n v="1"/>
    <n v="60.7"/>
    <n v="60.7"/>
    <d v="2025-02-18T00:00:00"/>
    <d v="2025-02-19T00:00:00"/>
    <x v="3"/>
    <s v="App"/>
    <n v="3"/>
    <s v="California"/>
    <s v="Santa Clara County"/>
    <n v="1"/>
    <n v="8"/>
    <x v="3"/>
  </r>
  <r>
    <x v="1236"/>
    <x v="17"/>
    <n v="4"/>
    <n v="87.4"/>
    <n v="349.6"/>
    <d v="2025-02-18T00:00:00"/>
    <d v="2025-02-20T00:00:00"/>
    <x v="0"/>
    <s v="App"/>
    <n v="4"/>
    <s v="California"/>
    <s v="Santa Clara County"/>
    <n v="2"/>
    <n v="8"/>
    <x v="0"/>
  </r>
  <r>
    <x v="1237"/>
    <x v="4"/>
    <n v="7"/>
    <n v="44.5"/>
    <n v="311.5"/>
    <d v="2025-02-18T00:00:00"/>
    <d v="2025-02-22T00:00:00"/>
    <x v="2"/>
    <s v="Target.com"/>
    <n v="5"/>
    <s v="California"/>
    <s v="Stanislaus County"/>
    <n v="4"/>
    <n v="8"/>
    <x v="2"/>
  </r>
  <r>
    <x v="1238"/>
    <x v="2"/>
    <n v="1"/>
    <n v="141"/>
    <n v="141"/>
    <d v="2025-02-18T00:00:00"/>
    <d v="2025-02-19T00:00:00"/>
    <x v="1"/>
    <s v="Partner App"/>
    <n v="5"/>
    <s v="California"/>
    <s v="Stanislaus County"/>
    <n v="1"/>
    <n v="8"/>
    <x v="1"/>
  </r>
  <r>
    <x v="1239"/>
    <x v="0"/>
    <n v="3"/>
    <n v="16.7"/>
    <n v="50.099999999999994"/>
    <d v="2025-02-18T00:00:00"/>
    <d v="2025-02-26T00:00:00"/>
    <x v="2"/>
    <s v="App"/>
    <n v="4"/>
    <s v="California"/>
    <s v="Tulare County"/>
    <n v="8"/>
    <n v="8"/>
    <x v="2"/>
  </r>
  <r>
    <x v="1240"/>
    <x v="1"/>
    <n v="2"/>
    <n v="77.5"/>
    <n v="155"/>
    <d v="2025-02-18T00:00:00"/>
    <d v="2025-02-19T00:00:00"/>
    <x v="0"/>
    <s v="Target.com"/>
    <n v="5"/>
    <s v="California"/>
    <s v="Ventura County"/>
    <n v="1"/>
    <n v="8"/>
    <x v="0"/>
  </r>
  <r>
    <x v="1241"/>
    <x v="2"/>
    <n v="2"/>
    <n v="163"/>
    <n v="326"/>
    <d v="2025-02-18T00:00:00"/>
    <d v="2025-02-24T00:00:00"/>
    <x v="2"/>
    <s v="Partner App"/>
    <n v="4"/>
    <s v="California"/>
    <s v="Alameda County"/>
    <n v="6"/>
    <n v="8"/>
    <x v="2"/>
  </r>
  <r>
    <x v="1242"/>
    <x v="4"/>
    <n v="9"/>
    <n v="21.4"/>
    <n v="192.6"/>
    <d v="2025-02-18T00:00:00"/>
    <d v="2025-02-21T00:00:00"/>
    <x v="2"/>
    <s v="App"/>
    <n v="4"/>
    <s v="California"/>
    <s v="Butte County"/>
    <n v="3"/>
    <n v="8"/>
    <x v="2"/>
  </r>
  <r>
    <x v="1243"/>
    <x v="10"/>
    <n v="11"/>
    <n v="31"/>
    <n v="341"/>
    <d v="2025-02-18T00:00:00"/>
    <d v="2025-02-20T00:00:00"/>
    <x v="2"/>
    <s v="Instagram"/>
    <n v="5"/>
    <s v="California"/>
    <s v="Contra Costa County"/>
    <n v="2"/>
    <n v="8"/>
    <x v="2"/>
  </r>
  <r>
    <x v="1244"/>
    <x v="7"/>
    <n v="2"/>
    <n v="34.299999999999997"/>
    <n v="68.599999999999994"/>
    <d v="2025-02-18T00:00:00"/>
    <d v="2025-02-20T00:00:00"/>
    <x v="2"/>
    <s v="App"/>
    <n v="1"/>
    <s v="California"/>
    <s v="Contra Costa County"/>
    <n v="2"/>
    <n v="8"/>
    <x v="2"/>
  </r>
  <r>
    <x v="1245"/>
    <x v="17"/>
    <n v="5"/>
    <n v="48.2"/>
    <n v="241"/>
    <d v="2025-02-18T00:00:00"/>
    <d v="2025-02-19T00:00:00"/>
    <x v="1"/>
    <s v="Website"/>
    <n v="3"/>
    <s v="California"/>
    <s v="Fresno County"/>
    <n v="1"/>
    <n v="8"/>
    <x v="1"/>
  </r>
  <r>
    <x v="1246"/>
    <x v="10"/>
    <n v="1"/>
    <n v="51.4"/>
    <n v="51.4"/>
    <d v="2025-02-18T00:00:00"/>
    <d v="2025-02-19T00:00:00"/>
    <x v="1"/>
    <s v="App"/>
    <n v="4"/>
    <s v="California"/>
    <s v="Los Angeles County"/>
    <n v="1"/>
    <n v="8"/>
    <x v="1"/>
  </r>
  <r>
    <x v="1247"/>
    <x v="2"/>
    <n v="5"/>
    <n v="117.2"/>
    <n v="586"/>
    <d v="2025-02-18T00:00:00"/>
    <d v="2025-02-21T00:00:00"/>
    <x v="2"/>
    <s v="Partner App"/>
    <n v="2"/>
    <s v="California"/>
    <s v="Los Angeles County"/>
    <n v="3"/>
    <n v="8"/>
    <x v="2"/>
  </r>
  <r>
    <x v="1248"/>
    <x v="8"/>
    <n v="1"/>
    <n v="38.1"/>
    <n v="38.1"/>
    <d v="2025-02-18T00:00:00"/>
    <d v="2025-02-18T00:00:00"/>
    <x v="1"/>
    <s v="Partner App"/>
    <n v="3"/>
    <s v="California"/>
    <s v="Los Angeles County"/>
    <n v="0"/>
    <n v="8"/>
    <x v="1"/>
  </r>
  <r>
    <x v="1249"/>
    <x v="0"/>
    <n v="2"/>
    <n v="44.1"/>
    <n v="88.2"/>
    <d v="2025-02-18T00:00:00"/>
    <d v="2025-02-20T00:00:00"/>
    <x v="2"/>
    <s v="Target.com"/>
    <n v="4"/>
    <s v="California"/>
    <s v="Los Angeles County"/>
    <n v="2"/>
    <n v="8"/>
    <x v="2"/>
  </r>
  <r>
    <x v="1250"/>
    <x v="15"/>
    <n v="4"/>
    <n v="80.5"/>
    <n v="322"/>
    <d v="2025-02-18T00:00:00"/>
    <d v="2025-02-23T00:00:00"/>
    <x v="1"/>
    <s v="App"/>
    <n v="4"/>
    <s v="California"/>
    <s v="Los Angeles County"/>
    <n v="5"/>
    <n v="8"/>
    <x v="1"/>
  </r>
  <r>
    <x v="1251"/>
    <x v="18"/>
    <n v="4"/>
    <n v="33.6"/>
    <n v="134.4"/>
    <d v="2025-02-18T00:00:00"/>
    <d v="2025-02-23T00:00:00"/>
    <x v="0"/>
    <s v="App"/>
    <n v="5"/>
    <s v="California"/>
    <s v="Los Angeles County"/>
    <n v="5"/>
    <n v="8"/>
    <x v="0"/>
  </r>
  <r>
    <x v="1252"/>
    <x v="9"/>
    <n v="9"/>
    <n v="41.8"/>
    <n v="376.2"/>
    <d v="2025-02-18T00:00:00"/>
    <d v="2025-02-19T00:00:00"/>
    <x v="2"/>
    <s v="App"/>
    <n v="3"/>
    <s v="California"/>
    <s v="Los Angeles County"/>
    <n v="1"/>
    <n v="8"/>
    <x v="2"/>
  </r>
  <r>
    <x v="1253"/>
    <x v="1"/>
    <n v="2"/>
    <n v="106.2"/>
    <n v="212.4"/>
    <d v="2025-02-18T00:00:00"/>
    <d v="2025-02-18T00:00:00"/>
    <x v="2"/>
    <s v="Partner App"/>
    <n v="5"/>
    <s v="California"/>
    <s v="Los Angeles County"/>
    <n v="0"/>
    <n v="8"/>
    <x v="2"/>
  </r>
  <r>
    <x v="1254"/>
    <x v="1"/>
    <n v="2"/>
    <n v="52.6"/>
    <n v="105.2"/>
    <d v="2025-02-18T00:00:00"/>
    <d v="2025-02-19T00:00:00"/>
    <x v="2"/>
    <s v="App"/>
    <n v="5"/>
    <s v="California"/>
    <s v="Placer County"/>
    <n v="1"/>
    <n v="8"/>
    <x v="2"/>
  </r>
  <r>
    <x v="1255"/>
    <x v="11"/>
    <n v="7"/>
    <n v="68.5"/>
    <n v="479.5"/>
    <d v="2025-02-18T00:00:00"/>
    <d v="2025-02-19T00:00:00"/>
    <x v="2"/>
    <s v="Website"/>
    <n v="4"/>
    <s v="California"/>
    <s v="Placer County"/>
    <n v="1"/>
    <n v="8"/>
    <x v="2"/>
  </r>
  <r>
    <x v="1256"/>
    <x v="1"/>
    <n v="2"/>
    <n v="55.6"/>
    <n v="111.2"/>
    <d v="2025-02-18T00:00:00"/>
    <d v="2025-02-20T00:00:00"/>
    <x v="1"/>
    <s v="Website"/>
    <n v="5"/>
    <s v="California"/>
    <s v="Sacramento County"/>
    <n v="2"/>
    <n v="8"/>
    <x v="1"/>
  </r>
  <r>
    <x v="1257"/>
    <x v="2"/>
    <n v="3"/>
    <n v="134.9"/>
    <n v="404.70000000000005"/>
    <d v="2025-02-18T00:00:00"/>
    <d v="2025-02-19T00:00:00"/>
    <x v="1"/>
    <s v="Website"/>
    <n v="3"/>
    <s v="California"/>
    <s v="Sacramento County"/>
    <n v="1"/>
    <n v="8"/>
    <x v="1"/>
  </r>
  <r>
    <x v="1258"/>
    <x v="10"/>
    <n v="5"/>
    <n v="42.6"/>
    <n v="213"/>
    <d v="2025-02-18T00:00:00"/>
    <d v="2025-02-19T00:00:00"/>
    <x v="1"/>
    <s v="App"/>
    <n v="4"/>
    <s v="California"/>
    <s v="Sacramento County"/>
    <n v="1"/>
    <n v="8"/>
    <x v="1"/>
  </r>
  <r>
    <x v="1259"/>
    <x v="7"/>
    <n v="5"/>
    <n v="60.6"/>
    <n v="303"/>
    <d v="2025-02-18T00:00:00"/>
    <d v="2025-02-20T00:00:00"/>
    <x v="1"/>
    <s v="Partner App"/>
    <n v="4"/>
    <s v="California"/>
    <s v="Sacramento County"/>
    <n v="2"/>
    <n v="8"/>
    <x v="1"/>
  </r>
  <r>
    <x v="1260"/>
    <x v="8"/>
    <n v="2"/>
    <n v="43.5"/>
    <n v="87"/>
    <d v="2025-02-18T00:00:00"/>
    <d v="2025-02-19T00:00:00"/>
    <x v="1"/>
    <s v="Partner App"/>
    <n v="4"/>
    <s v="California"/>
    <s v="San Bernardino County"/>
    <n v="1"/>
    <n v="8"/>
    <x v="1"/>
  </r>
  <r>
    <x v="1261"/>
    <x v="2"/>
    <n v="2"/>
    <n v="187.1"/>
    <n v="374.2"/>
    <d v="2025-02-18T00:00:00"/>
    <d v="2025-02-19T00:00:00"/>
    <x v="1"/>
    <s v="Website"/>
    <n v="5"/>
    <s v="California"/>
    <s v="San Diego County"/>
    <n v="1"/>
    <n v="8"/>
    <x v="1"/>
  </r>
  <r>
    <x v="1262"/>
    <x v="9"/>
    <n v="3"/>
    <n v="32"/>
    <n v="96"/>
    <d v="2025-02-18T00:00:00"/>
    <d v="2025-02-20T00:00:00"/>
    <x v="1"/>
    <s v="App"/>
    <n v="4"/>
    <s v="California"/>
    <s v="San Diego County"/>
    <n v="2"/>
    <n v="8"/>
    <x v="1"/>
  </r>
  <r>
    <x v="1263"/>
    <x v="9"/>
    <n v="2"/>
    <n v="110.8"/>
    <n v="221.6"/>
    <d v="2025-02-18T00:00:00"/>
    <d v="2025-02-18T00:00:00"/>
    <x v="1"/>
    <s v="App"/>
    <n v="5"/>
    <s v="California"/>
    <s v="San Diego County"/>
    <n v="0"/>
    <n v="8"/>
    <x v="1"/>
  </r>
  <r>
    <x v="1264"/>
    <x v="10"/>
    <n v="13"/>
    <n v="36.1"/>
    <n v="469.3"/>
    <d v="2025-02-18T00:00:00"/>
    <d v="2025-02-21T00:00:00"/>
    <x v="2"/>
    <s v="App"/>
    <n v="3"/>
    <s v="California"/>
    <s v="San Diego County"/>
    <n v="3"/>
    <n v="8"/>
    <x v="2"/>
  </r>
  <r>
    <x v="1265"/>
    <x v="0"/>
    <n v="1"/>
    <n v="24.1"/>
    <n v="24.1"/>
    <d v="2025-02-18T00:00:00"/>
    <d v="2025-02-20T00:00:00"/>
    <x v="2"/>
    <s v="Partner App"/>
    <n v="5"/>
    <s v="California"/>
    <s v="San Diego County"/>
    <n v="2"/>
    <n v="8"/>
    <x v="2"/>
  </r>
  <r>
    <x v="1266"/>
    <x v="19"/>
    <n v="3"/>
    <n v="30.5"/>
    <n v="91.5"/>
    <d v="2025-02-18T00:00:00"/>
    <d v="2025-02-20T00:00:00"/>
    <x v="1"/>
    <s v="Website"/>
    <n v="4"/>
    <s v="California"/>
    <s v="San Diego County"/>
    <n v="2"/>
    <n v="8"/>
    <x v="1"/>
  </r>
  <r>
    <x v="1267"/>
    <x v="18"/>
    <n v="6"/>
    <n v="68.3"/>
    <n v="409.79999999999995"/>
    <d v="2025-02-18T00:00:00"/>
    <d v="2025-02-21T00:00:00"/>
    <x v="1"/>
    <s v="App"/>
    <n v="4"/>
    <s v="California"/>
    <s v="San Diego County"/>
    <n v="3"/>
    <n v="8"/>
    <x v="1"/>
  </r>
  <r>
    <x v="1268"/>
    <x v="7"/>
    <n v="3"/>
    <n v="43.3"/>
    <n v="129.89999999999998"/>
    <d v="2025-02-18T00:00:00"/>
    <d v="2025-02-22T00:00:00"/>
    <x v="2"/>
    <s v="App"/>
    <n v="4"/>
    <s v="California"/>
    <s v="San Francisco"/>
    <n v="4"/>
    <n v="8"/>
    <x v="2"/>
  </r>
  <r>
    <x v="1269"/>
    <x v="3"/>
    <n v="1"/>
    <n v="101.7"/>
    <n v="101.7"/>
    <d v="2025-02-18T00:00:00"/>
    <d v="2025-02-21T00:00:00"/>
    <x v="2"/>
    <s v="App"/>
    <n v="3"/>
    <s v="California"/>
    <s v="San Francisco"/>
    <n v="3"/>
    <n v="8"/>
    <x v="2"/>
  </r>
  <r>
    <x v="1270"/>
    <x v="11"/>
    <n v="2"/>
    <n v="54.2"/>
    <n v="108.4"/>
    <d v="2025-02-18T00:00:00"/>
    <d v="2025-02-19T00:00:00"/>
    <x v="2"/>
    <s v="App"/>
    <n v="3"/>
    <s v="California"/>
    <s v="San Francisco"/>
    <n v="1"/>
    <n v="8"/>
    <x v="2"/>
  </r>
  <r>
    <x v="1271"/>
    <x v="16"/>
    <n v="2"/>
    <n v="51"/>
    <n v="102"/>
    <d v="2025-02-18T00:00:00"/>
    <d v="2025-02-18T00:00:00"/>
    <x v="1"/>
    <s v="Website"/>
    <n v="4"/>
    <s v="California"/>
    <s v="San Joaquin County"/>
    <n v="0"/>
    <n v="8"/>
    <x v="1"/>
  </r>
  <r>
    <x v="1272"/>
    <x v="4"/>
    <n v="2"/>
    <n v="23.1"/>
    <n v="46.2"/>
    <d v="2025-02-18T00:00:00"/>
    <d v="2025-02-21T00:00:00"/>
    <x v="1"/>
    <s v="Website"/>
    <n v="4"/>
    <s v="California"/>
    <s v="Santa Barbara County"/>
    <n v="3"/>
    <n v="8"/>
    <x v="1"/>
  </r>
  <r>
    <x v="1273"/>
    <x v="12"/>
    <n v="6"/>
    <n v="60.1"/>
    <n v="360.6"/>
    <d v="2025-02-18T00:00:00"/>
    <d v="2025-02-18T00:00:00"/>
    <x v="2"/>
    <s v="Instagram"/>
    <n v="4"/>
    <s v="California"/>
    <s v="Santa Clara County"/>
    <n v="0"/>
    <n v="8"/>
    <x v="2"/>
  </r>
  <r>
    <x v="1274"/>
    <x v="2"/>
    <n v="7"/>
    <n v="87.5"/>
    <n v="612.5"/>
    <d v="2025-02-18T00:00:00"/>
    <d v="2025-02-20T00:00:00"/>
    <x v="2"/>
    <s v="App"/>
    <n v="3"/>
    <s v="California"/>
    <s v="Santa Clara County"/>
    <n v="2"/>
    <n v="8"/>
    <x v="2"/>
  </r>
  <r>
    <x v="1275"/>
    <x v="1"/>
    <n v="3"/>
    <n v="51"/>
    <n v="153"/>
    <d v="2025-02-18T00:00:00"/>
    <d v="2025-02-19T00:00:00"/>
    <x v="2"/>
    <s v="Website"/>
    <n v="4"/>
    <s v="California"/>
    <s v="Santa Clara County"/>
    <n v="1"/>
    <n v="8"/>
    <x v="2"/>
  </r>
  <r>
    <x v="1276"/>
    <x v="8"/>
    <n v="4"/>
    <n v="19.2"/>
    <n v="76.8"/>
    <d v="2025-02-18T00:00:00"/>
    <d v="2025-02-20T00:00:00"/>
    <x v="2"/>
    <s v="App"/>
    <n v="4"/>
    <s v="California"/>
    <s v="Santa Clara County"/>
    <n v="2"/>
    <n v="8"/>
    <x v="2"/>
  </r>
  <r>
    <x v="1277"/>
    <x v="5"/>
    <n v="8"/>
    <n v="26.5"/>
    <n v="212"/>
    <d v="2025-02-18T00:00:00"/>
    <d v="2025-02-19T00:00:00"/>
    <x v="0"/>
    <s v="Instagram"/>
    <n v="5"/>
    <s v="California"/>
    <s v="Santa Clara County"/>
    <n v="1"/>
    <n v="8"/>
    <x v="0"/>
  </r>
  <r>
    <x v="1278"/>
    <x v="2"/>
    <n v="2"/>
    <n v="220.3"/>
    <n v="440.6"/>
    <d v="2025-02-18T00:00:00"/>
    <d v="2025-02-19T00:00:00"/>
    <x v="2"/>
    <s v="Website"/>
    <n v="2"/>
    <s v="California"/>
    <s v="Shasta County"/>
    <n v="1"/>
    <n v="8"/>
    <x v="2"/>
  </r>
  <r>
    <x v="1279"/>
    <x v="8"/>
    <n v="3"/>
    <n v="45.7"/>
    <n v="137.10000000000002"/>
    <d v="2025-02-18T00:00:00"/>
    <d v="2025-02-19T00:00:00"/>
    <x v="2"/>
    <s v="Partner App"/>
    <n v="4"/>
    <s v="California"/>
    <s v="Siskiyou County"/>
    <n v="1"/>
    <n v="8"/>
    <x v="2"/>
  </r>
  <r>
    <x v="1280"/>
    <x v="5"/>
    <n v="5"/>
    <n v="47.1"/>
    <n v="235.5"/>
    <d v="2025-02-18T00:00:00"/>
    <d v="2025-02-22T00:00:00"/>
    <x v="2"/>
    <s v="Instagram"/>
    <n v="4"/>
    <s v="California"/>
    <s v="Ventura County"/>
    <n v="4"/>
    <n v="8"/>
    <x v="2"/>
  </r>
  <r>
    <x v="1281"/>
    <x v="1"/>
    <n v="5"/>
    <n v="81.7"/>
    <n v="408.5"/>
    <d v="2025-02-18T00:00:00"/>
    <d v="2025-02-19T00:00:00"/>
    <x v="2"/>
    <s v="App"/>
    <n v="5"/>
    <s v="California"/>
    <s v="Alameda County"/>
    <n v="1"/>
    <n v="8"/>
    <x v="2"/>
  </r>
  <r>
    <x v="1282"/>
    <x v="6"/>
    <n v="10"/>
    <n v="97.8"/>
    <n v="978"/>
    <d v="2025-02-18T00:00:00"/>
    <d v="2025-02-18T00:00:00"/>
    <x v="1"/>
    <s v="Website"/>
    <n v="3"/>
    <s v="California"/>
    <s v="Alameda County"/>
    <n v="0"/>
    <n v="8"/>
    <x v="1"/>
  </r>
  <r>
    <x v="1283"/>
    <x v="6"/>
    <n v="3"/>
    <n v="42.4"/>
    <n v="127.19999999999999"/>
    <d v="2025-02-18T00:00:00"/>
    <d v="2025-02-19T00:00:00"/>
    <x v="2"/>
    <s v="App"/>
    <n v="5"/>
    <s v="California"/>
    <s v="Colusa County"/>
    <n v="1"/>
    <n v="8"/>
    <x v="2"/>
  </r>
  <r>
    <x v="1284"/>
    <x v="2"/>
    <n v="10"/>
    <n v="74.5"/>
    <n v="745"/>
    <d v="2025-02-18T00:00:00"/>
    <d v="2025-02-19T00:00:00"/>
    <x v="1"/>
    <s v="Target.com"/>
    <n v="3"/>
    <s v="California"/>
    <s v="Contra Costa County"/>
    <n v="1"/>
    <n v="8"/>
    <x v="1"/>
  </r>
  <r>
    <x v="1285"/>
    <x v="17"/>
    <n v="6"/>
    <n v="47.4"/>
    <n v="284.39999999999998"/>
    <d v="2025-02-18T00:00:00"/>
    <d v="2025-02-19T00:00:00"/>
    <x v="1"/>
    <s v="Website"/>
    <n v="4"/>
    <s v="California"/>
    <s v="Contra Costa County"/>
    <n v="1"/>
    <n v="8"/>
    <x v="1"/>
  </r>
  <r>
    <x v="1286"/>
    <x v="14"/>
    <n v="3"/>
    <n v="17.3"/>
    <n v="51.900000000000006"/>
    <d v="2025-02-19T00:00:00"/>
    <d v="2025-02-22T00:00:00"/>
    <x v="1"/>
    <s v="Target.com"/>
    <n v="5"/>
    <s v="California"/>
    <s v="Contra Costa County"/>
    <n v="3"/>
    <n v="8"/>
    <x v="1"/>
  </r>
  <r>
    <x v="1287"/>
    <x v="12"/>
    <n v="4"/>
    <n v="77.900000000000006"/>
    <n v="311.60000000000002"/>
    <d v="2025-02-19T00:00:00"/>
    <d v="2025-02-20T00:00:00"/>
    <x v="1"/>
    <s v="Website"/>
    <n v="4"/>
    <s v="California"/>
    <s v="Fresno County"/>
    <n v="1"/>
    <n v="8"/>
    <x v="1"/>
  </r>
  <r>
    <x v="1288"/>
    <x v="8"/>
    <n v="1"/>
    <n v="29.1"/>
    <n v="29.1"/>
    <d v="2025-02-19T00:00:00"/>
    <d v="2025-02-22T00:00:00"/>
    <x v="1"/>
    <s v="App"/>
    <n v="5"/>
    <s v="California"/>
    <s v="Lake County"/>
    <n v="3"/>
    <n v="8"/>
    <x v="1"/>
  </r>
  <r>
    <x v="1289"/>
    <x v="8"/>
    <n v="1"/>
    <n v="49"/>
    <n v="49"/>
    <d v="2025-02-19T00:00:00"/>
    <d v="2025-02-20T00:00:00"/>
    <x v="1"/>
    <s v="Website"/>
    <n v="4"/>
    <s v="California"/>
    <s v="Los Angeles County"/>
    <n v="1"/>
    <n v="8"/>
    <x v="1"/>
  </r>
  <r>
    <x v="1290"/>
    <x v="8"/>
    <n v="6"/>
    <n v="21.1"/>
    <n v="126.60000000000001"/>
    <d v="2025-02-19T00:00:00"/>
    <d v="2025-02-26T00:00:00"/>
    <x v="1"/>
    <s v="App"/>
    <n v="5"/>
    <s v="California"/>
    <s v="Los Angeles County"/>
    <n v="7"/>
    <n v="8"/>
    <x v="1"/>
  </r>
  <r>
    <x v="1291"/>
    <x v="4"/>
    <n v="19"/>
    <n v="36.9"/>
    <n v="701.1"/>
    <d v="2025-02-19T00:00:00"/>
    <d v="2025-02-19T00:00:00"/>
    <x v="2"/>
    <s v="App"/>
    <n v="4"/>
    <s v="California"/>
    <s v="Los Angeles County"/>
    <n v="0"/>
    <n v="8"/>
    <x v="2"/>
  </r>
  <r>
    <x v="1292"/>
    <x v="1"/>
    <n v="10"/>
    <n v="92.6"/>
    <n v="926"/>
    <d v="2025-02-19T00:00:00"/>
    <d v="2025-02-24T00:00:00"/>
    <x v="1"/>
    <s v="Partner App"/>
    <n v="5"/>
    <s v="California"/>
    <s v="Los Angeles County"/>
    <n v="5"/>
    <n v="8"/>
    <x v="1"/>
  </r>
  <r>
    <x v="1293"/>
    <x v="10"/>
    <n v="2"/>
    <n v="38"/>
    <n v="76"/>
    <d v="2025-02-19T00:00:00"/>
    <d v="2025-02-20T00:00:00"/>
    <x v="1"/>
    <s v="Website"/>
    <n v="3"/>
    <s v="California"/>
    <s v="Los Angeles County"/>
    <n v="1"/>
    <n v="8"/>
    <x v="1"/>
  </r>
  <r>
    <x v="1294"/>
    <x v="5"/>
    <n v="3"/>
    <n v="54.8"/>
    <n v="164.39999999999998"/>
    <d v="2025-02-19T00:00:00"/>
    <d v="2025-02-23T00:00:00"/>
    <x v="0"/>
    <s v="App"/>
    <n v="3"/>
    <s v="California"/>
    <s v="Los Angeles County"/>
    <n v="4"/>
    <n v="8"/>
    <x v="0"/>
  </r>
  <r>
    <x v="1295"/>
    <x v="10"/>
    <n v="12"/>
    <n v="56.8"/>
    <n v="681.59999999999991"/>
    <d v="2025-02-19T00:00:00"/>
    <d v="2025-02-21T00:00:00"/>
    <x v="1"/>
    <s v="Website"/>
    <n v="4"/>
    <s v="California"/>
    <s v="Los Angeles County"/>
    <n v="2"/>
    <n v="8"/>
    <x v="1"/>
  </r>
  <r>
    <x v="1296"/>
    <x v="11"/>
    <n v="33"/>
    <n v="47.2"/>
    <n v="1557.6000000000001"/>
    <d v="2025-02-19T00:00:00"/>
    <d v="2025-02-22T00:00:00"/>
    <x v="2"/>
    <s v="Website"/>
    <n v="4"/>
    <s v="California"/>
    <s v="Los Angeles County"/>
    <n v="3"/>
    <n v="8"/>
    <x v="2"/>
  </r>
  <r>
    <x v="1297"/>
    <x v="7"/>
    <n v="6"/>
    <n v="45.1"/>
    <n v="270.60000000000002"/>
    <d v="2025-02-19T00:00:00"/>
    <d v="2025-02-20T00:00:00"/>
    <x v="2"/>
    <s v="Target.com"/>
    <n v="4"/>
    <s v="California"/>
    <s v="Marin County"/>
    <n v="1"/>
    <n v="8"/>
    <x v="2"/>
  </r>
  <r>
    <x v="1298"/>
    <x v="4"/>
    <n v="12"/>
    <n v="25.2"/>
    <n v="302.39999999999998"/>
    <d v="2025-02-19T00:00:00"/>
    <d v="2025-02-24T00:00:00"/>
    <x v="2"/>
    <s v="Target.com"/>
    <n v="4"/>
    <s v="California"/>
    <s v="Napa County"/>
    <n v="5"/>
    <n v="8"/>
    <x v="2"/>
  </r>
  <r>
    <x v="1299"/>
    <x v="8"/>
    <n v="1"/>
    <n v="22"/>
    <n v="22"/>
    <d v="2025-02-19T00:00:00"/>
    <d v="2025-02-20T00:00:00"/>
    <x v="2"/>
    <s v="App"/>
    <n v="4"/>
    <s v="California"/>
    <s v="Placer County"/>
    <n v="1"/>
    <n v="8"/>
    <x v="2"/>
  </r>
  <r>
    <x v="1300"/>
    <x v="6"/>
    <n v="2"/>
    <n v="42.2"/>
    <n v="84.4"/>
    <d v="2025-02-19T00:00:00"/>
    <d v="2025-02-20T00:00:00"/>
    <x v="2"/>
    <s v="Website"/>
    <n v="3"/>
    <s v="California"/>
    <s v="Riverside County"/>
    <n v="1"/>
    <n v="8"/>
    <x v="2"/>
  </r>
  <r>
    <x v="1301"/>
    <x v="13"/>
    <n v="3"/>
    <n v="20.5"/>
    <n v="61.5"/>
    <d v="2025-02-19T00:00:00"/>
    <d v="2025-02-20T00:00:00"/>
    <x v="1"/>
    <s v="App"/>
    <n v="3"/>
    <s v="California"/>
    <s v="Sacramento County"/>
    <n v="1"/>
    <n v="8"/>
    <x v="1"/>
  </r>
  <r>
    <x v="1302"/>
    <x v="2"/>
    <n v="1"/>
    <n v="190.4"/>
    <n v="190.4"/>
    <d v="2025-02-19T00:00:00"/>
    <d v="2025-02-24T00:00:00"/>
    <x v="1"/>
    <s v="Website"/>
    <n v="2"/>
    <s v="California"/>
    <s v="Sacramento County"/>
    <n v="5"/>
    <n v="8"/>
    <x v="1"/>
  </r>
  <r>
    <x v="1303"/>
    <x v="2"/>
    <n v="1"/>
    <n v="121.9"/>
    <n v="121.9"/>
    <d v="2025-02-19T00:00:00"/>
    <d v="2025-02-21T00:00:00"/>
    <x v="2"/>
    <s v="Website"/>
    <n v="5"/>
    <s v="California"/>
    <s v="Sacramento County"/>
    <n v="2"/>
    <n v="8"/>
    <x v="2"/>
  </r>
  <r>
    <x v="1304"/>
    <x v="2"/>
    <n v="6"/>
    <n v="149.19999999999999"/>
    <n v="895.19999999999993"/>
    <d v="2025-02-19T00:00:00"/>
    <d v="2025-02-20T00:00:00"/>
    <x v="2"/>
    <s v="Target.com"/>
    <n v="5"/>
    <s v="California"/>
    <s v="San Bernardino County"/>
    <n v="1"/>
    <n v="8"/>
    <x v="2"/>
  </r>
  <r>
    <x v="1305"/>
    <x v="2"/>
    <n v="1"/>
    <n v="54.1"/>
    <n v="54.1"/>
    <d v="2025-02-19T00:00:00"/>
    <d v="2025-02-28T00:00:00"/>
    <x v="2"/>
    <s v="Target.com"/>
    <n v="5"/>
    <s v="California"/>
    <s v="San Bernardino County"/>
    <n v="9"/>
    <n v="8"/>
    <x v="2"/>
  </r>
  <r>
    <x v="1306"/>
    <x v="5"/>
    <n v="2"/>
    <n v="27.4"/>
    <n v="54.8"/>
    <d v="2025-02-19T00:00:00"/>
    <d v="2025-02-21T00:00:00"/>
    <x v="1"/>
    <s v="Website"/>
    <n v="4"/>
    <s v="California"/>
    <s v="San Diego County"/>
    <n v="2"/>
    <n v="8"/>
    <x v="1"/>
  </r>
  <r>
    <x v="1307"/>
    <x v="0"/>
    <n v="13"/>
    <n v="30.4"/>
    <n v="395.2"/>
    <d v="2025-02-19T00:00:00"/>
    <d v="2025-02-20T00:00:00"/>
    <x v="2"/>
    <s v="App"/>
    <n v="5"/>
    <s v="California"/>
    <s v="San Diego County"/>
    <n v="1"/>
    <n v="8"/>
    <x v="2"/>
  </r>
  <r>
    <x v="1308"/>
    <x v="12"/>
    <n v="3"/>
    <n v="46.2"/>
    <n v="138.60000000000002"/>
    <d v="2025-02-19T00:00:00"/>
    <d v="2025-02-21T00:00:00"/>
    <x v="1"/>
    <s v="Target.com"/>
    <n v="3"/>
    <s v="California"/>
    <s v="San Francisco"/>
    <n v="2"/>
    <n v="8"/>
    <x v="1"/>
  </r>
  <r>
    <x v="1309"/>
    <x v="7"/>
    <n v="8"/>
    <n v="78.599999999999994"/>
    <n v="628.79999999999995"/>
    <d v="2025-02-19T00:00:00"/>
    <d v="2025-02-23T00:00:00"/>
    <x v="1"/>
    <s v="Instagram"/>
    <n v="4"/>
    <s v="California"/>
    <s v="San Francisco"/>
    <n v="4"/>
    <n v="8"/>
    <x v="1"/>
  </r>
  <r>
    <x v="1310"/>
    <x v="17"/>
    <n v="10"/>
    <n v="25.9"/>
    <n v="259"/>
    <d v="2025-02-19T00:00:00"/>
    <d v="2025-02-25T00:00:00"/>
    <x v="1"/>
    <s v="Partner App"/>
    <n v="4"/>
    <s v="California"/>
    <s v="San Mateo County"/>
    <n v="6"/>
    <n v="8"/>
    <x v="1"/>
  </r>
  <r>
    <x v="1311"/>
    <x v="6"/>
    <n v="1"/>
    <n v="134.80000000000001"/>
    <n v="134.80000000000001"/>
    <d v="2025-02-19T00:00:00"/>
    <d v="2025-02-21T00:00:00"/>
    <x v="1"/>
    <s v="Target.com"/>
    <n v="5"/>
    <s v="California"/>
    <s v="San Mateo County"/>
    <n v="2"/>
    <n v="8"/>
    <x v="1"/>
  </r>
  <r>
    <x v="1312"/>
    <x v="15"/>
    <n v="5"/>
    <n v="43.1"/>
    <n v="215.5"/>
    <d v="2025-02-19T00:00:00"/>
    <d v="2025-02-21T00:00:00"/>
    <x v="2"/>
    <s v="App"/>
    <n v="4"/>
    <s v="California"/>
    <s v="Santa Clara County"/>
    <n v="2"/>
    <n v="8"/>
    <x v="2"/>
  </r>
  <r>
    <x v="1313"/>
    <x v="2"/>
    <n v="2"/>
    <n v="215.6"/>
    <n v="431.2"/>
    <d v="2025-02-19T00:00:00"/>
    <d v="2025-02-20T00:00:00"/>
    <x v="2"/>
    <s v="Target.com"/>
    <n v="4"/>
    <s v="California"/>
    <s v="Sonoma County"/>
    <n v="1"/>
    <n v="8"/>
    <x v="2"/>
  </r>
  <r>
    <x v="1314"/>
    <x v="6"/>
    <n v="2"/>
    <n v="80.7"/>
    <n v="161.4"/>
    <d v="2025-02-19T00:00:00"/>
    <d v="2025-02-22T00:00:00"/>
    <x v="2"/>
    <s v="Instagram"/>
    <n v="4"/>
    <s v="California"/>
    <s v="Sonoma County"/>
    <n v="3"/>
    <n v="8"/>
    <x v="2"/>
  </r>
  <r>
    <x v="1315"/>
    <x v="10"/>
    <n v="7"/>
    <n v="20.6"/>
    <n v="144.20000000000002"/>
    <d v="2025-02-19T00:00:00"/>
    <d v="2025-02-24T00:00:00"/>
    <x v="0"/>
    <s v="Target.com"/>
    <n v="3"/>
    <s v="California"/>
    <s v="Stanislaus County"/>
    <n v="5"/>
    <n v="8"/>
    <x v="0"/>
  </r>
  <r>
    <x v="1316"/>
    <x v="12"/>
    <n v="3"/>
    <n v="37.1"/>
    <n v="111.30000000000001"/>
    <d v="2025-02-19T00:00:00"/>
    <d v="2025-02-20T00:00:00"/>
    <x v="2"/>
    <s v="App"/>
    <n v="4"/>
    <s v="California"/>
    <s v="Tuolumne County"/>
    <n v="1"/>
    <n v="8"/>
    <x v="2"/>
  </r>
  <r>
    <x v="1317"/>
    <x v="12"/>
    <n v="1"/>
    <n v="104.8"/>
    <n v="104.8"/>
    <d v="2025-02-20T00:00:00"/>
    <d v="2025-02-22T00:00:00"/>
    <x v="2"/>
    <s v="App"/>
    <n v="4"/>
    <s v="California"/>
    <s v="Ventura County"/>
    <n v="2"/>
    <n v="8"/>
    <x v="2"/>
  </r>
  <r>
    <x v="1318"/>
    <x v="8"/>
    <n v="2"/>
    <n v="59"/>
    <n v="118"/>
    <d v="2025-02-20T00:00:00"/>
    <d v="2025-02-21T00:00:00"/>
    <x v="1"/>
    <s v="Website"/>
    <n v="4"/>
    <s v="California"/>
    <s v="Alameda County"/>
    <n v="1"/>
    <n v="8"/>
    <x v="1"/>
  </r>
  <r>
    <x v="1319"/>
    <x v="8"/>
    <n v="2"/>
    <n v="32.299999999999997"/>
    <n v="64.599999999999994"/>
    <d v="2025-02-20T00:00:00"/>
    <d v="2025-02-21T00:00:00"/>
    <x v="1"/>
    <s v="App"/>
    <n v="5"/>
    <s v="California"/>
    <s v="Alameda County"/>
    <n v="1"/>
    <n v="8"/>
    <x v="1"/>
  </r>
  <r>
    <x v="1320"/>
    <x v="8"/>
    <n v="4"/>
    <n v="28.9"/>
    <n v="115.6"/>
    <d v="2025-02-20T00:00:00"/>
    <d v="2025-02-27T00:00:00"/>
    <x v="1"/>
    <s v="App"/>
    <n v="4"/>
    <s v="California"/>
    <s v="Contra Costa County"/>
    <n v="7"/>
    <n v="8"/>
    <x v="1"/>
  </r>
  <r>
    <x v="1321"/>
    <x v="0"/>
    <n v="2"/>
    <n v="29.6"/>
    <n v="59.2"/>
    <d v="2025-02-20T00:00:00"/>
    <d v="2025-02-22T00:00:00"/>
    <x v="1"/>
    <s v="App"/>
    <n v="4"/>
    <s v="California"/>
    <s v="Contra Costa County"/>
    <n v="2"/>
    <n v="8"/>
    <x v="1"/>
  </r>
  <r>
    <x v="1322"/>
    <x v="0"/>
    <n v="5"/>
    <n v="29.4"/>
    <n v="147"/>
    <d v="2025-02-20T00:00:00"/>
    <d v="2025-02-23T00:00:00"/>
    <x v="2"/>
    <s v="App"/>
    <n v="4"/>
    <s v="California"/>
    <s v="Contra Costa County"/>
    <n v="3"/>
    <n v="8"/>
    <x v="2"/>
  </r>
  <r>
    <x v="1323"/>
    <x v="1"/>
    <n v="2"/>
    <n v="40.6"/>
    <n v="81.2"/>
    <d v="2025-02-20T00:00:00"/>
    <d v="2025-02-21T00:00:00"/>
    <x v="1"/>
    <s v="App"/>
    <n v="2"/>
    <s v="California"/>
    <s v="Fresno County"/>
    <n v="1"/>
    <n v="8"/>
    <x v="1"/>
  </r>
  <r>
    <x v="1324"/>
    <x v="0"/>
    <n v="3"/>
    <n v="32.5"/>
    <n v="97.5"/>
    <d v="2025-02-20T00:00:00"/>
    <d v="2025-02-21T00:00:00"/>
    <x v="1"/>
    <s v="Instagram"/>
    <n v="5"/>
    <s v="California"/>
    <s v="Kern County"/>
    <n v="1"/>
    <n v="8"/>
    <x v="1"/>
  </r>
  <r>
    <x v="1325"/>
    <x v="15"/>
    <n v="1"/>
    <n v="26.2"/>
    <n v="26.2"/>
    <d v="2025-02-20T00:00:00"/>
    <d v="2025-02-22T00:00:00"/>
    <x v="1"/>
    <s v="Target.com"/>
    <n v="4"/>
    <s v="California"/>
    <s v="Lassen County"/>
    <n v="2"/>
    <n v="8"/>
    <x v="1"/>
  </r>
  <r>
    <x v="1326"/>
    <x v="10"/>
    <n v="30"/>
    <n v="44"/>
    <n v="1320"/>
    <d v="2025-02-20T00:00:00"/>
    <d v="2025-02-26T00:00:00"/>
    <x v="1"/>
    <s v="Partner App"/>
    <n v="4"/>
    <s v="California"/>
    <s v="Los Angeles County"/>
    <n v="6"/>
    <n v="8"/>
    <x v="1"/>
  </r>
  <r>
    <x v="1327"/>
    <x v="7"/>
    <n v="4"/>
    <n v="65.599999999999994"/>
    <n v="262.39999999999998"/>
    <d v="2025-02-20T00:00:00"/>
    <d v="2025-02-21T00:00:00"/>
    <x v="2"/>
    <s v="Website"/>
    <n v="3"/>
    <s v="California"/>
    <s v="Los Angeles County"/>
    <n v="1"/>
    <n v="8"/>
    <x v="2"/>
  </r>
  <r>
    <x v="1328"/>
    <x v="5"/>
    <n v="12"/>
    <n v="32.6"/>
    <n v="391.20000000000005"/>
    <d v="2025-02-20T00:00:00"/>
    <d v="2025-02-21T00:00:00"/>
    <x v="1"/>
    <s v="Partner App"/>
    <n v="4"/>
    <s v="California"/>
    <s v="Los Angeles County"/>
    <n v="1"/>
    <n v="8"/>
    <x v="1"/>
  </r>
  <r>
    <x v="1329"/>
    <x v="16"/>
    <n v="2"/>
    <n v="88.7"/>
    <n v="177.4"/>
    <d v="2025-02-20T00:00:00"/>
    <d v="2025-02-21T00:00:00"/>
    <x v="0"/>
    <s v="Instagram"/>
    <n v="5"/>
    <s v="California"/>
    <s v="Los Angeles County"/>
    <n v="1"/>
    <n v="8"/>
    <x v="0"/>
  </r>
  <r>
    <x v="1330"/>
    <x v="4"/>
    <n v="2"/>
    <n v="21.3"/>
    <n v="42.6"/>
    <d v="2025-02-20T00:00:00"/>
    <d v="2025-02-21T00:00:00"/>
    <x v="1"/>
    <s v="App"/>
    <n v="4"/>
    <s v="California"/>
    <s v="Los Angeles County"/>
    <n v="1"/>
    <n v="8"/>
    <x v="1"/>
  </r>
  <r>
    <x v="1331"/>
    <x v="4"/>
    <n v="6"/>
    <n v="50.6"/>
    <n v="303.60000000000002"/>
    <d v="2025-02-20T00:00:00"/>
    <d v="2025-02-24T00:00:00"/>
    <x v="2"/>
    <s v="Target.com"/>
    <n v="4"/>
    <s v="California"/>
    <s v="Los Angeles County"/>
    <n v="4"/>
    <n v="8"/>
    <x v="2"/>
  </r>
  <r>
    <x v="1332"/>
    <x v="9"/>
    <n v="21"/>
    <n v="86.9"/>
    <n v="1824.9"/>
    <d v="2025-02-20T00:00:00"/>
    <d v="2025-02-23T00:00:00"/>
    <x v="2"/>
    <s v="App"/>
    <n v="3"/>
    <s v="California"/>
    <s v="Los Angeles County"/>
    <n v="3"/>
    <n v="8"/>
    <x v="2"/>
  </r>
  <r>
    <x v="1333"/>
    <x v="11"/>
    <n v="3"/>
    <n v="31.8"/>
    <n v="95.4"/>
    <d v="2025-02-20T00:00:00"/>
    <d v="2025-02-22T00:00:00"/>
    <x v="1"/>
    <s v="App"/>
    <n v="5"/>
    <s v="California"/>
    <s v="Los Angeles County"/>
    <n v="2"/>
    <n v="8"/>
    <x v="1"/>
  </r>
  <r>
    <x v="1334"/>
    <x v="8"/>
    <n v="1"/>
    <n v="19"/>
    <n v="19"/>
    <d v="2025-02-20T00:00:00"/>
    <d v="2025-02-21T00:00:00"/>
    <x v="2"/>
    <s v="App"/>
    <n v="5"/>
    <s v="California"/>
    <s v="Los Angeles County"/>
    <n v="1"/>
    <n v="8"/>
    <x v="2"/>
  </r>
  <r>
    <x v="1335"/>
    <x v="5"/>
    <n v="1"/>
    <n v="54.5"/>
    <n v="54.5"/>
    <d v="2025-02-20T00:00:00"/>
    <d v="2025-02-22T00:00:00"/>
    <x v="1"/>
    <s v="App"/>
    <n v="4"/>
    <s v="California"/>
    <s v="Los Angeles County"/>
    <n v="2"/>
    <n v="8"/>
    <x v="1"/>
  </r>
  <r>
    <x v="1336"/>
    <x v="9"/>
    <n v="5"/>
    <n v="68.900000000000006"/>
    <n v="344.5"/>
    <d v="2025-02-20T00:00:00"/>
    <d v="2025-02-22T00:00:00"/>
    <x v="1"/>
    <s v="Partner App"/>
    <n v="3"/>
    <s v="California"/>
    <s v="Los Angeles County"/>
    <n v="2"/>
    <n v="8"/>
    <x v="1"/>
  </r>
  <r>
    <x v="1337"/>
    <x v="6"/>
    <n v="3"/>
    <n v="84"/>
    <n v="252"/>
    <d v="2025-02-20T00:00:00"/>
    <d v="2025-02-21T00:00:00"/>
    <x v="1"/>
    <s v="Website"/>
    <n v="2"/>
    <s v="California"/>
    <s v="Napa County"/>
    <n v="1"/>
    <n v="8"/>
    <x v="1"/>
  </r>
  <r>
    <x v="1338"/>
    <x v="15"/>
    <n v="8"/>
    <n v="23.1"/>
    <n v="184.8"/>
    <d v="2025-02-20T00:00:00"/>
    <d v="2025-02-25T00:00:00"/>
    <x v="1"/>
    <s v="App"/>
    <n v="5"/>
    <s v="California"/>
    <s v="Riverside County"/>
    <n v="5"/>
    <n v="8"/>
    <x v="1"/>
  </r>
  <r>
    <x v="1339"/>
    <x v="7"/>
    <n v="2"/>
    <n v="62.4"/>
    <n v="124.8"/>
    <d v="2025-02-20T00:00:00"/>
    <d v="2025-02-21T00:00:00"/>
    <x v="2"/>
    <s v="App"/>
    <n v="3"/>
    <s v="California"/>
    <s v="Sacramento County"/>
    <n v="1"/>
    <n v="8"/>
    <x v="2"/>
  </r>
  <r>
    <x v="1340"/>
    <x v="6"/>
    <n v="12"/>
    <n v="40.700000000000003"/>
    <n v="488.40000000000003"/>
    <d v="2025-02-20T00:00:00"/>
    <d v="2025-02-22T00:00:00"/>
    <x v="1"/>
    <s v="Website"/>
    <n v="5"/>
    <s v="California"/>
    <s v="Sacramento County"/>
    <n v="2"/>
    <n v="8"/>
    <x v="1"/>
  </r>
  <r>
    <x v="1341"/>
    <x v="6"/>
    <n v="1"/>
    <n v="49.6"/>
    <n v="49.6"/>
    <d v="2025-02-20T00:00:00"/>
    <d v="2025-02-23T00:00:00"/>
    <x v="1"/>
    <s v="Target.com"/>
    <n v="4"/>
    <s v="California"/>
    <s v="San Bernardino County"/>
    <n v="3"/>
    <n v="8"/>
    <x v="1"/>
  </r>
  <r>
    <x v="1342"/>
    <x v="7"/>
    <n v="45"/>
    <n v="66.599999999999994"/>
    <n v="2996.9999999999995"/>
    <d v="2025-02-20T00:00:00"/>
    <d v="2025-02-23T00:00:00"/>
    <x v="1"/>
    <s v="Target.com"/>
    <n v="4"/>
    <s v="California"/>
    <s v="San Diego County"/>
    <n v="3"/>
    <n v="8"/>
    <x v="1"/>
  </r>
  <r>
    <x v="1343"/>
    <x v="8"/>
    <n v="3"/>
    <n v="26.4"/>
    <n v="79.199999999999989"/>
    <d v="2025-02-20T00:00:00"/>
    <d v="2025-02-21T00:00:00"/>
    <x v="2"/>
    <s v="Website"/>
    <n v="3"/>
    <s v="California"/>
    <s v="San Diego County"/>
    <n v="1"/>
    <n v="8"/>
    <x v="2"/>
  </r>
  <r>
    <x v="1344"/>
    <x v="0"/>
    <n v="2"/>
    <n v="17.2"/>
    <n v="34.4"/>
    <d v="2025-02-20T00:00:00"/>
    <d v="2025-02-23T00:00:00"/>
    <x v="1"/>
    <s v="Target.com"/>
    <n v="3"/>
    <s v="California"/>
    <s v="San Diego County"/>
    <n v="3"/>
    <n v="8"/>
    <x v="1"/>
  </r>
  <r>
    <x v="1345"/>
    <x v="5"/>
    <n v="8"/>
    <n v="58.1"/>
    <n v="464.8"/>
    <d v="2025-02-20T00:00:00"/>
    <d v="2025-02-23T00:00:00"/>
    <x v="2"/>
    <s v="Partner App"/>
    <n v="4"/>
    <s v="California"/>
    <s v="San Diego County"/>
    <n v="3"/>
    <n v="8"/>
    <x v="2"/>
  </r>
  <r>
    <x v="1346"/>
    <x v="15"/>
    <n v="4"/>
    <n v="31.5"/>
    <n v="126"/>
    <d v="2025-02-20T00:00:00"/>
    <d v="2025-02-23T00:00:00"/>
    <x v="2"/>
    <s v="Partner App"/>
    <n v="2"/>
    <s v="California"/>
    <s v="San Diego County"/>
    <n v="3"/>
    <n v="8"/>
    <x v="2"/>
  </r>
  <r>
    <x v="1347"/>
    <x v="0"/>
    <n v="1"/>
    <n v="27.1"/>
    <n v="27.1"/>
    <d v="2025-02-20T00:00:00"/>
    <d v="2025-02-22T00:00:00"/>
    <x v="2"/>
    <s v="App"/>
    <n v="3"/>
    <s v="California"/>
    <s v="San Francisco"/>
    <n v="2"/>
    <n v="8"/>
    <x v="2"/>
  </r>
  <r>
    <x v="1348"/>
    <x v="18"/>
    <n v="4"/>
    <n v="28.5"/>
    <n v="114"/>
    <d v="2025-02-20T00:00:00"/>
    <d v="2025-02-22T00:00:00"/>
    <x v="1"/>
    <s v="Website"/>
    <n v="5"/>
    <s v="California"/>
    <s v="San Mateo County"/>
    <n v="2"/>
    <n v="8"/>
    <x v="1"/>
  </r>
  <r>
    <x v="1349"/>
    <x v="10"/>
    <n v="1"/>
    <n v="40.5"/>
    <n v="40.5"/>
    <d v="2025-02-21T00:00:00"/>
    <d v="2025-02-23T00:00:00"/>
    <x v="3"/>
    <s v="Target.com"/>
    <n v="4"/>
    <s v="California"/>
    <s v="San Mateo County"/>
    <n v="2"/>
    <n v="8"/>
    <x v="3"/>
  </r>
  <r>
    <x v="1350"/>
    <x v="2"/>
    <n v="3"/>
    <n v="77.900000000000006"/>
    <n v="233.70000000000002"/>
    <d v="2025-02-21T00:00:00"/>
    <d v="2025-02-25T00:00:00"/>
    <x v="2"/>
    <s v="Website"/>
    <n v="5"/>
    <s v="California"/>
    <s v="Stanislaus County"/>
    <n v="4"/>
    <n v="8"/>
    <x v="2"/>
  </r>
  <r>
    <x v="1351"/>
    <x v="18"/>
    <n v="4"/>
    <n v="37.1"/>
    <n v="148.4"/>
    <d v="2025-02-21T00:00:00"/>
    <d v="2025-02-23T00:00:00"/>
    <x v="1"/>
    <s v="Partner App"/>
    <n v="5"/>
    <s v="California"/>
    <s v="Stanislaus County"/>
    <n v="2"/>
    <n v="8"/>
    <x v="1"/>
  </r>
  <r>
    <x v="1352"/>
    <x v="16"/>
    <n v="3"/>
    <n v="51.6"/>
    <n v="154.80000000000001"/>
    <d v="2025-02-21T00:00:00"/>
    <d v="2025-03-01T00:00:00"/>
    <x v="2"/>
    <s v="App"/>
    <n v="2"/>
    <s v="California"/>
    <s v="Stanislaus County"/>
    <n v="8"/>
    <n v="8"/>
    <x v="2"/>
  </r>
  <r>
    <x v="1353"/>
    <x v="7"/>
    <n v="3"/>
    <n v="98"/>
    <n v="294"/>
    <d v="2025-02-21T00:00:00"/>
    <d v="2025-02-22T00:00:00"/>
    <x v="1"/>
    <s v="Website"/>
    <n v="3"/>
    <s v="California"/>
    <s v="Stanislaus County"/>
    <n v="1"/>
    <n v="8"/>
    <x v="1"/>
  </r>
  <r>
    <x v="1354"/>
    <x v="6"/>
    <n v="7"/>
    <n v="41.4"/>
    <n v="289.8"/>
    <d v="2025-02-21T00:00:00"/>
    <d v="2025-02-22T00:00:00"/>
    <x v="1"/>
    <s v="Website"/>
    <n v="4"/>
    <s v="California"/>
    <s v="Tulare County"/>
    <n v="1"/>
    <n v="8"/>
    <x v="1"/>
  </r>
  <r>
    <x v="1355"/>
    <x v="11"/>
    <n v="8"/>
    <n v="34"/>
    <n v="272"/>
    <d v="2025-02-21T00:00:00"/>
    <d v="2025-02-26T00:00:00"/>
    <x v="2"/>
    <s v="App"/>
    <n v="5"/>
    <s v="California"/>
    <s v="Tuolumne County"/>
    <n v="5"/>
    <n v="8"/>
    <x v="2"/>
  </r>
  <r>
    <x v="1356"/>
    <x v="6"/>
    <n v="1"/>
    <n v="66.3"/>
    <n v="66.3"/>
    <d v="2025-02-21T00:00:00"/>
    <d v="2025-02-22T00:00:00"/>
    <x v="2"/>
    <s v="Website"/>
    <n v="4"/>
    <s v="California"/>
    <s v="Ventura County"/>
    <n v="1"/>
    <n v="8"/>
    <x v="2"/>
  </r>
  <r>
    <x v="1357"/>
    <x v="7"/>
    <n v="1"/>
    <n v="33.5"/>
    <n v="33.5"/>
    <d v="2025-02-21T00:00:00"/>
    <d v="2025-02-25T00:00:00"/>
    <x v="1"/>
    <s v="Target.com"/>
    <n v="4"/>
    <s v="California"/>
    <s v="Ventura County"/>
    <n v="4"/>
    <n v="8"/>
    <x v="1"/>
  </r>
  <r>
    <x v="1358"/>
    <x v="12"/>
    <n v="2"/>
    <n v="70.8"/>
    <n v="141.6"/>
    <d v="2025-02-21T00:00:00"/>
    <d v="2025-02-22T00:00:00"/>
    <x v="0"/>
    <s v="App"/>
    <n v="4"/>
    <s v="California"/>
    <s v="Yolo County"/>
    <n v="1"/>
    <n v="8"/>
    <x v="0"/>
  </r>
  <r>
    <x v="1359"/>
    <x v="6"/>
    <n v="2"/>
    <n v="127.6"/>
    <n v="255.2"/>
    <d v="2025-02-21T00:00:00"/>
    <d v="2025-02-22T00:00:00"/>
    <x v="1"/>
    <s v="App"/>
    <n v="4"/>
    <s v="California"/>
    <s v="Alameda County"/>
    <n v="1"/>
    <n v="8"/>
    <x v="1"/>
  </r>
  <r>
    <x v="1360"/>
    <x v="6"/>
    <n v="3"/>
    <n v="95.9"/>
    <n v="287.70000000000005"/>
    <d v="2025-02-21T00:00:00"/>
    <d v="2025-02-22T00:00:00"/>
    <x v="2"/>
    <s v="Website"/>
    <n v="3"/>
    <s v="California"/>
    <s v="Alameda County"/>
    <n v="1"/>
    <n v="8"/>
    <x v="2"/>
  </r>
  <r>
    <x v="1361"/>
    <x v="2"/>
    <n v="2"/>
    <n v="78.099999999999994"/>
    <n v="156.19999999999999"/>
    <d v="2025-02-21T00:00:00"/>
    <d v="2025-02-22T00:00:00"/>
    <x v="1"/>
    <s v="App"/>
    <n v="4"/>
    <s v="California"/>
    <s v="Contra Costa County"/>
    <n v="1"/>
    <n v="8"/>
    <x v="1"/>
  </r>
  <r>
    <x v="1362"/>
    <x v="13"/>
    <n v="2"/>
    <n v="43.2"/>
    <n v="86.4"/>
    <d v="2025-02-21T00:00:00"/>
    <d v="2025-02-22T00:00:00"/>
    <x v="0"/>
    <s v="Website"/>
    <n v="3"/>
    <s v="California"/>
    <s v="Contra Costa County"/>
    <n v="1"/>
    <n v="8"/>
    <x v="0"/>
  </r>
  <r>
    <x v="1363"/>
    <x v="8"/>
    <n v="4"/>
    <n v="28.4"/>
    <n v="113.6"/>
    <d v="2025-02-21T00:00:00"/>
    <d v="2025-02-27T00:00:00"/>
    <x v="1"/>
    <s v="Target.com"/>
    <n v="4"/>
    <s v="California"/>
    <s v="Los Angeles County"/>
    <n v="6"/>
    <n v="8"/>
    <x v="1"/>
  </r>
  <r>
    <x v="1364"/>
    <x v="2"/>
    <n v="2"/>
    <n v="81.7"/>
    <n v="163.4"/>
    <d v="2025-02-21T00:00:00"/>
    <d v="2025-02-21T00:00:00"/>
    <x v="1"/>
    <s v="App"/>
    <n v="4"/>
    <s v="California"/>
    <s v="Los Angeles County"/>
    <n v="0"/>
    <n v="8"/>
    <x v="1"/>
  </r>
  <r>
    <x v="1365"/>
    <x v="18"/>
    <n v="2"/>
    <n v="56.7"/>
    <n v="113.4"/>
    <d v="2025-02-21T00:00:00"/>
    <d v="2025-02-23T00:00:00"/>
    <x v="0"/>
    <s v="App"/>
    <n v="5"/>
    <s v="California"/>
    <s v="Los Angeles County"/>
    <n v="2"/>
    <n v="8"/>
    <x v="0"/>
  </r>
  <r>
    <x v="1366"/>
    <x v="3"/>
    <n v="4"/>
    <n v="66.5"/>
    <n v="266"/>
    <d v="2025-02-21T00:00:00"/>
    <d v="2025-02-21T00:00:00"/>
    <x v="2"/>
    <s v="App"/>
    <n v="5"/>
    <s v="California"/>
    <s v="Los Angeles County"/>
    <n v="0"/>
    <n v="8"/>
    <x v="2"/>
  </r>
  <r>
    <x v="1367"/>
    <x v="1"/>
    <n v="2"/>
    <n v="105.3"/>
    <n v="210.6"/>
    <d v="2025-02-21T00:00:00"/>
    <d v="2025-02-25T00:00:00"/>
    <x v="1"/>
    <s v="App"/>
    <n v="3"/>
    <s v="California"/>
    <s v="Los Angeles County"/>
    <n v="4"/>
    <n v="8"/>
    <x v="1"/>
  </r>
  <r>
    <x v="1368"/>
    <x v="10"/>
    <n v="5"/>
    <n v="33.799999999999997"/>
    <n v="169"/>
    <d v="2025-02-21T00:00:00"/>
    <d v="2025-02-26T00:00:00"/>
    <x v="1"/>
    <s v="App"/>
    <n v="4"/>
    <s v="California"/>
    <s v="Los Angeles County"/>
    <n v="5"/>
    <n v="8"/>
    <x v="1"/>
  </r>
  <r>
    <x v="1369"/>
    <x v="6"/>
    <n v="3"/>
    <n v="63.4"/>
    <n v="190.2"/>
    <d v="2025-02-21T00:00:00"/>
    <d v="2025-02-26T00:00:00"/>
    <x v="1"/>
    <s v="Instagram"/>
    <n v="3"/>
    <s v="California"/>
    <s v="Merced County"/>
    <n v="5"/>
    <n v="8"/>
    <x v="1"/>
  </r>
  <r>
    <x v="1370"/>
    <x v="6"/>
    <n v="3"/>
    <n v="49"/>
    <n v="147"/>
    <d v="2025-02-21T00:00:00"/>
    <d v="2025-02-25T00:00:00"/>
    <x v="1"/>
    <s v="Instagram"/>
    <n v="4"/>
    <s v="California"/>
    <s v="Monterey County"/>
    <n v="4"/>
    <n v="8"/>
    <x v="1"/>
  </r>
  <r>
    <x v="1371"/>
    <x v="1"/>
    <n v="2"/>
    <n v="40"/>
    <n v="80"/>
    <d v="2025-02-21T00:00:00"/>
    <d v="2025-02-22T00:00:00"/>
    <x v="2"/>
    <s v="Partner App"/>
    <n v="3"/>
    <s v="California"/>
    <s v="Riverside County"/>
    <n v="1"/>
    <n v="8"/>
    <x v="2"/>
  </r>
  <r>
    <x v="1372"/>
    <x v="6"/>
    <n v="4"/>
    <n v="86.3"/>
    <n v="345.2"/>
    <d v="2025-02-21T00:00:00"/>
    <d v="2025-02-22T00:00:00"/>
    <x v="3"/>
    <s v="App"/>
    <n v="4"/>
    <s v="California"/>
    <s v="Sacramento County"/>
    <n v="1"/>
    <n v="8"/>
    <x v="3"/>
  </r>
  <r>
    <x v="1373"/>
    <x v="6"/>
    <n v="1"/>
    <n v="51.6"/>
    <n v="51.6"/>
    <d v="2025-02-21T00:00:00"/>
    <d v="2025-02-23T00:00:00"/>
    <x v="2"/>
    <s v="Target.com"/>
    <n v="5"/>
    <s v="California"/>
    <s v="Sacramento County"/>
    <n v="2"/>
    <n v="8"/>
    <x v="2"/>
  </r>
  <r>
    <x v="1374"/>
    <x v="10"/>
    <n v="3"/>
    <n v="26.7"/>
    <n v="80.099999999999994"/>
    <d v="2025-02-21T00:00:00"/>
    <d v="2025-02-26T00:00:00"/>
    <x v="2"/>
    <s v="Target.com"/>
    <n v="3"/>
    <s v="California"/>
    <s v="Sacramento County"/>
    <n v="5"/>
    <n v="8"/>
    <x v="2"/>
  </r>
  <r>
    <x v="1375"/>
    <x v="18"/>
    <n v="2"/>
    <n v="68.099999999999994"/>
    <n v="136.19999999999999"/>
    <d v="2025-02-21T00:00:00"/>
    <d v="2025-02-22T00:00:00"/>
    <x v="1"/>
    <s v="App"/>
    <n v="3"/>
    <s v="California"/>
    <s v="Sacramento County"/>
    <n v="1"/>
    <n v="8"/>
    <x v="1"/>
  </r>
  <r>
    <x v="1376"/>
    <x v="1"/>
    <n v="1"/>
    <n v="81.7"/>
    <n v="81.7"/>
    <d v="2025-02-21T00:00:00"/>
    <d v="2025-02-22T00:00:00"/>
    <x v="1"/>
    <s v="App"/>
    <n v="4"/>
    <s v="California"/>
    <s v="San Bernardino County"/>
    <n v="1"/>
    <n v="8"/>
    <x v="1"/>
  </r>
  <r>
    <x v="1377"/>
    <x v="18"/>
    <n v="10"/>
    <n v="25.1"/>
    <n v="251"/>
    <d v="2025-02-21T00:00:00"/>
    <d v="2025-02-24T00:00:00"/>
    <x v="1"/>
    <s v="Instagram"/>
    <n v="3"/>
    <s v="California"/>
    <s v="San Diego County"/>
    <n v="3"/>
    <n v="8"/>
    <x v="1"/>
  </r>
  <r>
    <x v="1378"/>
    <x v="8"/>
    <n v="1"/>
    <n v="20.2"/>
    <n v="20.2"/>
    <d v="2025-02-21T00:00:00"/>
    <d v="2025-02-25T00:00:00"/>
    <x v="2"/>
    <s v="App"/>
    <n v="4"/>
    <s v="California"/>
    <s v="San Diego County"/>
    <n v="4"/>
    <n v="8"/>
    <x v="2"/>
  </r>
  <r>
    <x v="1379"/>
    <x v="8"/>
    <n v="3"/>
    <n v="15.4"/>
    <n v="46.2"/>
    <d v="2025-02-21T00:00:00"/>
    <d v="2025-02-22T00:00:00"/>
    <x v="1"/>
    <s v="Website"/>
    <n v="5"/>
    <s v="California"/>
    <s v="San Diego County"/>
    <n v="1"/>
    <n v="8"/>
    <x v="1"/>
  </r>
  <r>
    <x v="1380"/>
    <x v="10"/>
    <n v="1"/>
    <n v="59.2"/>
    <n v="59.2"/>
    <d v="2025-02-21T00:00:00"/>
    <d v="2025-02-22T00:00:00"/>
    <x v="1"/>
    <s v="Target.com"/>
    <n v="5"/>
    <s v="California"/>
    <s v="San Francisco"/>
    <n v="1"/>
    <n v="8"/>
    <x v="1"/>
  </r>
  <r>
    <x v="1381"/>
    <x v="0"/>
    <n v="1"/>
    <n v="46.7"/>
    <n v="46.7"/>
    <d v="2025-02-21T00:00:00"/>
    <d v="2025-02-26T00:00:00"/>
    <x v="1"/>
    <s v="App"/>
    <n v="4"/>
    <s v="California"/>
    <s v="San Francisco"/>
    <n v="5"/>
    <n v="8"/>
    <x v="1"/>
  </r>
  <r>
    <x v="1382"/>
    <x v="6"/>
    <n v="15"/>
    <n v="41.6"/>
    <n v="624"/>
    <d v="2025-02-21T00:00:00"/>
    <d v="2025-02-23T00:00:00"/>
    <x v="1"/>
    <s v="Website"/>
    <n v="4"/>
    <s v="California"/>
    <s v="San Joaquin County"/>
    <n v="2"/>
    <n v="8"/>
    <x v="1"/>
  </r>
  <r>
    <x v="1383"/>
    <x v="8"/>
    <n v="2"/>
    <n v="19.2"/>
    <n v="38.4"/>
    <d v="2025-02-21T00:00:00"/>
    <d v="2025-02-24T00:00:00"/>
    <x v="1"/>
    <s v="Partner App"/>
    <n v="5"/>
    <s v="California"/>
    <s v="San Mateo County"/>
    <n v="3"/>
    <n v="8"/>
    <x v="1"/>
  </r>
  <r>
    <x v="1384"/>
    <x v="17"/>
    <n v="7"/>
    <n v="41.8"/>
    <n v="292.59999999999997"/>
    <d v="2025-02-21T00:00:00"/>
    <d v="2025-02-23T00:00:00"/>
    <x v="2"/>
    <s v="Target.com"/>
    <n v="4"/>
    <s v="California"/>
    <s v="Santa Clara County"/>
    <n v="2"/>
    <n v="8"/>
    <x v="2"/>
  </r>
  <r>
    <x v="1385"/>
    <x v="8"/>
    <n v="6"/>
    <n v="37.4"/>
    <n v="224.39999999999998"/>
    <d v="2025-02-21T00:00:00"/>
    <d v="2025-02-23T00:00:00"/>
    <x v="1"/>
    <s v="App"/>
    <n v="5"/>
    <s v="California"/>
    <s v="Santa Clara County"/>
    <n v="2"/>
    <n v="8"/>
    <x v="1"/>
  </r>
  <r>
    <x v="1386"/>
    <x v="10"/>
    <n v="3"/>
    <n v="60.2"/>
    <n v="180.60000000000002"/>
    <d v="2025-02-21T00:00:00"/>
    <d v="2025-02-24T00:00:00"/>
    <x v="1"/>
    <s v="Partner App"/>
    <n v="3"/>
    <s v="California"/>
    <s v="Solano County"/>
    <n v="3"/>
    <n v="8"/>
    <x v="1"/>
  </r>
  <r>
    <x v="1387"/>
    <x v="9"/>
    <n v="2"/>
    <n v="91.5"/>
    <n v="183"/>
    <d v="2025-02-22T00:00:00"/>
    <d v="2025-02-23T00:00:00"/>
    <x v="1"/>
    <s v="App"/>
    <n v="4"/>
    <s v="California"/>
    <s v="Ventura County"/>
    <n v="1"/>
    <n v="8"/>
    <x v="1"/>
  </r>
  <r>
    <x v="1388"/>
    <x v="3"/>
    <n v="5"/>
    <n v="55.7"/>
    <n v="278.5"/>
    <d v="2025-02-22T00:00:00"/>
    <d v="2025-02-24T00:00:00"/>
    <x v="0"/>
    <s v="Website"/>
    <n v="5"/>
    <s v="California"/>
    <s v="Alameda County"/>
    <n v="2"/>
    <n v="8"/>
    <x v="0"/>
  </r>
  <r>
    <x v="1389"/>
    <x v="7"/>
    <n v="2"/>
    <n v="76.7"/>
    <n v="153.4"/>
    <d v="2025-02-22T00:00:00"/>
    <d v="2025-02-24T00:00:00"/>
    <x v="1"/>
    <s v="App"/>
    <n v="3"/>
    <s v="California"/>
    <s v="Alameda County"/>
    <n v="2"/>
    <n v="8"/>
    <x v="1"/>
  </r>
  <r>
    <x v="1390"/>
    <x v="8"/>
    <n v="21"/>
    <n v="28.2"/>
    <n v="592.19999999999993"/>
    <d v="2025-02-22T00:00:00"/>
    <d v="2025-02-27T00:00:00"/>
    <x v="1"/>
    <s v="Target.com"/>
    <n v="4"/>
    <s v="California"/>
    <s v="Contra Costa County"/>
    <n v="5"/>
    <n v="8"/>
    <x v="1"/>
  </r>
  <r>
    <x v="1391"/>
    <x v="7"/>
    <n v="5"/>
    <n v="93.2"/>
    <n v="466"/>
    <d v="2025-02-22T00:00:00"/>
    <d v="2025-02-24T00:00:00"/>
    <x v="2"/>
    <s v="Partner App"/>
    <n v="5"/>
    <s v="California"/>
    <s v="Contra Costa County"/>
    <n v="2"/>
    <n v="8"/>
    <x v="2"/>
  </r>
  <r>
    <x v="1392"/>
    <x v="17"/>
    <n v="1"/>
    <n v="33.299999999999997"/>
    <n v="33.299999999999997"/>
    <d v="2025-02-22T00:00:00"/>
    <d v="2025-02-23T00:00:00"/>
    <x v="1"/>
    <s v="Partner App"/>
    <n v="4"/>
    <s v="California"/>
    <s v="Fresno County"/>
    <n v="1"/>
    <n v="8"/>
    <x v="1"/>
  </r>
  <r>
    <x v="1393"/>
    <x v="10"/>
    <n v="2"/>
    <n v="39.1"/>
    <n v="78.2"/>
    <d v="2025-02-22T00:00:00"/>
    <d v="2025-02-25T00:00:00"/>
    <x v="1"/>
    <s v="App"/>
    <n v="4"/>
    <s v="California"/>
    <s v="Humboldt County"/>
    <n v="3"/>
    <n v="8"/>
    <x v="1"/>
  </r>
  <r>
    <x v="1394"/>
    <x v="7"/>
    <n v="12"/>
    <n v="45.3"/>
    <n v="543.59999999999991"/>
    <d v="2025-02-22T00:00:00"/>
    <d v="2025-02-23T00:00:00"/>
    <x v="1"/>
    <s v="Target.com"/>
    <n v="4"/>
    <s v="California"/>
    <s v="Imperial County"/>
    <n v="1"/>
    <n v="8"/>
    <x v="1"/>
  </r>
  <r>
    <x v="1395"/>
    <x v="9"/>
    <n v="7"/>
    <n v="33.9"/>
    <n v="237.29999999999998"/>
    <d v="2025-02-22T00:00:00"/>
    <d v="2025-02-23T00:00:00"/>
    <x v="1"/>
    <s v="Partner App"/>
    <n v="4"/>
    <s v="California"/>
    <s v="Imperial County"/>
    <n v="1"/>
    <n v="8"/>
    <x v="1"/>
  </r>
  <r>
    <x v="1396"/>
    <x v="8"/>
    <n v="3"/>
    <n v="19"/>
    <n v="57"/>
    <d v="2025-02-22T00:00:00"/>
    <d v="2025-02-23T00:00:00"/>
    <x v="1"/>
    <s v="App"/>
    <n v="5"/>
    <s v="California"/>
    <s v="Inyo County"/>
    <n v="1"/>
    <n v="8"/>
    <x v="1"/>
  </r>
  <r>
    <x v="1397"/>
    <x v="4"/>
    <n v="1"/>
    <n v="41.9"/>
    <n v="41.9"/>
    <d v="2025-02-22T00:00:00"/>
    <d v="2025-02-25T00:00:00"/>
    <x v="2"/>
    <s v="Target.com"/>
    <n v="4"/>
    <s v="California"/>
    <s v="Kern County"/>
    <n v="3"/>
    <n v="8"/>
    <x v="2"/>
  </r>
  <r>
    <x v="1398"/>
    <x v="1"/>
    <n v="4"/>
    <n v="37.5"/>
    <n v="150"/>
    <d v="2025-02-22T00:00:00"/>
    <d v="2025-02-22T00:00:00"/>
    <x v="2"/>
    <s v="App"/>
    <n v="4"/>
    <s v="California"/>
    <s v="Los Angeles County"/>
    <n v="0"/>
    <n v="8"/>
    <x v="2"/>
  </r>
  <r>
    <x v="1399"/>
    <x v="0"/>
    <n v="2"/>
    <n v="40.799999999999997"/>
    <n v="81.599999999999994"/>
    <d v="2025-02-22T00:00:00"/>
    <d v="2025-02-25T00:00:00"/>
    <x v="1"/>
    <s v="App"/>
    <n v="4"/>
    <s v="California"/>
    <s v="Los Angeles County"/>
    <n v="3"/>
    <n v="8"/>
    <x v="1"/>
  </r>
  <r>
    <x v="1400"/>
    <x v="0"/>
    <n v="4"/>
    <n v="23.1"/>
    <n v="92.4"/>
    <d v="2025-02-22T00:00:00"/>
    <d v="2025-02-23T00:00:00"/>
    <x v="2"/>
    <s v="Partner App"/>
    <n v="4"/>
    <s v="California"/>
    <s v="Los Angeles County"/>
    <n v="1"/>
    <n v="8"/>
    <x v="2"/>
  </r>
  <r>
    <x v="1401"/>
    <x v="8"/>
    <n v="5"/>
    <n v="39.299999999999997"/>
    <n v="196.5"/>
    <d v="2025-02-22T00:00:00"/>
    <d v="2025-02-23T00:00:00"/>
    <x v="2"/>
    <s v="App"/>
    <n v="4"/>
    <s v="California"/>
    <s v="Los Angeles County"/>
    <n v="1"/>
    <n v="8"/>
    <x v="2"/>
  </r>
  <r>
    <x v="1402"/>
    <x v="2"/>
    <n v="4"/>
    <n v="85.2"/>
    <n v="340.8"/>
    <d v="2025-02-22T00:00:00"/>
    <d v="2025-02-27T00:00:00"/>
    <x v="1"/>
    <s v="Target.com"/>
    <n v="4"/>
    <s v="California"/>
    <s v="Los Angeles County"/>
    <n v="5"/>
    <n v="8"/>
    <x v="1"/>
  </r>
  <r>
    <x v="1403"/>
    <x v="8"/>
    <n v="6"/>
    <n v="16"/>
    <n v="96"/>
    <d v="2025-02-22T00:00:00"/>
    <d v="2025-02-25T00:00:00"/>
    <x v="1"/>
    <s v="Website"/>
    <n v="4"/>
    <s v="California"/>
    <s v="Los Angeles County"/>
    <n v="3"/>
    <n v="8"/>
    <x v="1"/>
  </r>
  <r>
    <x v="1404"/>
    <x v="1"/>
    <n v="2"/>
    <n v="33.799999999999997"/>
    <n v="67.599999999999994"/>
    <d v="2025-02-22T00:00:00"/>
    <d v="2025-02-26T00:00:00"/>
    <x v="2"/>
    <s v="Website"/>
    <n v="4"/>
    <s v="California"/>
    <s v="Los Angeles County"/>
    <n v="4"/>
    <n v="8"/>
    <x v="2"/>
  </r>
  <r>
    <x v="1405"/>
    <x v="3"/>
    <n v="1"/>
    <n v="70"/>
    <n v="70"/>
    <d v="2025-02-22T00:00:00"/>
    <d v="2025-02-23T00:00:00"/>
    <x v="2"/>
    <s v="App"/>
    <n v="4"/>
    <s v="California"/>
    <s v="Los Angeles County"/>
    <n v="1"/>
    <n v="8"/>
    <x v="2"/>
  </r>
  <r>
    <x v="1406"/>
    <x v="9"/>
    <n v="1"/>
    <n v="88"/>
    <n v="88"/>
    <d v="2025-02-22T00:00:00"/>
    <d v="2025-02-27T00:00:00"/>
    <x v="2"/>
    <s v="Instagram"/>
    <n v="4"/>
    <s v="California"/>
    <s v="Los Angeles County"/>
    <n v="5"/>
    <n v="8"/>
    <x v="2"/>
  </r>
  <r>
    <x v="1407"/>
    <x v="2"/>
    <n v="3"/>
    <n v="74.099999999999994"/>
    <n v="222.29999999999998"/>
    <d v="2025-02-22T00:00:00"/>
    <d v="2025-02-22T00:00:00"/>
    <x v="1"/>
    <s v="Partner App"/>
    <n v="3"/>
    <s v="California"/>
    <s v="Los Angeles County"/>
    <n v="0"/>
    <n v="8"/>
    <x v="1"/>
  </r>
  <r>
    <x v="1408"/>
    <x v="2"/>
    <n v="1"/>
    <n v="161.9"/>
    <n v="161.9"/>
    <d v="2025-02-22T00:00:00"/>
    <d v="2025-02-24T00:00:00"/>
    <x v="1"/>
    <s v="Target.com"/>
    <n v="4"/>
    <s v="California"/>
    <s v="Los Angeles County"/>
    <n v="2"/>
    <n v="8"/>
    <x v="1"/>
  </r>
  <r>
    <x v="1409"/>
    <x v="4"/>
    <n v="2"/>
    <n v="44"/>
    <n v="88"/>
    <d v="2025-02-22T00:00:00"/>
    <d v="2025-02-23T00:00:00"/>
    <x v="3"/>
    <s v="Partner App"/>
    <n v="3"/>
    <s v="California"/>
    <s v="Los Angeles County"/>
    <n v="1"/>
    <n v="8"/>
    <x v="3"/>
  </r>
  <r>
    <x v="1410"/>
    <x v="11"/>
    <n v="1"/>
    <n v="32.1"/>
    <n v="32.1"/>
    <d v="2025-02-22T00:00:00"/>
    <d v="2025-02-22T00:00:00"/>
    <x v="2"/>
    <s v="Instagram"/>
    <n v="1"/>
    <s v="California"/>
    <s v="Los Angeles County"/>
    <n v="0"/>
    <n v="8"/>
    <x v="2"/>
  </r>
  <r>
    <x v="1411"/>
    <x v="2"/>
    <n v="4"/>
    <n v="104.8"/>
    <n v="419.2"/>
    <d v="2025-02-23T00:00:00"/>
    <d v="2025-02-25T00:00:00"/>
    <x v="3"/>
    <s v="App"/>
    <n v="4"/>
    <s v="California"/>
    <s v="Los Angeles County"/>
    <n v="2"/>
    <n v="9"/>
    <x v="3"/>
  </r>
  <r>
    <x v="1412"/>
    <x v="9"/>
    <n v="6"/>
    <n v="67.400000000000006"/>
    <n v="404.40000000000003"/>
    <d v="2025-02-23T00:00:00"/>
    <d v="2025-02-24T00:00:00"/>
    <x v="2"/>
    <s v="Instagram"/>
    <n v="4"/>
    <s v="California"/>
    <s v="Los Angeles County"/>
    <n v="1"/>
    <n v="9"/>
    <x v="2"/>
  </r>
  <r>
    <x v="1413"/>
    <x v="6"/>
    <n v="2"/>
    <n v="115.2"/>
    <n v="230.4"/>
    <d v="2025-02-23T00:00:00"/>
    <d v="2025-02-24T00:00:00"/>
    <x v="2"/>
    <s v="Website"/>
    <n v="4"/>
    <s v="California"/>
    <s v="Nevada County"/>
    <n v="1"/>
    <n v="9"/>
    <x v="2"/>
  </r>
  <r>
    <x v="1414"/>
    <x v="8"/>
    <n v="29"/>
    <n v="15.5"/>
    <n v="449.5"/>
    <d v="2025-02-23T00:00:00"/>
    <d v="2025-02-25T00:00:00"/>
    <x v="2"/>
    <s v="App"/>
    <n v="3"/>
    <s v="California"/>
    <s v="Riverside County"/>
    <n v="2"/>
    <n v="9"/>
    <x v="2"/>
  </r>
  <r>
    <x v="1415"/>
    <x v="6"/>
    <n v="11"/>
    <n v="66.400000000000006"/>
    <n v="730.40000000000009"/>
    <d v="2025-02-23T00:00:00"/>
    <d v="2025-02-25T00:00:00"/>
    <x v="2"/>
    <s v="App"/>
    <n v="4"/>
    <s v="California"/>
    <s v="Sacramento County"/>
    <n v="2"/>
    <n v="9"/>
    <x v="2"/>
  </r>
  <r>
    <x v="1416"/>
    <x v="9"/>
    <n v="12"/>
    <n v="68.099999999999994"/>
    <n v="817.19999999999993"/>
    <d v="2025-02-23T00:00:00"/>
    <d v="2025-02-24T00:00:00"/>
    <x v="2"/>
    <s v="Target.com"/>
    <n v="4"/>
    <s v="California"/>
    <s v="San Diego County"/>
    <n v="1"/>
    <n v="9"/>
    <x v="2"/>
  </r>
  <r>
    <x v="1417"/>
    <x v="8"/>
    <n v="5"/>
    <n v="32.5"/>
    <n v="162.5"/>
    <d v="2025-02-23T00:00:00"/>
    <d v="2025-02-27T00:00:00"/>
    <x v="1"/>
    <s v="Target.com"/>
    <n v="3"/>
    <s v="California"/>
    <s v="San Diego County"/>
    <n v="4"/>
    <n v="9"/>
    <x v="1"/>
  </r>
  <r>
    <x v="1418"/>
    <x v="15"/>
    <n v="3"/>
    <n v="61.2"/>
    <n v="183.60000000000002"/>
    <d v="2025-02-23T00:00:00"/>
    <d v="2025-02-25T00:00:00"/>
    <x v="2"/>
    <s v="Website"/>
    <n v="3"/>
    <s v="California"/>
    <s v="San Diego County"/>
    <n v="2"/>
    <n v="9"/>
    <x v="2"/>
  </r>
  <r>
    <x v="1419"/>
    <x v="9"/>
    <n v="2"/>
    <n v="54.2"/>
    <n v="108.4"/>
    <d v="2025-02-23T00:00:00"/>
    <d v="2025-02-24T00:00:00"/>
    <x v="2"/>
    <s v="Website"/>
    <n v="4"/>
    <s v="California"/>
    <s v="San Diego County"/>
    <n v="1"/>
    <n v="9"/>
    <x v="2"/>
  </r>
  <r>
    <x v="1420"/>
    <x v="11"/>
    <n v="8"/>
    <n v="28.7"/>
    <n v="229.6"/>
    <d v="2025-02-23T00:00:00"/>
    <d v="2025-02-25T00:00:00"/>
    <x v="1"/>
    <s v="Website"/>
    <n v="4"/>
    <s v="California"/>
    <s v="San Mateo County"/>
    <n v="2"/>
    <n v="9"/>
    <x v="1"/>
  </r>
  <r>
    <x v="1421"/>
    <x v="12"/>
    <n v="6"/>
    <n v="38.200000000000003"/>
    <n v="229.20000000000002"/>
    <d v="2025-02-23T00:00:00"/>
    <d v="2025-02-27T00:00:00"/>
    <x v="2"/>
    <s v="App"/>
    <n v="3"/>
    <s v="California"/>
    <s v="San Mateo County"/>
    <n v="4"/>
    <n v="9"/>
    <x v="2"/>
  </r>
  <r>
    <x v="1422"/>
    <x v="8"/>
    <n v="12"/>
    <n v="17.600000000000001"/>
    <n v="211.20000000000002"/>
    <d v="2025-02-23T00:00:00"/>
    <d v="2025-02-24T00:00:00"/>
    <x v="2"/>
    <s v="Target.com"/>
    <n v="3"/>
    <s v="California"/>
    <s v="San Mateo County"/>
    <n v="1"/>
    <n v="9"/>
    <x v="2"/>
  </r>
  <r>
    <x v="1423"/>
    <x v="10"/>
    <n v="3"/>
    <n v="74.599999999999994"/>
    <n v="223.79999999999998"/>
    <d v="2025-02-23T00:00:00"/>
    <d v="2025-02-23T00:00:00"/>
    <x v="2"/>
    <s v="Target.com"/>
    <n v="4"/>
    <s v="California"/>
    <s v="Santa Clara County"/>
    <n v="0"/>
    <n v="9"/>
    <x v="2"/>
  </r>
  <r>
    <x v="1424"/>
    <x v="16"/>
    <n v="15"/>
    <n v="72.599999999999994"/>
    <n v="1089"/>
    <d v="2025-02-23T00:00:00"/>
    <d v="2025-02-23T00:00:00"/>
    <x v="0"/>
    <s v="Website"/>
    <n v="3"/>
    <s v="California"/>
    <s v="Santa Clara County"/>
    <n v="0"/>
    <n v="9"/>
    <x v="0"/>
  </r>
  <r>
    <x v="1425"/>
    <x v="7"/>
    <n v="1"/>
    <n v="62.3"/>
    <n v="62.3"/>
    <d v="2025-02-23T00:00:00"/>
    <d v="2025-02-24T00:00:00"/>
    <x v="2"/>
    <s v="Website"/>
    <n v="4"/>
    <s v="California"/>
    <s v="Santa Clara County"/>
    <n v="1"/>
    <n v="9"/>
    <x v="2"/>
  </r>
  <r>
    <x v="1426"/>
    <x v="3"/>
    <n v="3"/>
    <n v="33.799999999999997"/>
    <n v="101.39999999999999"/>
    <d v="2025-02-23T00:00:00"/>
    <d v="2025-02-25T00:00:00"/>
    <x v="1"/>
    <s v="App"/>
    <n v="5"/>
    <s v="California"/>
    <s v="Tulare County"/>
    <n v="2"/>
    <n v="9"/>
    <x v="1"/>
  </r>
  <r>
    <x v="1427"/>
    <x v="9"/>
    <n v="1"/>
    <n v="85.7"/>
    <n v="85.7"/>
    <d v="2025-02-23T00:00:00"/>
    <d v="2025-02-26T00:00:00"/>
    <x v="1"/>
    <s v="Instagram"/>
    <n v="3"/>
    <s v="California"/>
    <s v="Alameda County"/>
    <n v="3"/>
    <n v="9"/>
    <x v="1"/>
  </r>
  <r>
    <x v="1428"/>
    <x v="6"/>
    <n v="2"/>
    <n v="92.1"/>
    <n v="184.2"/>
    <d v="2025-02-23T00:00:00"/>
    <d v="2025-02-25T00:00:00"/>
    <x v="1"/>
    <s v="Website"/>
    <n v="4"/>
    <s v="California"/>
    <s v="Alameda County"/>
    <n v="2"/>
    <n v="9"/>
    <x v="1"/>
  </r>
  <r>
    <x v="1429"/>
    <x v="16"/>
    <n v="3"/>
    <n v="65.099999999999994"/>
    <n v="195.29999999999998"/>
    <d v="2025-02-23T00:00:00"/>
    <d v="2025-02-26T00:00:00"/>
    <x v="1"/>
    <s v="App"/>
    <n v="4"/>
    <s v="California"/>
    <s v="Contra Costa County"/>
    <n v="3"/>
    <n v="9"/>
    <x v="1"/>
  </r>
  <r>
    <x v="1430"/>
    <x v="9"/>
    <n v="7"/>
    <n v="20.3"/>
    <n v="142.1"/>
    <d v="2025-02-23T00:00:00"/>
    <d v="2025-02-24T00:00:00"/>
    <x v="2"/>
    <s v="Target.com"/>
    <n v="5"/>
    <s v="California"/>
    <s v="Fresno County"/>
    <n v="1"/>
    <n v="9"/>
    <x v="2"/>
  </r>
  <r>
    <x v="1431"/>
    <x v="19"/>
    <n v="2"/>
    <n v="29.8"/>
    <n v="59.6"/>
    <d v="2025-02-23T00:00:00"/>
    <d v="2025-02-25T00:00:00"/>
    <x v="2"/>
    <s v="Website"/>
    <n v="5"/>
    <s v="California"/>
    <s v="Kings County"/>
    <n v="2"/>
    <n v="9"/>
    <x v="2"/>
  </r>
  <r>
    <x v="1432"/>
    <x v="0"/>
    <n v="2"/>
    <n v="24.2"/>
    <n v="48.4"/>
    <d v="2025-02-23T00:00:00"/>
    <d v="2025-02-25T00:00:00"/>
    <x v="2"/>
    <s v="Instagram"/>
    <n v="5"/>
    <s v="California"/>
    <s v="Los Angeles County"/>
    <n v="2"/>
    <n v="9"/>
    <x v="2"/>
  </r>
  <r>
    <x v="1433"/>
    <x v="3"/>
    <n v="1"/>
    <n v="57.3"/>
    <n v="57.3"/>
    <d v="2025-02-23T00:00:00"/>
    <d v="2025-02-25T00:00:00"/>
    <x v="1"/>
    <s v="App"/>
    <n v="4"/>
    <s v="California"/>
    <s v="Los Angeles County"/>
    <n v="2"/>
    <n v="9"/>
    <x v="1"/>
  </r>
  <r>
    <x v="1434"/>
    <x v="2"/>
    <n v="1"/>
    <n v="108.9"/>
    <n v="108.9"/>
    <d v="2025-02-23T00:00:00"/>
    <d v="2025-02-25T00:00:00"/>
    <x v="2"/>
    <s v="Website"/>
    <n v="4"/>
    <s v="California"/>
    <s v="Los Angeles County"/>
    <n v="2"/>
    <n v="9"/>
    <x v="2"/>
  </r>
  <r>
    <x v="1435"/>
    <x v="7"/>
    <n v="5"/>
    <n v="50.7"/>
    <n v="253.5"/>
    <d v="2025-02-23T00:00:00"/>
    <d v="2025-02-24T00:00:00"/>
    <x v="2"/>
    <s v="App"/>
    <n v="4"/>
    <s v="California"/>
    <s v="Los Angeles County"/>
    <n v="1"/>
    <n v="9"/>
    <x v="2"/>
  </r>
  <r>
    <x v="1436"/>
    <x v="7"/>
    <n v="9"/>
    <n v="66.099999999999994"/>
    <n v="594.9"/>
    <d v="2025-02-23T00:00:00"/>
    <d v="2025-03-09T00:00:00"/>
    <x v="2"/>
    <s v="Website"/>
    <n v="4"/>
    <s v="California"/>
    <s v="Los Angeles County"/>
    <n v="14"/>
    <n v="9"/>
    <x v="2"/>
  </r>
  <r>
    <x v="1437"/>
    <x v="12"/>
    <n v="5"/>
    <n v="36.700000000000003"/>
    <n v="183.5"/>
    <d v="2025-02-23T00:00:00"/>
    <d v="2025-02-27T00:00:00"/>
    <x v="2"/>
    <s v="Partner App"/>
    <n v="4"/>
    <s v="California"/>
    <s v="Los Angeles County"/>
    <n v="4"/>
    <n v="9"/>
    <x v="2"/>
  </r>
  <r>
    <x v="1438"/>
    <x v="8"/>
    <n v="17"/>
    <n v="19.3"/>
    <n v="328.1"/>
    <d v="2025-02-23T00:00:00"/>
    <d v="2025-02-25T00:00:00"/>
    <x v="1"/>
    <s v="App"/>
    <n v="4"/>
    <s v="California"/>
    <s v="Marin County"/>
    <n v="2"/>
    <n v="9"/>
    <x v="1"/>
  </r>
  <r>
    <x v="1439"/>
    <x v="8"/>
    <n v="4"/>
    <n v="20.7"/>
    <n v="82.8"/>
    <d v="2025-02-23T00:00:00"/>
    <d v="2025-02-24T00:00:00"/>
    <x v="1"/>
    <s v="Website"/>
    <n v="5"/>
    <s v="California"/>
    <s v="Sacramento County"/>
    <n v="1"/>
    <n v="9"/>
    <x v="1"/>
  </r>
  <r>
    <x v="1440"/>
    <x v="5"/>
    <n v="3"/>
    <n v="54.7"/>
    <n v="164.10000000000002"/>
    <d v="2025-02-23T00:00:00"/>
    <d v="2025-02-23T00:00:00"/>
    <x v="3"/>
    <s v="Website"/>
    <n v="2"/>
    <s v="California"/>
    <s v="Sacramento County"/>
    <n v="0"/>
    <n v="9"/>
    <x v="3"/>
  </r>
  <r>
    <x v="1441"/>
    <x v="4"/>
    <n v="2"/>
    <n v="19.8"/>
    <n v="39.6"/>
    <d v="2025-02-23T00:00:00"/>
    <d v="2025-02-27T00:00:00"/>
    <x v="2"/>
    <s v="Partner App"/>
    <n v="3"/>
    <s v="California"/>
    <s v="San Diego County"/>
    <n v="4"/>
    <n v="9"/>
    <x v="2"/>
  </r>
  <r>
    <x v="1442"/>
    <x v="7"/>
    <n v="1"/>
    <n v="41.1"/>
    <n v="41.1"/>
    <d v="2025-02-23T00:00:00"/>
    <d v="2025-02-25T00:00:00"/>
    <x v="2"/>
    <s v="App"/>
    <n v="5"/>
    <s v="California"/>
    <s v="San Diego County"/>
    <n v="2"/>
    <n v="9"/>
    <x v="2"/>
  </r>
  <r>
    <x v="1443"/>
    <x v="11"/>
    <n v="8"/>
    <n v="43.5"/>
    <n v="348"/>
    <d v="2025-02-23T00:00:00"/>
    <d v="2025-02-27T00:00:00"/>
    <x v="2"/>
    <s v="Instagram"/>
    <n v="4"/>
    <s v="California"/>
    <s v="San Diego County"/>
    <n v="4"/>
    <n v="9"/>
    <x v="2"/>
  </r>
  <r>
    <x v="1444"/>
    <x v="8"/>
    <n v="14"/>
    <n v="19"/>
    <n v="266"/>
    <d v="2025-02-23T00:00:00"/>
    <d v="2025-02-24T00:00:00"/>
    <x v="1"/>
    <s v="App"/>
    <n v="4"/>
    <s v="California"/>
    <s v="San Joaquin County"/>
    <n v="1"/>
    <n v="9"/>
    <x v="1"/>
  </r>
  <r>
    <x v="1445"/>
    <x v="2"/>
    <n v="4"/>
    <n v="51.4"/>
    <n v="205.6"/>
    <d v="2025-02-23T00:00:00"/>
    <d v="2025-02-23T00:00:00"/>
    <x v="2"/>
    <s v="App"/>
    <n v="4"/>
    <s v="California"/>
    <s v="San Joaquin County"/>
    <n v="0"/>
    <n v="9"/>
    <x v="2"/>
  </r>
  <r>
    <x v="1446"/>
    <x v="10"/>
    <n v="2"/>
    <n v="39.799999999999997"/>
    <n v="79.599999999999994"/>
    <d v="2025-02-23T00:00:00"/>
    <d v="2025-02-26T00:00:00"/>
    <x v="1"/>
    <s v="Instagram"/>
    <n v="3"/>
    <s v="California"/>
    <s v="Ventura County"/>
    <n v="3"/>
    <n v="9"/>
    <x v="1"/>
  </r>
  <r>
    <x v="1447"/>
    <x v="6"/>
    <n v="5"/>
    <n v="61"/>
    <n v="305"/>
    <d v="2025-02-23T00:00:00"/>
    <d v="2025-02-24T00:00:00"/>
    <x v="0"/>
    <s v="App"/>
    <n v="5"/>
    <s v="California"/>
    <s v="Alameda County"/>
    <n v="1"/>
    <n v="9"/>
    <x v="0"/>
  </r>
  <r>
    <x v="1448"/>
    <x v="8"/>
    <n v="11"/>
    <n v="15.1"/>
    <n v="166.1"/>
    <d v="2025-02-24T00:00:00"/>
    <d v="2025-03-01T00:00:00"/>
    <x v="1"/>
    <s v="Instagram"/>
    <n v="5"/>
    <s v="California"/>
    <s v="Fresno County"/>
    <n v="5"/>
    <n v="9"/>
    <x v="1"/>
  </r>
  <r>
    <x v="1449"/>
    <x v="1"/>
    <n v="7"/>
    <n v="71.3"/>
    <n v="499.09999999999997"/>
    <d v="2025-02-24T00:00:00"/>
    <d v="2025-02-25T00:00:00"/>
    <x v="1"/>
    <s v="Partner App"/>
    <n v="4"/>
    <s v="California"/>
    <s v="Los Angeles County"/>
    <n v="1"/>
    <n v="9"/>
    <x v="1"/>
  </r>
  <r>
    <x v="1450"/>
    <x v="10"/>
    <n v="1"/>
    <n v="25.8"/>
    <n v="25.8"/>
    <d v="2025-02-24T00:00:00"/>
    <d v="2025-02-26T00:00:00"/>
    <x v="2"/>
    <s v="App"/>
    <n v="5"/>
    <s v="California"/>
    <s v="Los Angeles County"/>
    <n v="2"/>
    <n v="9"/>
    <x v="2"/>
  </r>
  <r>
    <x v="1451"/>
    <x v="8"/>
    <n v="5"/>
    <n v="39.6"/>
    <n v="198"/>
    <d v="2025-02-24T00:00:00"/>
    <d v="2025-02-26T00:00:00"/>
    <x v="1"/>
    <s v="Website"/>
    <n v="5"/>
    <s v="California"/>
    <s v="Los Angeles County"/>
    <n v="2"/>
    <n v="9"/>
    <x v="1"/>
  </r>
  <r>
    <x v="1452"/>
    <x v="5"/>
    <n v="2"/>
    <n v="64"/>
    <n v="128"/>
    <d v="2025-02-24T00:00:00"/>
    <d v="2025-02-24T00:00:00"/>
    <x v="1"/>
    <s v="Website"/>
    <n v="3"/>
    <s v="California"/>
    <s v="Los Angeles County"/>
    <n v="0"/>
    <n v="9"/>
    <x v="1"/>
  </r>
  <r>
    <x v="1453"/>
    <x v="8"/>
    <n v="2"/>
    <n v="30.6"/>
    <n v="61.2"/>
    <d v="2025-02-24T00:00:00"/>
    <d v="2025-02-27T00:00:00"/>
    <x v="1"/>
    <s v="App"/>
    <n v="5"/>
    <s v="California"/>
    <s v="Los Angeles County"/>
    <n v="3"/>
    <n v="9"/>
    <x v="1"/>
  </r>
  <r>
    <x v="1454"/>
    <x v="8"/>
    <n v="2"/>
    <n v="21.3"/>
    <n v="42.6"/>
    <d v="2025-02-24T00:00:00"/>
    <d v="2025-02-25T00:00:00"/>
    <x v="1"/>
    <s v="App"/>
    <n v="3"/>
    <s v="California"/>
    <s v="Los Angeles County"/>
    <n v="1"/>
    <n v="9"/>
    <x v="1"/>
  </r>
  <r>
    <x v="1455"/>
    <x v="7"/>
    <n v="1"/>
    <n v="40.799999999999997"/>
    <n v="40.799999999999997"/>
    <d v="2025-02-24T00:00:00"/>
    <d v="2025-02-26T00:00:00"/>
    <x v="2"/>
    <s v="Partner App"/>
    <n v="4"/>
    <s v="California"/>
    <s v="Los Angeles County"/>
    <n v="2"/>
    <n v="9"/>
    <x v="2"/>
  </r>
  <r>
    <x v="1456"/>
    <x v="9"/>
    <n v="4"/>
    <n v="27.7"/>
    <n v="110.8"/>
    <d v="2025-02-24T00:00:00"/>
    <d v="2025-02-25T00:00:00"/>
    <x v="2"/>
    <s v="App"/>
    <n v="3"/>
    <s v="California"/>
    <s v="Los Angeles County"/>
    <n v="1"/>
    <n v="9"/>
    <x v="2"/>
  </r>
  <r>
    <x v="1457"/>
    <x v="6"/>
    <n v="2"/>
    <n v="64.599999999999994"/>
    <n v="129.19999999999999"/>
    <d v="2025-02-24T00:00:00"/>
    <d v="2025-02-25T00:00:00"/>
    <x v="1"/>
    <s v="App"/>
    <n v="3"/>
    <s v="California"/>
    <s v="Los Angeles County"/>
    <n v="1"/>
    <n v="9"/>
    <x v="1"/>
  </r>
  <r>
    <x v="1458"/>
    <x v="6"/>
    <n v="16"/>
    <n v="91.1"/>
    <n v="1457.6"/>
    <d v="2025-02-24T00:00:00"/>
    <d v="2025-02-25T00:00:00"/>
    <x v="2"/>
    <s v="Website"/>
    <n v="5"/>
    <s v="California"/>
    <s v="Los Angeles County"/>
    <n v="1"/>
    <n v="9"/>
    <x v="2"/>
  </r>
  <r>
    <x v="1459"/>
    <x v="1"/>
    <n v="1"/>
    <n v="39.5"/>
    <n v="39.5"/>
    <d v="2025-02-24T00:00:00"/>
    <d v="2025-03-04T00:00:00"/>
    <x v="2"/>
    <s v="App"/>
    <n v="4"/>
    <s v="California"/>
    <s v="Los Angeles County"/>
    <n v="8"/>
    <n v="9"/>
    <x v="2"/>
  </r>
  <r>
    <x v="1460"/>
    <x v="9"/>
    <n v="2"/>
    <n v="21.8"/>
    <n v="43.6"/>
    <d v="2025-02-24T00:00:00"/>
    <d v="2025-02-28T00:00:00"/>
    <x v="1"/>
    <s v="Partner App"/>
    <n v="5"/>
    <s v="California"/>
    <s v="Los Angeles County"/>
    <n v="4"/>
    <n v="9"/>
    <x v="1"/>
  </r>
  <r>
    <x v="1461"/>
    <x v="8"/>
    <n v="2"/>
    <n v="51"/>
    <n v="102"/>
    <d v="2025-02-24T00:00:00"/>
    <d v="2025-02-27T00:00:00"/>
    <x v="1"/>
    <s v="Instagram"/>
    <n v="5"/>
    <s v="California"/>
    <s v="Los Angeles County"/>
    <n v="3"/>
    <n v="9"/>
    <x v="1"/>
  </r>
  <r>
    <x v="1462"/>
    <x v="2"/>
    <n v="1"/>
    <n v="92.6"/>
    <n v="92.6"/>
    <d v="2025-02-24T00:00:00"/>
    <d v="2025-02-27T00:00:00"/>
    <x v="2"/>
    <s v="App"/>
    <n v="5"/>
    <s v="California"/>
    <s v="Plumas County"/>
    <n v="3"/>
    <n v="9"/>
    <x v="2"/>
  </r>
  <r>
    <x v="1463"/>
    <x v="9"/>
    <n v="2"/>
    <n v="31.1"/>
    <n v="62.2"/>
    <d v="2025-02-24T00:00:00"/>
    <d v="2025-03-01T00:00:00"/>
    <x v="0"/>
    <s v="Website"/>
    <n v="1"/>
    <s v="California"/>
    <s v="Riverside County"/>
    <n v="5"/>
    <n v="9"/>
    <x v="0"/>
  </r>
  <r>
    <x v="1464"/>
    <x v="5"/>
    <n v="3"/>
    <n v="56.4"/>
    <n v="169.2"/>
    <d v="2025-02-24T00:00:00"/>
    <d v="2025-02-25T00:00:00"/>
    <x v="0"/>
    <s v="Website"/>
    <n v="4"/>
    <s v="California"/>
    <s v="Sacramento County"/>
    <n v="1"/>
    <n v="9"/>
    <x v="0"/>
  </r>
  <r>
    <x v="1465"/>
    <x v="9"/>
    <n v="1"/>
    <n v="41.9"/>
    <n v="41.9"/>
    <d v="2025-02-24T00:00:00"/>
    <d v="2025-02-24T00:00:00"/>
    <x v="1"/>
    <s v="Website"/>
    <n v="4"/>
    <s v="California"/>
    <s v="Sacramento County"/>
    <n v="0"/>
    <n v="9"/>
    <x v="1"/>
  </r>
  <r>
    <x v="1466"/>
    <x v="10"/>
    <n v="7"/>
    <n v="45.9"/>
    <n v="321.3"/>
    <d v="2025-02-24T00:00:00"/>
    <d v="2025-02-25T00:00:00"/>
    <x v="1"/>
    <s v="Instagram"/>
    <n v="5"/>
    <s v="California"/>
    <s v="San Diego County"/>
    <n v="1"/>
    <n v="9"/>
    <x v="1"/>
  </r>
  <r>
    <x v="1467"/>
    <x v="14"/>
    <n v="9"/>
    <n v="24.4"/>
    <n v="219.6"/>
    <d v="2025-02-24T00:00:00"/>
    <d v="2025-02-28T00:00:00"/>
    <x v="1"/>
    <s v="Instagram"/>
    <n v="5"/>
    <s v="California"/>
    <s v="San Diego County"/>
    <n v="4"/>
    <n v="9"/>
    <x v="1"/>
  </r>
  <r>
    <x v="1468"/>
    <x v="8"/>
    <n v="1"/>
    <n v="18.2"/>
    <n v="18.2"/>
    <d v="2025-02-24T00:00:00"/>
    <d v="2025-02-25T00:00:00"/>
    <x v="2"/>
    <s v="Target.com"/>
    <n v="5"/>
    <s v="California"/>
    <s v="San Diego County"/>
    <n v="1"/>
    <n v="9"/>
    <x v="2"/>
  </r>
  <r>
    <x v="1469"/>
    <x v="8"/>
    <n v="4"/>
    <n v="51.2"/>
    <n v="204.8"/>
    <d v="2025-02-24T00:00:00"/>
    <d v="2025-02-25T00:00:00"/>
    <x v="2"/>
    <s v="App"/>
    <n v="4"/>
    <s v="California"/>
    <s v="San Diego County"/>
    <n v="1"/>
    <n v="9"/>
    <x v="2"/>
  </r>
  <r>
    <x v="1470"/>
    <x v="6"/>
    <n v="1"/>
    <n v="59.7"/>
    <n v="59.7"/>
    <d v="2025-02-24T00:00:00"/>
    <d v="2025-02-27T00:00:00"/>
    <x v="1"/>
    <s v="App"/>
    <n v="5"/>
    <s v="California"/>
    <s v="San Diego County"/>
    <n v="3"/>
    <n v="9"/>
    <x v="1"/>
  </r>
  <r>
    <x v="1471"/>
    <x v="4"/>
    <n v="2"/>
    <n v="33.6"/>
    <n v="67.2"/>
    <d v="2025-02-24T00:00:00"/>
    <d v="2025-02-26T00:00:00"/>
    <x v="2"/>
    <s v="App"/>
    <n v="4"/>
    <s v="California"/>
    <s v="San Francisco"/>
    <n v="2"/>
    <n v="9"/>
    <x v="2"/>
  </r>
  <r>
    <x v="1472"/>
    <x v="12"/>
    <n v="1"/>
    <n v="90.4"/>
    <n v="90.4"/>
    <d v="2025-02-24T00:00:00"/>
    <d v="2025-02-28T00:00:00"/>
    <x v="1"/>
    <s v="Website"/>
    <n v="5"/>
    <s v="California"/>
    <s v="Santa Barbara County"/>
    <n v="4"/>
    <n v="9"/>
    <x v="1"/>
  </r>
  <r>
    <x v="1473"/>
    <x v="11"/>
    <n v="3"/>
    <n v="70.3"/>
    <n v="210.89999999999998"/>
    <d v="2025-02-24T00:00:00"/>
    <d v="2025-02-24T00:00:00"/>
    <x v="1"/>
    <s v="Website"/>
    <n v="5"/>
    <s v="California"/>
    <s v="Santa Clara County"/>
    <n v="0"/>
    <n v="9"/>
    <x v="1"/>
  </r>
  <r>
    <x v="1474"/>
    <x v="4"/>
    <n v="2"/>
    <n v="20.5"/>
    <n v="41"/>
    <d v="2025-02-24T00:00:00"/>
    <d v="2025-02-27T00:00:00"/>
    <x v="2"/>
    <s v="App"/>
    <n v="3"/>
    <s v="California"/>
    <s v="Santa Clara County"/>
    <n v="3"/>
    <n v="9"/>
    <x v="2"/>
  </r>
  <r>
    <x v="1475"/>
    <x v="5"/>
    <n v="11"/>
    <n v="37.6"/>
    <n v="413.6"/>
    <d v="2025-02-24T00:00:00"/>
    <d v="2025-02-25T00:00:00"/>
    <x v="1"/>
    <s v="App"/>
    <n v="4"/>
    <s v="California"/>
    <s v="Solano County"/>
    <n v="1"/>
    <n v="9"/>
    <x v="1"/>
  </r>
  <r>
    <x v="1476"/>
    <x v="5"/>
    <n v="4"/>
    <n v="61.5"/>
    <n v="246"/>
    <d v="2025-02-24T00:00:00"/>
    <d v="2025-03-03T00:00:00"/>
    <x v="2"/>
    <s v="Website"/>
    <n v="2"/>
    <s v="California"/>
    <s v="Ventura County"/>
    <n v="7"/>
    <n v="9"/>
    <x v="2"/>
  </r>
  <r>
    <x v="1477"/>
    <x v="9"/>
    <n v="1"/>
    <n v="33.5"/>
    <n v="33.5"/>
    <d v="2025-02-25T00:00:00"/>
    <d v="2025-03-01T00:00:00"/>
    <x v="1"/>
    <s v="Partner App"/>
    <n v="3"/>
    <s v="California"/>
    <s v="Alameda County"/>
    <n v="4"/>
    <n v="9"/>
    <x v="1"/>
  </r>
  <r>
    <x v="1478"/>
    <x v="4"/>
    <n v="3"/>
    <n v="29.3"/>
    <n v="87.9"/>
    <d v="2025-02-25T00:00:00"/>
    <d v="2025-02-27T00:00:00"/>
    <x v="2"/>
    <s v="Website"/>
    <n v="5"/>
    <s v="California"/>
    <s v="Contra Costa County"/>
    <n v="2"/>
    <n v="9"/>
    <x v="2"/>
  </r>
  <r>
    <x v="1479"/>
    <x v="2"/>
    <n v="2"/>
    <n v="125.9"/>
    <n v="251.8"/>
    <d v="2025-02-25T00:00:00"/>
    <d v="2025-03-02T00:00:00"/>
    <x v="2"/>
    <s v="Partner App"/>
    <n v="3"/>
    <s v="California"/>
    <s v="Contra Costa County"/>
    <n v="5"/>
    <n v="9"/>
    <x v="2"/>
  </r>
  <r>
    <x v="1480"/>
    <x v="5"/>
    <n v="5"/>
    <n v="29.3"/>
    <n v="146.5"/>
    <d v="2025-02-25T00:00:00"/>
    <d v="2025-02-25T00:00:00"/>
    <x v="1"/>
    <s v="Target.com"/>
    <n v="4"/>
    <s v="California"/>
    <s v="Humboldt County"/>
    <n v="0"/>
    <n v="9"/>
    <x v="1"/>
  </r>
  <r>
    <x v="1481"/>
    <x v="9"/>
    <n v="1"/>
    <n v="37.799999999999997"/>
    <n v="37.799999999999997"/>
    <d v="2025-02-25T00:00:00"/>
    <d v="2025-02-28T00:00:00"/>
    <x v="2"/>
    <s v="App"/>
    <n v="5"/>
    <s v="California"/>
    <s v="Los Angeles County"/>
    <n v="3"/>
    <n v="9"/>
    <x v="2"/>
  </r>
  <r>
    <x v="1482"/>
    <x v="0"/>
    <n v="4"/>
    <n v="31.7"/>
    <n v="126.8"/>
    <d v="2025-02-25T00:00:00"/>
    <d v="2025-02-26T00:00:00"/>
    <x v="1"/>
    <s v="Target.com"/>
    <n v="5"/>
    <s v="California"/>
    <s v="Los Angeles County"/>
    <n v="1"/>
    <n v="9"/>
    <x v="1"/>
  </r>
  <r>
    <x v="1483"/>
    <x v="8"/>
    <n v="5"/>
    <n v="26.3"/>
    <n v="131.5"/>
    <d v="2025-02-25T00:00:00"/>
    <d v="2025-02-26T00:00:00"/>
    <x v="2"/>
    <s v="Instagram"/>
    <n v="5"/>
    <s v="California"/>
    <s v="Los Angeles County"/>
    <n v="1"/>
    <n v="9"/>
    <x v="2"/>
  </r>
  <r>
    <x v="1484"/>
    <x v="8"/>
    <n v="3"/>
    <n v="23.1"/>
    <n v="69.300000000000011"/>
    <d v="2025-02-25T00:00:00"/>
    <d v="2025-02-26T00:00:00"/>
    <x v="3"/>
    <s v="Target.com"/>
    <n v="3"/>
    <s v="California"/>
    <s v="Los Angeles County"/>
    <n v="1"/>
    <n v="9"/>
    <x v="3"/>
  </r>
  <r>
    <x v="1485"/>
    <x v="4"/>
    <n v="1"/>
    <n v="22.3"/>
    <n v="22.3"/>
    <d v="2025-02-25T00:00:00"/>
    <d v="2025-02-27T00:00:00"/>
    <x v="2"/>
    <s v="Target.com"/>
    <n v="4"/>
    <s v="California"/>
    <s v="Los Angeles County"/>
    <n v="2"/>
    <n v="9"/>
    <x v="2"/>
  </r>
  <r>
    <x v="1486"/>
    <x v="12"/>
    <n v="2"/>
    <n v="99.5"/>
    <n v="199"/>
    <d v="2025-02-25T00:00:00"/>
    <d v="2025-02-27T00:00:00"/>
    <x v="2"/>
    <s v="Target.com"/>
    <n v="4"/>
    <s v="California"/>
    <s v="Los Angeles County"/>
    <n v="2"/>
    <n v="9"/>
    <x v="2"/>
  </r>
  <r>
    <x v="1487"/>
    <x v="12"/>
    <n v="4"/>
    <n v="47.4"/>
    <n v="189.6"/>
    <d v="2025-02-25T00:00:00"/>
    <d v="2025-02-28T00:00:00"/>
    <x v="2"/>
    <s v="Website"/>
    <n v="4"/>
    <s v="California"/>
    <s v="Los Angeles County"/>
    <n v="3"/>
    <n v="9"/>
    <x v="2"/>
  </r>
  <r>
    <x v="1488"/>
    <x v="0"/>
    <n v="11"/>
    <n v="37.5"/>
    <n v="412.5"/>
    <d v="2025-02-25T00:00:00"/>
    <d v="2025-02-27T00:00:00"/>
    <x v="2"/>
    <s v="App"/>
    <n v="1"/>
    <s v="California"/>
    <s v="Los Angeles County"/>
    <n v="2"/>
    <n v="9"/>
    <x v="2"/>
  </r>
  <r>
    <x v="1489"/>
    <x v="10"/>
    <n v="1"/>
    <n v="45.1"/>
    <n v="45.1"/>
    <d v="2025-02-25T00:00:00"/>
    <d v="2025-03-02T00:00:00"/>
    <x v="1"/>
    <s v="Instagram"/>
    <n v="5"/>
    <s v="California"/>
    <s v="Merced County"/>
    <n v="5"/>
    <n v="9"/>
    <x v="1"/>
  </r>
  <r>
    <x v="1490"/>
    <x v="5"/>
    <n v="10"/>
    <n v="34.4"/>
    <n v="344"/>
    <d v="2025-02-25T00:00:00"/>
    <d v="2025-02-28T00:00:00"/>
    <x v="1"/>
    <s v="Target.com"/>
    <n v="4"/>
    <s v="California"/>
    <s v="Napa County"/>
    <n v="3"/>
    <n v="9"/>
    <x v="1"/>
  </r>
  <r>
    <x v="1491"/>
    <x v="4"/>
    <n v="2"/>
    <n v="38"/>
    <n v="76"/>
    <d v="2025-02-25T00:00:00"/>
    <d v="2025-02-27T00:00:00"/>
    <x v="2"/>
    <s v="Website"/>
    <n v="4"/>
    <s v="California"/>
    <s v="Placer County"/>
    <n v="2"/>
    <n v="9"/>
    <x v="2"/>
  </r>
  <r>
    <x v="1492"/>
    <x v="3"/>
    <n v="14"/>
    <n v="32.4"/>
    <n v="453.59999999999997"/>
    <d v="2025-02-25T00:00:00"/>
    <d v="2025-02-28T00:00:00"/>
    <x v="1"/>
    <s v="Partner App"/>
    <n v="4"/>
    <s v="California"/>
    <s v="Sacramento County"/>
    <n v="3"/>
    <n v="9"/>
    <x v="1"/>
  </r>
  <r>
    <x v="1493"/>
    <x v="6"/>
    <n v="3"/>
    <n v="40.9"/>
    <n v="122.69999999999999"/>
    <d v="2025-02-25T00:00:00"/>
    <d v="2025-02-25T00:00:00"/>
    <x v="0"/>
    <s v="Website"/>
    <n v="4"/>
    <s v="California"/>
    <s v="San Diego County"/>
    <n v="0"/>
    <n v="9"/>
    <x v="0"/>
  </r>
  <r>
    <x v="1494"/>
    <x v="7"/>
    <n v="7"/>
    <n v="76.2"/>
    <n v="533.4"/>
    <d v="2025-02-25T00:00:00"/>
    <d v="2025-02-27T00:00:00"/>
    <x v="2"/>
    <s v="Target.com"/>
    <n v="3"/>
    <s v="California"/>
    <s v="San Diego County"/>
    <n v="2"/>
    <n v="9"/>
    <x v="2"/>
  </r>
  <r>
    <x v="1495"/>
    <x v="2"/>
    <n v="1"/>
    <n v="85.6"/>
    <n v="85.6"/>
    <d v="2025-02-25T00:00:00"/>
    <d v="2025-02-27T00:00:00"/>
    <x v="1"/>
    <s v="Target.com"/>
    <n v="4"/>
    <s v="California"/>
    <s v="San Diego County"/>
    <n v="2"/>
    <n v="9"/>
    <x v="1"/>
  </r>
  <r>
    <x v="1496"/>
    <x v="4"/>
    <n v="4"/>
    <n v="25"/>
    <n v="100"/>
    <d v="2025-02-25T00:00:00"/>
    <d v="2025-02-27T00:00:00"/>
    <x v="2"/>
    <s v="Target.com"/>
    <n v="5"/>
    <s v="California"/>
    <s v="San Diego County"/>
    <n v="2"/>
    <n v="9"/>
    <x v="2"/>
  </r>
  <r>
    <x v="1497"/>
    <x v="2"/>
    <n v="5"/>
    <n v="150.69999999999999"/>
    <n v="753.5"/>
    <d v="2025-02-25T00:00:00"/>
    <d v="2025-02-26T00:00:00"/>
    <x v="0"/>
    <s v="App"/>
    <n v="5"/>
    <s v="California"/>
    <s v="San Diego County"/>
    <n v="1"/>
    <n v="9"/>
    <x v="0"/>
  </r>
  <r>
    <x v="1498"/>
    <x v="8"/>
    <n v="1"/>
    <n v="19.600000000000001"/>
    <n v="19.600000000000001"/>
    <d v="2025-02-25T00:00:00"/>
    <d v="2025-02-26T00:00:00"/>
    <x v="1"/>
    <s v="Website"/>
    <n v="2"/>
    <s v="California"/>
    <s v="San Diego County"/>
    <n v="1"/>
    <n v="9"/>
    <x v="1"/>
  </r>
  <r>
    <x v="1499"/>
    <x v="13"/>
    <n v="2"/>
    <n v="37.5"/>
    <n v="75"/>
    <d v="2025-02-25T00:00:00"/>
    <d v="2025-02-28T00:00:00"/>
    <x v="2"/>
    <s v="Website"/>
    <n v="5"/>
    <s v="California"/>
    <s v="San Francisco"/>
    <n v="3"/>
    <n v="9"/>
    <x v="2"/>
  </r>
  <r>
    <x v="1500"/>
    <x v="9"/>
    <n v="3"/>
    <n v="51.9"/>
    <n v="155.69999999999999"/>
    <d v="2025-02-25T00:00:00"/>
    <d v="2025-03-03T00:00:00"/>
    <x v="2"/>
    <s v="App"/>
    <n v="2"/>
    <s v="California"/>
    <s v="Santa Clara County"/>
    <n v="6"/>
    <n v="9"/>
    <x v="2"/>
  </r>
  <r>
    <x v="1501"/>
    <x v="1"/>
    <n v="2"/>
    <n v="30.9"/>
    <n v="61.8"/>
    <d v="2025-02-25T00:00:00"/>
    <d v="2025-02-27T00:00:00"/>
    <x v="2"/>
    <s v="Website"/>
    <n v="4"/>
    <s v="California"/>
    <s v="Sonoma County"/>
    <n v="2"/>
    <n v="9"/>
    <x v="2"/>
  </r>
  <r>
    <x v="1502"/>
    <x v="4"/>
    <n v="3"/>
    <n v="21.2"/>
    <n v="63.599999999999994"/>
    <d v="2025-02-25T00:00:00"/>
    <d v="2025-02-28T00:00:00"/>
    <x v="2"/>
    <s v="Website"/>
    <n v="4"/>
    <s v="California"/>
    <s v="Stanislaus County"/>
    <n v="3"/>
    <n v="9"/>
    <x v="2"/>
  </r>
  <r>
    <x v="1503"/>
    <x v="13"/>
    <n v="17"/>
    <n v="17.5"/>
    <n v="297.5"/>
    <d v="2025-02-25T00:00:00"/>
    <d v="2025-02-26T00:00:00"/>
    <x v="1"/>
    <s v="Website"/>
    <n v="3"/>
    <s v="California"/>
    <s v="Ventura County"/>
    <n v="1"/>
    <n v="9"/>
    <x v="1"/>
  </r>
  <r>
    <x v="1504"/>
    <x v="12"/>
    <n v="2"/>
    <n v="53.8"/>
    <n v="107.6"/>
    <d v="2025-02-25T00:00:00"/>
    <d v="2025-03-02T00:00:00"/>
    <x v="2"/>
    <s v="App"/>
    <n v="5"/>
    <s v="California"/>
    <s v="Alameda County"/>
    <n v="5"/>
    <n v="9"/>
    <x v="2"/>
  </r>
  <r>
    <x v="1505"/>
    <x v="19"/>
    <n v="2"/>
    <n v="17"/>
    <n v="34"/>
    <d v="2025-02-25T00:00:00"/>
    <d v="2025-02-26T00:00:00"/>
    <x v="1"/>
    <s v="Instagram"/>
    <n v="4"/>
    <s v="California"/>
    <s v="Alameda County"/>
    <n v="1"/>
    <n v="9"/>
    <x v="1"/>
  </r>
  <r>
    <x v="1506"/>
    <x v="6"/>
    <n v="1"/>
    <n v="103.2"/>
    <n v="103.2"/>
    <d v="2025-02-25T00:00:00"/>
    <d v="2025-03-05T00:00:00"/>
    <x v="1"/>
    <s v="Target.com"/>
    <n v="3"/>
    <s v="California"/>
    <s v="Contra Costa County"/>
    <n v="8"/>
    <n v="9"/>
    <x v="1"/>
  </r>
  <r>
    <x v="1507"/>
    <x v="6"/>
    <n v="4"/>
    <n v="70.3"/>
    <n v="281.2"/>
    <d v="2025-02-25T00:00:00"/>
    <d v="2025-02-26T00:00:00"/>
    <x v="1"/>
    <s v="App"/>
    <n v="4"/>
    <s v="California"/>
    <s v="Los Angeles County"/>
    <n v="1"/>
    <n v="9"/>
    <x v="1"/>
  </r>
  <r>
    <x v="1508"/>
    <x v="2"/>
    <n v="2"/>
    <n v="73.8"/>
    <n v="147.6"/>
    <d v="2025-02-25T00:00:00"/>
    <d v="2025-02-25T00:00:00"/>
    <x v="1"/>
    <s v="Instagram"/>
    <n v="5"/>
    <s v="California"/>
    <s v="Los Angeles County"/>
    <n v="0"/>
    <n v="9"/>
    <x v="1"/>
  </r>
  <r>
    <x v="1509"/>
    <x v="1"/>
    <n v="12"/>
    <n v="67.7"/>
    <n v="812.40000000000009"/>
    <d v="2025-02-25T00:00:00"/>
    <d v="2025-03-01T00:00:00"/>
    <x v="1"/>
    <s v="Website"/>
    <n v="3"/>
    <s v="California"/>
    <s v="Los Angeles County"/>
    <n v="4"/>
    <n v="9"/>
    <x v="1"/>
  </r>
  <r>
    <x v="1510"/>
    <x v="13"/>
    <n v="7"/>
    <n v="43.8"/>
    <n v="306.59999999999997"/>
    <d v="2025-02-25T00:00:00"/>
    <d v="2025-02-27T00:00:00"/>
    <x v="1"/>
    <s v="Website"/>
    <n v="4"/>
    <s v="California"/>
    <s v="Los Angeles County"/>
    <n v="2"/>
    <n v="9"/>
    <x v="1"/>
  </r>
  <r>
    <x v="1511"/>
    <x v="17"/>
    <n v="6"/>
    <n v="71.900000000000006"/>
    <n v="431.40000000000003"/>
    <d v="2025-02-25T00:00:00"/>
    <d v="2025-02-26T00:00:00"/>
    <x v="2"/>
    <s v="Target.com"/>
    <n v="4"/>
    <s v="California"/>
    <s v="Los Angeles County"/>
    <n v="1"/>
    <n v="9"/>
    <x v="2"/>
  </r>
  <r>
    <x v="1512"/>
    <x v="8"/>
    <n v="2"/>
    <n v="26.3"/>
    <n v="52.6"/>
    <d v="2025-02-26T00:00:00"/>
    <d v="2025-02-28T00:00:00"/>
    <x v="2"/>
    <s v="App"/>
    <n v="3"/>
    <s v="California"/>
    <s v="Los Angeles County"/>
    <n v="2"/>
    <n v="9"/>
    <x v="2"/>
  </r>
  <r>
    <x v="1513"/>
    <x v="6"/>
    <n v="4"/>
    <n v="52.6"/>
    <n v="210.4"/>
    <d v="2025-02-26T00:00:00"/>
    <d v="2025-02-28T00:00:00"/>
    <x v="2"/>
    <s v="Target.com"/>
    <n v="3"/>
    <s v="California"/>
    <s v="Los Angeles County"/>
    <n v="2"/>
    <n v="9"/>
    <x v="2"/>
  </r>
  <r>
    <x v="1514"/>
    <x v="10"/>
    <n v="1"/>
    <n v="32.700000000000003"/>
    <n v="32.700000000000003"/>
    <d v="2025-02-26T00:00:00"/>
    <d v="2025-03-05T00:00:00"/>
    <x v="2"/>
    <s v="App"/>
    <n v="5"/>
    <s v="California"/>
    <s v="Los Angeles County"/>
    <n v="7"/>
    <n v="9"/>
    <x v="2"/>
  </r>
  <r>
    <x v="1515"/>
    <x v="5"/>
    <n v="4"/>
    <n v="38.9"/>
    <n v="155.6"/>
    <d v="2025-02-26T00:00:00"/>
    <d v="2025-02-27T00:00:00"/>
    <x v="2"/>
    <s v="App"/>
    <n v="4"/>
    <s v="California"/>
    <s v="Los Angeles County"/>
    <n v="1"/>
    <n v="9"/>
    <x v="2"/>
  </r>
  <r>
    <x v="1516"/>
    <x v="9"/>
    <n v="5"/>
    <n v="35"/>
    <n v="175"/>
    <d v="2025-02-26T00:00:00"/>
    <d v="2025-02-28T00:00:00"/>
    <x v="1"/>
    <s v="App"/>
    <n v="4"/>
    <s v="California"/>
    <s v="Los Angeles County"/>
    <n v="2"/>
    <n v="9"/>
    <x v="1"/>
  </r>
  <r>
    <x v="1517"/>
    <x v="2"/>
    <n v="2"/>
    <n v="121"/>
    <n v="242"/>
    <d v="2025-02-26T00:00:00"/>
    <d v="2025-02-27T00:00:00"/>
    <x v="2"/>
    <s v="Website"/>
    <n v="3"/>
    <s v="California"/>
    <s v="Los Angeles County"/>
    <n v="1"/>
    <n v="9"/>
    <x v="2"/>
  </r>
  <r>
    <x v="1518"/>
    <x v="6"/>
    <n v="3"/>
    <n v="65.099999999999994"/>
    <n v="195.29999999999998"/>
    <d v="2025-02-26T00:00:00"/>
    <d v="2025-03-02T00:00:00"/>
    <x v="1"/>
    <s v="Target.com"/>
    <n v="4"/>
    <s v="California"/>
    <s v="San Benito County"/>
    <n v="4"/>
    <n v="9"/>
    <x v="1"/>
  </r>
  <r>
    <x v="1519"/>
    <x v="1"/>
    <n v="21"/>
    <n v="63.8"/>
    <n v="1339.8"/>
    <d v="2025-02-26T00:00:00"/>
    <d v="2025-02-28T00:00:00"/>
    <x v="2"/>
    <s v="App"/>
    <n v="4"/>
    <s v="California"/>
    <s v="San Diego County"/>
    <n v="2"/>
    <n v="9"/>
    <x v="2"/>
  </r>
  <r>
    <x v="1520"/>
    <x v="7"/>
    <n v="1"/>
    <n v="77.7"/>
    <n v="77.7"/>
    <d v="2025-02-26T00:00:00"/>
    <d v="2025-02-28T00:00:00"/>
    <x v="1"/>
    <s v="App"/>
    <n v="4"/>
    <s v="California"/>
    <s v="San Diego County"/>
    <n v="2"/>
    <n v="9"/>
    <x v="1"/>
  </r>
  <r>
    <x v="1521"/>
    <x v="5"/>
    <n v="4"/>
    <n v="60.3"/>
    <n v="241.2"/>
    <d v="2025-02-26T00:00:00"/>
    <d v="2025-02-26T00:00:00"/>
    <x v="1"/>
    <s v="App"/>
    <n v="5"/>
    <s v="California"/>
    <s v="San Diego County"/>
    <n v="0"/>
    <n v="9"/>
    <x v="1"/>
  </r>
  <r>
    <x v="1522"/>
    <x v="5"/>
    <n v="2"/>
    <n v="124.1"/>
    <n v="248.2"/>
    <d v="2025-02-26T00:00:00"/>
    <d v="2025-03-01T00:00:00"/>
    <x v="2"/>
    <s v="App"/>
    <n v="5"/>
    <s v="California"/>
    <s v="San Diego County"/>
    <n v="3"/>
    <n v="9"/>
    <x v="2"/>
  </r>
  <r>
    <x v="1523"/>
    <x v="16"/>
    <n v="7"/>
    <n v="66"/>
    <n v="462"/>
    <d v="2025-02-26T00:00:00"/>
    <d v="2025-02-26T00:00:00"/>
    <x v="0"/>
    <s v="Instagram"/>
    <n v="4"/>
    <s v="California"/>
    <s v="San Francisco"/>
    <n v="0"/>
    <n v="9"/>
    <x v="0"/>
  </r>
  <r>
    <x v="1524"/>
    <x v="2"/>
    <n v="63"/>
    <n v="118.2"/>
    <n v="7446.6"/>
    <d v="2025-02-26T00:00:00"/>
    <d v="2025-03-03T00:00:00"/>
    <x v="0"/>
    <s v="App"/>
    <n v="4"/>
    <s v="California"/>
    <s v="San Francisco"/>
    <n v="5"/>
    <n v="9"/>
    <x v="0"/>
  </r>
  <r>
    <x v="1525"/>
    <x v="5"/>
    <n v="5"/>
    <n v="64.3"/>
    <n v="321.5"/>
    <d v="2025-02-26T00:00:00"/>
    <d v="2025-02-27T00:00:00"/>
    <x v="1"/>
    <s v="Partner App"/>
    <n v="2"/>
    <s v="California"/>
    <s v="San Joaquin County"/>
    <n v="1"/>
    <n v="9"/>
    <x v="1"/>
  </r>
  <r>
    <x v="1526"/>
    <x v="1"/>
    <n v="2"/>
    <n v="54.8"/>
    <n v="109.6"/>
    <d v="2025-02-26T00:00:00"/>
    <d v="2025-02-26T00:00:00"/>
    <x v="1"/>
    <s v="App"/>
    <n v="3"/>
    <s v="California"/>
    <s v="San Joaquin County"/>
    <n v="0"/>
    <n v="9"/>
    <x v="1"/>
  </r>
  <r>
    <x v="1527"/>
    <x v="7"/>
    <n v="2"/>
    <n v="78.599999999999994"/>
    <n v="157.19999999999999"/>
    <d v="2025-02-26T00:00:00"/>
    <d v="2025-02-27T00:00:00"/>
    <x v="1"/>
    <s v="App"/>
    <n v="5"/>
    <s v="California"/>
    <s v="San Mateo County"/>
    <n v="1"/>
    <n v="9"/>
    <x v="1"/>
  </r>
  <r>
    <x v="1528"/>
    <x v="2"/>
    <n v="5"/>
    <n v="158.5"/>
    <n v="792.5"/>
    <d v="2025-02-26T00:00:00"/>
    <d v="2025-02-28T00:00:00"/>
    <x v="0"/>
    <s v="Target.com"/>
    <n v="5"/>
    <s v="California"/>
    <s v="San Mateo County"/>
    <n v="2"/>
    <n v="9"/>
    <x v="0"/>
  </r>
  <r>
    <x v="1529"/>
    <x v="4"/>
    <n v="10"/>
    <n v="23.5"/>
    <n v="235"/>
    <d v="2025-02-26T00:00:00"/>
    <d v="2025-03-01T00:00:00"/>
    <x v="1"/>
    <s v="App"/>
    <n v="2"/>
    <s v="California"/>
    <s v="Santa Barbara County"/>
    <n v="3"/>
    <n v="9"/>
    <x v="1"/>
  </r>
  <r>
    <x v="1530"/>
    <x v="5"/>
    <n v="2"/>
    <n v="32.1"/>
    <n v="64.2"/>
    <d v="2025-02-26T00:00:00"/>
    <d v="2025-02-28T00:00:00"/>
    <x v="0"/>
    <s v="Instagram"/>
    <n v="4"/>
    <s v="California"/>
    <s v="Santa Barbara County"/>
    <n v="2"/>
    <n v="9"/>
    <x v="0"/>
  </r>
  <r>
    <x v="1531"/>
    <x v="17"/>
    <n v="4"/>
    <n v="71.900000000000006"/>
    <n v="287.60000000000002"/>
    <d v="2025-02-26T00:00:00"/>
    <d v="2025-02-26T00:00:00"/>
    <x v="1"/>
    <s v="Target.com"/>
    <n v="4"/>
    <s v="California"/>
    <s v="Stanislaus County"/>
    <n v="0"/>
    <n v="9"/>
    <x v="1"/>
  </r>
  <r>
    <x v="1532"/>
    <x v="4"/>
    <n v="6"/>
    <n v="22.3"/>
    <n v="133.80000000000001"/>
    <d v="2025-02-26T00:00:00"/>
    <d v="2025-02-27T00:00:00"/>
    <x v="0"/>
    <s v="Instagram"/>
    <n v="5"/>
    <s v="California"/>
    <s v="Ventura County"/>
    <n v="1"/>
    <n v="9"/>
    <x v="0"/>
  </r>
  <r>
    <x v="1533"/>
    <x v="11"/>
    <n v="2"/>
    <n v="29.5"/>
    <n v="59"/>
    <d v="2025-02-26T00:00:00"/>
    <d v="2025-02-27T00:00:00"/>
    <x v="2"/>
    <s v="App"/>
    <n v="5"/>
    <s v="California"/>
    <s v="Ventura County"/>
    <n v="1"/>
    <n v="9"/>
    <x v="2"/>
  </r>
  <r>
    <x v="1534"/>
    <x v="6"/>
    <n v="4"/>
    <n v="41.9"/>
    <n v="167.6"/>
    <d v="2025-02-26T00:00:00"/>
    <d v="2025-03-02T00:00:00"/>
    <x v="2"/>
    <s v="App"/>
    <n v="3"/>
    <s v="California"/>
    <s v="Alameda County"/>
    <n v="4"/>
    <n v="9"/>
    <x v="2"/>
  </r>
  <r>
    <x v="1535"/>
    <x v="6"/>
    <n v="3"/>
    <n v="107.8"/>
    <n v="323.39999999999998"/>
    <d v="2025-02-26T00:00:00"/>
    <d v="2025-02-27T00:00:00"/>
    <x v="1"/>
    <s v="Website"/>
    <n v="5"/>
    <s v="California"/>
    <s v="Amador County"/>
    <n v="1"/>
    <n v="9"/>
    <x v="1"/>
  </r>
  <r>
    <x v="1536"/>
    <x v="4"/>
    <n v="5"/>
    <n v="18.100000000000001"/>
    <n v="90.5"/>
    <d v="2025-02-26T00:00:00"/>
    <d v="2025-03-01T00:00:00"/>
    <x v="1"/>
    <s v="App"/>
    <n v="5"/>
    <s v="California"/>
    <s v="Fresno County"/>
    <n v="3"/>
    <n v="9"/>
    <x v="1"/>
  </r>
  <r>
    <x v="1537"/>
    <x v="12"/>
    <n v="9"/>
    <n v="79.8"/>
    <n v="718.19999999999993"/>
    <d v="2025-02-26T00:00:00"/>
    <d v="2025-02-27T00:00:00"/>
    <x v="2"/>
    <s v="Website"/>
    <n v="3"/>
    <s v="California"/>
    <s v="Kern County"/>
    <n v="1"/>
    <n v="9"/>
    <x v="2"/>
  </r>
  <r>
    <x v="1538"/>
    <x v="0"/>
    <n v="3"/>
    <n v="22.3"/>
    <n v="66.900000000000006"/>
    <d v="2025-02-26T00:00:00"/>
    <d v="2025-03-01T00:00:00"/>
    <x v="2"/>
    <s v="App"/>
    <n v="5"/>
    <s v="California"/>
    <s v="Kern County"/>
    <n v="3"/>
    <n v="9"/>
    <x v="2"/>
  </r>
  <r>
    <x v="1539"/>
    <x v="8"/>
    <n v="1"/>
    <n v="22.9"/>
    <n v="22.9"/>
    <d v="2025-02-26T00:00:00"/>
    <d v="2025-02-26T00:00:00"/>
    <x v="2"/>
    <s v="Website"/>
    <n v="4"/>
    <s v="California"/>
    <s v="Kern County"/>
    <n v="0"/>
    <n v="9"/>
    <x v="2"/>
  </r>
  <r>
    <x v="1540"/>
    <x v="0"/>
    <n v="3"/>
    <n v="16.2"/>
    <n v="48.599999999999994"/>
    <d v="2025-02-27T00:00:00"/>
    <d v="2025-02-27T00:00:00"/>
    <x v="1"/>
    <s v="Partner App"/>
    <n v="5"/>
    <s v="California"/>
    <s v="Los Angeles County"/>
    <n v="0"/>
    <n v="9"/>
    <x v="1"/>
  </r>
  <r>
    <x v="1541"/>
    <x v="10"/>
    <n v="4"/>
    <n v="59.5"/>
    <n v="238"/>
    <d v="2025-02-27T00:00:00"/>
    <d v="2025-02-28T00:00:00"/>
    <x v="1"/>
    <s v="Website"/>
    <n v="5"/>
    <s v="California"/>
    <s v="Los Angeles County"/>
    <n v="1"/>
    <n v="9"/>
    <x v="1"/>
  </r>
  <r>
    <x v="1542"/>
    <x v="18"/>
    <n v="5"/>
    <n v="26.2"/>
    <n v="131"/>
    <d v="2025-02-27T00:00:00"/>
    <d v="2025-03-02T00:00:00"/>
    <x v="1"/>
    <s v="Instagram"/>
    <n v="2"/>
    <s v="California"/>
    <s v="Los Angeles County"/>
    <n v="3"/>
    <n v="9"/>
    <x v="1"/>
  </r>
  <r>
    <x v="1543"/>
    <x v="3"/>
    <n v="1"/>
    <n v="44.2"/>
    <n v="44.2"/>
    <d v="2025-02-27T00:00:00"/>
    <d v="2025-03-02T00:00:00"/>
    <x v="2"/>
    <s v="Website"/>
    <n v="4"/>
    <s v="California"/>
    <s v="Los Angeles County"/>
    <n v="3"/>
    <n v="9"/>
    <x v="2"/>
  </r>
  <r>
    <x v="1544"/>
    <x v="9"/>
    <n v="2"/>
    <n v="59.2"/>
    <n v="118.4"/>
    <d v="2025-02-27T00:00:00"/>
    <d v="2025-02-27T00:00:00"/>
    <x v="2"/>
    <s v="Website"/>
    <n v="2"/>
    <s v="California"/>
    <s v="Los Angeles County"/>
    <n v="0"/>
    <n v="9"/>
    <x v="2"/>
  </r>
  <r>
    <x v="1545"/>
    <x v="15"/>
    <n v="4"/>
    <n v="41.5"/>
    <n v="166"/>
    <d v="2025-02-27T00:00:00"/>
    <d v="2025-03-01T00:00:00"/>
    <x v="2"/>
    <s v="App"/>
    <n v="4"/>
    <s v="California"/>
    <s v="Napa County"/>
    <n v="2"/>
    <n v="9"/>
    <x v="2"/>
  </r>
  <r>
    <x v="1546"/>
    <x v="6"/>
    <n v="12"/>
    <n v="67.099999999999994"/>
    <n v="805.19999999999993"/>
    <d v="2025-02-27T00:00:00"/>
    <d v="2025-03-13T00:00:00"/>
    <x v="2"/>
    <s v="App"/>
    <n v="5"/>
    <s v="California"/>
    <s v="Riverside County"/>
    <n v="14"/>
    <n v="9"/>
    <x v="2"/>
  </r>
  <r>
    <x v="1547"/>
    <x v="8"/>
    <n v="2"/>
    <n v="28.7"/>
    <n v="57.4"/>
    <d v="2025-02-27T00:00:00"/>
    <d v="2025-03-03T00:00:00"/>
    <x v="2"/>
    <s v="Website"/>
    <n v="4"/>
    <s v="California"/>
    <s v="Sacramento County"/>
    <n v="4"/>
    <n v="9"/>
    <x v="2"/>
  </r>
  <r>
    <x v="1548"/>
    <x v="2"/>
    <n v="4"/>
    <n v="132.1"/>
    <n v="528.4"/>
    <d v="2025-02-27T00:00:00"/>
    <d v="2025-02-28T00:00:00"/>
    <x v="2"/>
    <s v="App"/>
    <n v="3"/>
    <s v="California"/>
    <s v="Sacramento County"/>
    <n v="1"/>
    <n v="9"/>
    <x v="2"/>
  </r>
  <r>
    <x v="1549"/>
    <x v="18"/>
    <n v="2"/>
    <n v="47"/>
    <n v="94"/>
    <d v="2025-02-27T00:00:00"/>
    <d v="2025-03-01T00:00:00"/>
    <x v="1"/>
    <s v="Partner App"/>
    <n v="4"/>
    <s v="California"/>
    <s v="San Diego County"/>
    <n v="2"/>
    <n v="9"/>
    <x v="1"/>
  </r>
  <r>
    <x v="1550"/>
    <x v="8"/>
    <n v="2"/>
    <n v="41.6"/>
    <n v="83.2"/>
    <d v="2025-02-27T00:00:00"/>
    <d v="2025-03-03T00:00:00"/>
    <x v="1"/>
    <s v="Website"/>
    <n v="5"/>
    <s v="California"/>
    <s v="San Diego County"/>
    <n v="4"/>
    <n v="9"/>
    <x v="1"/>
  </r>
  <r>
    <x v="1551"/>
    <x v="8"/>
    <n v="38"/>
    <n v="17.3"/>
    <n v="657.4"/>
    <d v="2025-02-27T00:00:00"/>
    <d v="2025-03-01T00:00:00"/>
    <x v="1"/>
    <s v="Target.com"/>
    <n v="5"/>
    <s v="California"/>
    <s v="San Diego County"/>
    <n v="2"/>
    <n v="9"/>
    <x v="1"/>
  </r>
  <r>
    <x v="1552"/>
    <x v="13"/>
    <n v="3"/>
    <n v="41.8"/>
    <n v="125.39999999999999"/>
    <d v="2025-02-27T00:00:00"/>
    <d v="2025-03-02T00:00:00"/>
    <x v="1"/>
    <s v="App"/>
    <n v="5"/>
    <s v="California"/>
    <s v="San Diego County"/>
    <n v="3"/>
    <n v="9"/>
    <x v="1"/>
  </r>
  <r>
    <x v="1553"/>
    <x v="10"/>
    <n v="1"/>
    <n v="24"/>
    <n v="24"/>
    <d v="2025-02-27T00:00:00"/>
    <d v="2025-02-28T00:00:00"/>
    <x v="2"/>
    <s v="App"/>
    <n v="4"/>
    <s v="California"/>
    <s v="San Francisco"/>
    <n v="1"/>
    <n v="9"/>
    <x v="2"/>
  </r>
  <r>
    <x v="1554"/>
    <x v="14"/>
    <n v="9"/>
    <n v="18.5"/>
    <n v="166.5"/>
    <d v="2025-02-27T00:00:00"/>
    <d v="2025-03-01T00:00:00"/>
    <x v="2"/>
    <s v="App"/>
    <n v="4"/>
    <s v="California"/>
    <s v="San Mateo County"/>
    <n v="2"/>
    <n v="9"/>
    <x v="2"/>
  </r>
  <r>
    <x v="1555"/>
    <x v="3"/>
    <n v="12"/>
    <n v="66.7"/>
    <n v="800.40000000000009"/>
    <d v="2025-02-27T00:00:00"/>
    <d v="2025-03-02T00:00:00"/>
    <x v="0"/>
    <s v="App"/>
    <n v="5"/>
    <s v="California"/>
    <s v="Santa Clara County"/>
    <n v="3"/>
    <n v="9"/>
    <x v="0"/>
  </r>
  <r>
    <x v="1556"/>
    <x v="1"/>
    <n v="4"/>
    <n v="33.1"/>
    <n v="132.4"/>
    <d v="2025-02-27T00:00:00"/>
    <d v="2025-03-04T00:00:00"/>
    <x v="1"/>
    <s v="Instagram"/>
    <n v="4"/>
    <s v="California"/>
    <s v="Santa Clara County"/>
    <n v="5"/>
    <n v="9"/>
    <x v="1"/>
  </r>
  <r>
    <x v="1557"/>
    <x v="19"/>
    <n v="9"/>
    <n v="42.1"/>
    <n v="378.90000000000003"/>
    <d v="2025-02-27T00:00:00"/>
    <d v="2025-03-10T00:00:00"/>
    <x v="1"/>
    <s v="Website"/>
    <n v="4"/>
    <s v="California"/>
    <s v="Sonoma County"/>
    <n v="11"/>
    <n v="9"/>
    <x v="1"/>
  </r>
  <r>
    <x v="1558"/>
    <x v="18"/>
    <n v="7"/>
    <n v="58.7"/>
    <n v="410.90000000000003"/>
    <d v="2025-02-27T00:00:00"/>
    <d v="2025-02-27T00:00:00"/>
    <x v="3"/>
    <s v="Instagram"/>
    <n v="4"/>
    <s v="California"/>
    <s v="Sutter County"/>
    <n v="0"/>
    <n v="9"/>
    <x v="3"/>
  </r>
  <r>
    <x v="1559"/>
    <x v="6"/>
    <n v="4"/>
    <n v="54"/>
    <n v="216"/>
    <d v="2025-02-27T00:00:00"/>
    <d v="2025-03-01T00:00:00"/>
    <x v="2"/>
    <s v="Website"/>
    <n v="4"/>
    <s v="California"/>
    <s v="Contra Costa County"/>
    <n v="2"/>
    <n v="9"/>
    <x v="2"/>
  </r>
  <r>
    <x v="1560"/>
    <x v="8"/>
    <n v="1"/>
    <n v="52.1"/>
    <n v="52.1"/>
    <d v="2025-02-27T00:00:00"/>
    <d v="2025-02-28T00:00:00"/>
    <x v="2"/>
    <s v="Target.com"/>
    <n v="5"/>
    <s v="California"/>
    <s v="Fresno County"/>
    <n v="1"/>
    <n v="9"/>
    <x v="2"/>
  </r>
  <r>
    <x v="1561"/>
    <x v="19"/>
    <n v="2"/>
    <n v="27"/>
    <n v="54"/>
    <d v="2025-02-27T00:00:00"/>
    <d v="2025-03-02T00:00:00"/>
    <x v="3"/>
    <s v="Target.com"/>
    <n v="4"/>
    <s v="California"/>
    <s v="Kern County"/>
    <n v="3"/>
    <n v="9"/>
    <x v="3"/>
  </r>
  <r>
    <x v="1562"/>
    <x v="12"/>
    <n v="10"/>
    <n v="31"/>
    <n v="310"/>
    <d v="2025-02-28T00:00:00"/>
    <d v="2025-03-01T00:00:00"/>
    <x v="2"/>
    <s v="Instagram"/>
    <n v="5"/>
    <s v="California"/>
    <s v="Kern County"/>
    <n v="1"/>
    <n v="9"/>
    <x v="2"/>
  </r>
  <r>
    <x v="1563"/>
    <x v="10"/>
    <n v="2"/>
    <n v="46.7"/>
    <n v="93.4"/>
    <d v="2025-02-28T00:00:00"/>
    <d v="2025-02-28T00:00:00"/>
    <x v="2"/>
    <s v="App"/>
    <n v="4"/>
    <s v="California"/>
    <s v="Kings County"/>
    <n v="0"/>
    <n v="9"/>
    <x v="2"/>
  </r>
  <r>
    <x v="1564"/>
    <x v="6"/>
    <n v="1"/>
    <n v="144.69999999999999"/>
    <n v="144.69999999999999"/>
    <d v="2025-02-28T00:00:00"/>
    <d v="2025-03-03T00:00:00"/>
    <x v="1"/>
    <s v="App"/>
    <n v="5"/>
    <s v="California"/>
    <s v="Los Angeles County"/>
    <n v="3"/>
    <n v="9"/>
    <x v="1"/>
  </r>
  <r>
    <x v="1565"/>
    <x v="2"/>
    <n v="9"/>
    <n v="90.9"/>
    <n v="818.1"/>
    <d v="2025-02-28T00:00:00"/>
    <d v="2025-03-01T00:00:00"/>
    <x v="1"/>
    <s v="App"/>
    <n v="5"/>
    <s v="California"/>
    <s v="Los Angeles County"/>
    <n v="1"/>
    <n v="9"/>
    <x v="1"/>
  </r>
  <r>
    <x v="1566"/>
    <x v="1"/>
    <n v="2"/>
    <n v="75.8"/>
    <n v="151.6"/>
    <d v="2025-02-28T00:00:00"/>
    <d v="2025-03-01T00:00:00"/>
    <x v="2"/>
    <s v="Target.com"/>
    <n v="3"/>
    <s v="California"/>
    <s v="Los Angeles County"/>
    <n v="1"/>
    <n v="9"/>
    <x v="2"/>
  </r>
  <r>
    <x v="1567"/>
    <x v="7"/>
    <n v="5"/>
    <n v="57.9"/>
    <n v="289.5"/>
    <d v="2025-02-28T00:00:00"/>
    <d v="2025-03-02T00:00:00"/>
    <x v="1"/>
    <s v="Target.com"/>
    <n v="5"/>
    <s v="California"/>
    <s v="Los Angeles County"/>
    <n v="2"/>
    <n v="9"/>
    <x v="1"/>
  </r>
  <r>
    <x v="1568"/>
    <x v="8"/>
    <n v="5"/>
    <n v="44.8"/>
    <n v="224"/>
    <d v="2025-02-28T00:00:00"/>
    <d v="2025-03-01T00:00:00"/>
    <x v="2"/>
    <s v="Instagram"/>
    <n v="5"/>
    <s v="California"/>
    <s v="Los Angeles County"/>
    <n v="1"/>
    <n v="9"/>
    <x v="2"/>
  </r>
  <r>
    <x v="1569"/>
    <x v="9"/>
    <n v="3"/>
    <n v="44.2"/>
    <n v="132.60000000000002"/>
    <d v="2025-02-28T00:00:00"/>
    <d v="2025-03-04T00:00:00"/>
    <x v="1"/>
    <s v="Target.com"/>
    <n v="5"/>
    <s v="California"/>
    <s v="Los Angeles County"/>
    <n v="4"/>
    <n v="9"/>
    <x v="1"/>
  </r>
  <r>
    <x v="1570"/>
    <x v="5"/>
    <n v="5"/>
    <n v="53.5"/>
    <n v="267.5"/>
    <d v="2025-02-28T00:00:00"/>
    <d v="2025-03-02T00:00:00"/>
    <x v="1"/>
    <s v="App"/>
    <n v="4"/>
    <s v="California"/>
    <s v="Madera County"/>
    <n v="2"/>
    <n v="9"/>
    <x v="1"/>
  </r>
  <r>
    <x v="1571"/>
    <x v="6"/>
    <n v="2"/>
    <n v="72.2"/>
    <n v="144.4"/>
    <d v="2025-02-28T00:00:00"/>
    <d v="2025-03-01T00:00:00"/>
    <x v="1"/>
    <s v="App"/>
    <n v="5"/>
    <s v="California"/>
    <s v="Orange County"/>
    <n v="1"/>
    <n v="9"/>
    <x v="1"/>
  </r>
  <r>
    <x v="1572"/>
    <x v="6"/>
    <n v="4"/>
    <n v="62.4"/>
    <n v="249.6"/>
    <d v="2025-02-28T00:00:00"/>
    <d v="2025-03-03T00:00:00"/>
    <x v="2"/>
    <s v="App"/>
    <n v="3"/>
    <s v="California"/>
    <s v="Riverside County"/>
    <n v="3"/>
    <n v="9"/>
    <x v="2"/>
  </r>
  <r>
    <x v="1573"/>
    <x v="10"/>
    <n v="5"/>
    <n v="24.7"/>
    <n v="123.5"/>
    <d v="2025-02-28T00:00:00"/>
    <d v="2025-03-01T00:00:00"/>
    <x v="2"/>
    <s v="App"/>
    <n v="4"/>
    <s v="California"/>
    <s v="Sacramento County"/>
    <n v="1"/>
    <n v="9"/>
    <x v="2"/>
  </r>
  <r>
    <x v="1574"/>
    <x v="1"/>
    <n v="5"/>
    <n v="61.7"/>
    <n v="308.5"/>
    <d v="2025-02-28T00:00:00"/>
    <d v="2025-03-02T00:00:00"/>
    <x v="2"/>
    <s v="Target.com"/>
    <n v="4"/>
    <s v="California"/>
    <s v="San Diego County"/>
    <n v="2"/>
    <n v="9"/>
    <x v="2"/>
  </r>
  <r>
    <x v="1575"/>
    <x v="8"/>
    <n v="5"/>
    <n v="18.2"/>
    <n v="91"/>
    <d v="2025-02-28T00:00:00"/>
    <d v="2025-03-02T00:00:00"/>
    <x v="2"/>
    <s v="Instagram"/>
    <n v="4"/>
    <s v="California"/>
    <s v="San Diego County"/>
    <n v="2"/>
    <n v="9"/>
    <x v="2"/>
  </r>
  <r>
    <x v="1576"/>
    <x v="10"/>
    <n v="4"/>
    <n v="37.200000000000003"/>
    <n v="148.80000000000001"/>
    <d v="2025-02-28T00:00:00"/>
    <d v="2025-03-06T00:00:00"/>
    <x v="2"/>
    <s v="App"/>
    <n v="4"/>
    <s v="California"/>
    <s v="San Diego County"/>
    <n v="6"/>
    <n v="9"/>
    <x v="2"/>
  </r>
  <r>
    <x v="1577"/>
    <x v="9"/>
    <n v="3"/>
    <n v="53.5"/>
    <n v="160.5"/>
    <d v="2025-02-28T00:00:00"/>
    <d v="2025-03-02T00:00:00"/>
    <x v="2"/>
    <s v="Website"/>
    <n v="5"/>
    <s v="California"/>
    <s v="San Mateo County"/>
    <n v="2"/>
    <n v="9"/>
    <x v="2"/>
  </r>
  <r>
    <x v="1578"/>
    <x v="8"/>
    <n v="3"/>
    <n v="43.6"/>
    <n v="130.80000000000001"/>
    <d v="2025-02-28T00:00:00"/>
    <d v="2025-02-28T00:00:00"/>
    <x v="2"/>
    <s v="App"/>
    <n v="4"/>
    <s v="California"/>
    <s v="San Mateo County"/>
    <n v="0"/>
    <n v="9"/>
    <x v="2"/>
  </r>
  <r>
    <x v="1579"/>
    <x v="1"/>
    <n v="10"/>
    <n v="135"/>
    <n v="1350"/>
    <d v="2025-02-28T00:00:00"/>
    <d v="2025-03-02T00:00:00"/>
    <x v="2"/>
    <s v="App"/>
    <n v="5"/>
    <s v="California"/>
    <s v="San Mateo County"/>
    <n v="2"/>
    <n v="9"/>
    <x v="2"/>
  </r>
  <r>
    <x v="1580"/>
    <x v="8"/>
    <n v="5"/>
    <n v="38.5"/>
    <n v="192.5"/>
    <d v="2025-02-28T00:00:00"/>
    <d v="2025-02-28T00:00:00"/>
    <x v="1"/>
    <s v="Partner App"/>
    <n v="5"/>
    <s v="California"/>
    <s v="Santa Barbara County"/>
    <n v="0"/>
    <n v="9"/>
    <x v="1"/>
  </r>
  <r>
    <x v="1581"/>
    <x v="9"/>
    <n v="2"/>
    <n v="24"/>
    <n v="48"/>
    <d v="2025-02-28T00:00:00"/>
    <d v="2025-03-05T00:00:00"/>
    <x v="2"/>
    <s v="App"/>
    <n v="4"/>
    <s v="California"/>
    <s v="Santa Clara County"/>
    <n v="5"/>
    <n v="9"/>
    <x v="2"/>
  </r>
  <r>
    <x v="1582"/>
    <x v="4"/>
    <n v="3"/>
    <n v="28.2"/>
    <n v="84.6"/>
    <d v="2025-02-28T00:00:00"/>
    <d v="2025-03-02T00:00:00"/>
    <x v="1"/>
    <s v="App"/>
    <n v="1"/>
    <s v="California"/>
    <s v="Sonoma County"/>
    <n v="2"/>
    <n v="9"/>
    <x v="1"/>
  </r>
  <r>
    <x v="1583"/>
    <x v="7"/>
    <n v="3"/>
    <n v="37.4"/>
    <n v="112.19999999999999"/>
    <d v="2025-02-28T00:00:00"/>
    <d v="2025-03-01T00:00:00"/>
    <x v="2"/>
    <s v="Instagram"/>
    <n v="4"/>
    <s v="California"/>
    <s v="Contra Costa County"/>
    <n v="1"/>
    <n v="9"/>
    <x v="2"/>
  </r>
  <r>
    <x v="1584"/>
    <x v="6"/>
    <n v="3"/>
    <n v="53.5"/>
    <n v="160.5"/>
    <d v="2025-02-28T00:00:00"/>
    <d v="2025-03-03T00:00:00"/>
    <x v="0"/>
    <s v="Partner App"/>
    <n v="2"/>
    <s v="California"/>
    <s v="Contra Costa County"/>
    <n v="3"/>
    <n v="9"/>
    <x v="0"/>
  </r>
  <r>
    <x v="1585"/>
    <x v="11"/>
    <n v="5"/>
    <n v="36.200000000000003"/>
    <n v="181"/>
    <d v="2025-02-28T00:00:00"/>
    <d v="2025-03-01T00:00:00"/>
    <x v="1"/>
    <s v="Website"/>
    <n v="5"/>
    <s v="California"/>
    <s v="Imperial County"/>
    <n v="1"/>
    <n v="9"/>
    <x v="1"/>
  </r>
  <r>
    <x v="1586"/>
    <x v="0"/>
    <n v="8"/>
    <n v="31.9"/>
    <n v="255.2"/>
    <d v="2025-02-28T00:00:00"/>
    <d v="2025-03-01T00:00:00"/>
    <x v="2"/>
    <s v="Partner App"/>
    <n v="4"/>
    <s v="California"/>
    <s v="Los Angeles County"/>
    <n v="1"/>
    <n v="9"/>
    <x v="2"/>
  </r>
  <r>
    <x v="1587"/>
    <x v="8"/>
    <n v="3"/>
    <n v="21.3"/>
    <n v="63.900000000000006"/>
    <d v="2025-02-28T00:00:00"/>
    <d v="2025-03-01T00:00:00"/>
    <x v="1"/>
    <s v="App"/>
    <n v="5"/>
    <s v="California"/>
    <s v="Los Angeles County"/>
    <n v="1"/>
    <n v="9"/>
    <x v="1"/>
  </r>
  <r>
    <x v="1588"/>
    <x v="8"/>
    <n v="1"/>
    <n v="36.299999999999997"/>
    <n v="36.299999999999997"/>
    <d v="2025-02-28T00:00:00"/>
    <d v="2025-03-02T00:00:00"/>
    <x v="3"/>
    <s v="Partner App"/>
    <n v="4"/>
    <s v="California"/>
    <s v="Los Angeles County"/>
    <n v="2"/>
    <n v="9"/>
    <x v="3"/>
  </r>
  <r>
    <x v="1589"/>
    <x v="6"/>
    <n v="3"/>
    <n v="110.5"/>
    <n v="331.5"/>
    <d v="2025-02-28T00:00:00"/>
    <d v="2025-03-01T00:00:00"/>
    <x v="2"/>
    <s v="App"/>
    <n v="1"/>
    <s v="California"/>
    <s v="Los Angeles County"/>
    <n v="1"/>
    <n v="9"/>
    <x v="2"/>
  </r>
  <r>
    <x v="1590"/>
    <x v="10"/>
    <n v="7"/>
    <n v="32.6"/>
    <n v="228.20000000000002"/>
    <d v="2025-02-28T00:00:00"/>
    <d v="2025-03-02T00:00:00"/>
    <x v="2"/>
    <s v="App"/>
    <n v="3"/>
    <s v="California"/>
    <s v="Los Angeles County"/>
    <n v="2"/>
    <n v="9"/>
    <x v="2"/>
  </r>
  <r>
    <x v="1591"/>
    <x v="5"/>
    <n v="3"/>
    <n v="55.6"/>
    <n v="166.8"/>
    <d v="2025-03-01T00:00:00"/>
    <d v="2025-03-14T00:00:00"/>
    <x v="2"/>
    <s v="App"/>
    <n v="4"/>
    <s v="California"/>
    <s v="Los Angeles County"/>
    <n v="13"/>
    <n v="9"/>
    <x v="2"/>
  </r>
  <r>
    <x v="1592"/>
    <x v="1"/>
    <n v="4"/>
    <n v="38"/>
    <n v="152"/>
    <d v="2025-03-01T00:00:00"/>
    <d v="2025-03-02T00:00:00"/>
    <x v="2"/>
    <s v="Instagram"/>
    <n v="5"/>
    <s v="California"/>
    <s v="Placer County"/>
    <n v="1"/>
    <n v="9"/>
    <x v="2"/>
  </r>
  <r>
    <x v="1593"/>
    <x v="10"/>
    <n v="2"/>
    <n v="51.8"/>
    <n v="103.6"/>
    <d v="2025-03-01T00:00:00"/>
    <d v="2025-03-07T00:00:00"/>
    <x v="1"/>
    <s v="Website"/>
    <n v="2"/>
    <s v="California"/>
    <s v="Sacramento County"/>
    <n v="6"/>
    <n v="9"/>
    <x v="1"/>
  </r>
  <r>
    <x v="1594"/>
    <x v="11"/>
    <n v="8"/>
    <n v="28.7"/>
    <n v="229.6"/>
    <d v="2025-03-01T00:00:00"/>
    <d v="2025-03-06T00:00:00"/>
    <x v="2"/>
    <s v="App"/>
    <n v="4"/>
    <s v="California"/>
    <s v="Sacramento County"/>
    <n v="5"/>
    <n v="9"/>
    <x v="2"/>
  </r>
  <r>
    <x v="1595"/>
    <x v="6"/>
    <n v="12"/>
    <n v="52.2"/>
    <n v="626.40000000000009"/>
    <d v="2025-03-01T00:00:00"/>
    <d v="2025-03-01T00:00:00"/>
    <x v="1"/>
    <s v="App"/>
    <n v="3"/>
    <s v="California"/>
    <s v="Sacramento County"/>
    <n v="0"/>
    <n v="9"/>
    <x v="1"/>
  </r>
  <r>
    <x v="1596"/>
    <x v="1"/>
    <n v="2"/>
    <n v="68.2"/>
    <n v="136.4"/>
    <d v="2025-03-01T00:00:00"/>
    <d v="2025-03-02T00:00:00"/>
    <x v="0"/>
    <s v="Target.com"/>
    <n v="4"/>
    <s v="California"/>
    <s v="San Bernardino County"/>
    <n v="1"/>
    <n v="9"/>
    <x v="0"/>
  </r>
  <r>
    <x v="1597"/>
    <x v="0"/>
    <n v="3"/>
    <n v="34"/>
    <n v="102"/>
    <d v="2025-03-01T00:00:00"/>
    <d v="2025-03-05T00:00:00"/>
    <x v="2"/>
    <s v="App"/>
    <n v="4"/>
    <s v="California"/>
    <s v="San Diego County"/>
    <n v="4"/>
    <n v="9"/>
    <x v="2"/>
  </r>
  <r>
    <x v="1598"/>
    <x v="8"/>
    <n v="3"/>
    <n v="19.100000000000001"/>
    <n v="57.300000000000004"/>
    <d v="2025-03-01T00:00:00"/>
    <d v="2025-03-02T00:00:00"/>
    <x v="2"/>
    <s v="Partner App"/>
    <n v="4"/>
    <s v="California"/>
    <s v="San Diego County"/>
    <n v="1"/>
    <n v="9"/>
    <x v="2"/>
  </r>
  <r>
    <x v="1599"/>
    <x v="5"/>
    <n v="8"/>
    <n v="34"/>
    <n v="272"/>
    <d v="2025-03-01T00:00:00"/>
    <d v="2025-03-09T00:00:00"/>
    <x v="2"/>
    <s v="Partner App"/>
    <n v="4"/>
    <s v="California"/>
    <s v="San Diego County"/>
    <n v="8"/>
    <n v="9"/>
    <x v="2"/>
  </r>
  <r>
    <x v="1600"/>
    <x v="12"/>
    <n v="2"/>
    <n v="109.1"/>
    <n v="218.2"/>
    <d v="2025-03-01T00:00:00"/>
    <d v="2025-03-03T00:00:00"/>
    <x v="1"/>
    <s v="App"/>
    <n v="5"/>
    <s v="California"/>
    <s v="San Diego County"/>
    <n v="2"/>
    <n v="9"/>
    <x v="1"/>
  </r>
  <r>
    <x v="1601"/>
    <x v="18"/>
    <n v="2"/>
    <n v="64.8"/>
    <n v="129.6"/>
    <d v="2025-03-01T00:00:00"/>
    <d v="2025-03-03T00:00:00"/>
    <x v="1"/>
    <s v="App"/>
    <n v="5"/>
    <s v="California"/>
    <s v="San Diego County"/>
    <n v="2"/>
    <n v="9"/>
    <x v="1"/>
  </r>
  <r>
    <x v="1602"/>
    <x v="10"/>
    <n v="2"/>
    <n v="21.1"/>
    <n v="42.2"/>
    <d v="2025-03-01T00:00:00"/>
    <d v="2025-03-01T00:00:00"/>
    <x v="2"/>
    <s v="Website"/>
    <n v="4"/>
    <s v="California"/>
    <s v="Santa Clara County"/>
    <n v="0"/>
    <n v="9"/>
    <x v="2"/>
  </r>
  <r>
    <x v="1603"/>
    <x v="0"/>
    <n v="8"/>
    <n v="21.3"/>
    <n v="170.4"/>
    <d v="2025-03-01T00:00:00"/>
    <d v="2025-03-03T00:00:00"/>
    <x v="1"/>
    <s v="Instagram"/>
    <n v="3"/>
    <s v="California"/>
    <s v="Sonoma County"/>
    <n v="2"/>
    <n v="9"/>
    <x v="1"/>
  </r>
  <r>
    <x v="1604"/>
    <x v="9"/>
    <n v="3"/>
    <n v="24.3"/>
    <n v="72.900000000000006"/>
    <d v="2025-03-01T00:00:00"/>
    <d v="2025-03-02T00:00:00"/>
    <x v="1"/>
    <s v="Website"/>
    <n v="4"/>
    <s v="California"/>
    <s v="Stanislaus County"/>
    <n v="1"/>
    <n v="9"/>
    <x v="1"/>
  </r>
  <r>
    <x v="1605"/>
    <x v="8"/>
    <n v="1"/>
    <n v="43.3"/>
    <n v="43.3"/>
    <d v="2025-03-01T00:00:00"/>
    <d v="2025-03-05T00:00:00"/>
    <x v="1"/>
    <s v="Website"/>
    <n v="3"/>
    <s v="California"/>
    <s v="Ventura County"/>
    <n v="4"/>
    <n v="9"/>
    <x v="1"/>
  </r>
  <r>
    <x v="1606"/>
    <x v="9"/>
    <n v="3"/>
    <n v="41"/>
    <n v="123"/>
    <d v="2025-03-01T00:00:00"/>
    <d v="2025-03-02T00:00:00"/>
    <x v="2"/>
    <s v="Instagram"/>
    <n v="2"/>
    <s v="California"/>
    <s v="Alameda County"/>
    <n v="1"/>
    <n v="9"/>
    <x v="2"/>
  </r>
  <r>
    <x v="1607"/>
    <x v="16"/>
    <n v="3"/>
    <n v="54.1"/>
    <n v="162.30000000000001"/>
    <d v="2025-03-01T00:00:00"/>
    <d v="2025-03-03T00:00:00"/>
    <x v="2"/>
    <s v="Partner App"/>
    <n v="4"/>
    <s v="California"/>
    <s v="Alameda County"/>
    <n v="2"/>
    <n v="9"/>
    <x v="2"/>
  </r>
  <r>
    <x v="1608"/>
    <x v="11"/>
    <n v="2"/>
    <n v="39"/>
    <n v="78"/>
    <d v="2025-03-01T00:00:00"/>
    <d v="2025-03-02T00:00:00"/>
    <x v="1"/>
    <s v="Website"/>
    <n v="5"/>
    <s v="California"/>
    <s v="Contra Costa County"/>
    <n v="1"/>
    <n v="9"/>
    <x v="1"/>
  </r>
  <r>
    <x v="1609"/>
    <x v="8"/>
    <n v="2"/>
    <n v="40.299999999999997"/>
    <n v="80.599999999999994"/>
    <d v="2025-03-01T00:00:00"/>
    <d v="2025-03-03T00:00:00"/>
    <x v="1"/>
    <s v="Instagram"/>
    <n v="4"/>
    <s v="California"/>
    <s v="Glenn County"/>
    <n v="2"/>
    <n v="9"/>
    <x v="1"/>
  </r>
  <r>
    <x v="1610"/>
    <x v="8"/>
    <n v="3"/>
    <n v="24.1"/>
    <n v="72.300000000000011"/>
    <d v="2025-03-01T00:00:00"/>
    <d v="2025-03-02T00:00:00"/>
    <x v="1"/>
    <s v="App"/>
    <n v="5"/>
    <s v="California"/>
    <s v="Kings County"/>
    <n v="1"/>
    <n v="9"/>
    <x v="1"/>
  </r>
  <r>
    <x v="1611"/>
    <x v="6"/>
    <n v="5"/>
    <n v="52.3"/>
    <n v="261.5"/>
    <d v="2025-03-01T00:00:00"/>
    <d v="2025-03-02T00:00:00"/>
    <x v="1"/>
    <s v="Target.com"/>
    <n v="4"/>
    <s v="California"/>
    <s v="Los Angeles County"/>
    <n v="1"/>
    <n v="9"/>
    <x v="1"/>
  </r>
  <r>
    <x v="1612"/>
    <x v="12"/>
    <n v="4"/>
    <n v="68.8"/>
    <n v="275.2"/>
    <d v="2025-03-01T00:00:00"/>
    <d v="2025-03-05T00:00:00"/>
    <x v="2"/>
    <s v="Partner App"/>
    <n v="5"/>
    <s v="California"/>
    <s v="Los Angeles County"/>
    <n v="4"/>
    <n v="9"/>
    <x v="2"/>
  </r>
  <r>
    <x v="1613"/>
    <x v="2"/>
    <n v="2"/>
    <n v="128.80000000000001"/>
    <n v="257.60000000000002"/>
    <d v="2025-03-02T00:00:00"/>
    <d v="2025-03-05T00:00:00"/>
    <x v="2"/>
    <s v="Website"/>
    <n v="3"/>
    <s v="California"/>
    <s v="Los Angeles County"/>
    <n v="3"/>
    <n v="10"/>
    <x v="2"/>
  </r>
  <r>
    <x v="1614"/>
    <x v="15"/>
    <n v="5"/>
    <n v="48.2"/>
    <n v="241"/>
    <d v="2025-03-02T00:00:00"/>
    <d v="2025-03-04T00:00:00"/>
    <x v="2"/>
    <s v="Instagram"/>
    <n v="4"/>
    <s v="California"/>
    <s v="Los Angeles County"/>
    <n v="2"/>
    <n v="10"/>
    <x v="2"/>
  </r>
  <r>
    <x v="1615"/>
    <x v="10"/>
    <n v="1"/>
    <n v="39.700000000000003"/>
    <n v="39.700000000000003"/>
    <d v="2025-03-02T00:00:00"/>
    <d v="2025-03-04T00:00:00"/>
    <x v="2"/>
    <s v="App"/>
    <n v="3"/>
    <s v="California"/>
    <s v="Los Angeles County"/>
    <n v="2"/>
    <n v="10"/>
    <x v="2"/>
  </r>
  <r>
    <x v="1616"/>
    <x v="9"/>
    <n v="1"/>
    <n v="59.7"/>
    <n v="59.7"/>
    <d v="2025-03-02T00:00:00"/>
    <d v="2025-03-05T00:00:00"/>
    <x v="2"/>
    <s v="Partner App"/>
    <n v="4"/>
    <s v="California"/>
    <s v="Los Angeles County"/>
    <n v="3"/>
    <n v="10"/>
    <x v="2"/>
  </r>
  <r>
    <x v="1617"/>
    <x v="6"/>
    <n v="1"/>
    <n v="48.3"/>
    <n v="48.3"/>
    <d v="2025-03-02T00:00:00"/>
    <d v="2025-03-16T00:00:00"/>
    <x v="3"/>
    <s v="App"/>
    <n v="5"/>
    <s v="California"/>
    <s v="Los Angeles County"/>
    <n v="14"/>
    <n v="10"/>
    <x v="3"/>
  </r>
  <r>
    <x v="1618"/>
    <x v="8"/>
    <n v="3"/>
    <n v="45.5"/>
    <n v="136.5"/>
    <d v="2025-03-02T00:00:00"/>
    <d v="2025-03-04T00:00:00"/>
    <x v="1"/>
    <s v="Target.com"/>
    <n v="3"/>
    <s v="California"/>
    <s v="Los Angeles County"/>
    <n v="2"/>
    <n v="10"/>
    <x v="1"/>
  </r>
  <r>
    <x v="1619"/>
    <x v="9"/>
    <n v="27"/>
    <n v="51"/>
    <n v="1377"/>
    <d v="2025-03-02T00:00:00"/>
    <d v="2025-03-02T00:00:00"/>
    <x v="2"/>
    <s v="Target.com"/>
    <n v="4"/>
    <s v="California"/>
    <s v="Los Angeles County"/>
    <n v="0"/>
    <n v="10"/>
    <x v="2"/>
  </r>
  <r>
    <x v="1620"/>
    <x v="4"/>
    <n v="6"/>
    <n v="20.399999999999999"/>
    <n v="122.39999999999999"/>
    <d v="2025-03-02T00:00:00"/>
    <d v="2025-03-03T00:00:00"/>
    <x v="1"/>
    <s v="Target.com"/>
    <n v="4"/>
    <s v="California"/>
    <s v="Los Angeles County"/>
    <n v="1"/>
    <n v="10"/>
    <x v="1"/>
  </r>
  <r>
    <x v="1621"/>
    <x v="10"/>
    <n v="2"/>
    <n v="30.4"/>
    <n v="60.8"/>
    <d v="2025-03-02T00:00:00"/>
    <d v="2025-03-04T00:00:00"/>
    <x v="1"/>
    <s v="Target.com"/>
    <n v="4"/>
    <s v="California"/>
    <s v="Los Angeles County"/>
    <n v="2"/>
    <n v="10"/>
    <x v="1"/>
  </r>
  <r>
    <x v="1622"/>
    <x v="7"/>
    <n v="2"/>
    <n v="71.5"/>
    <n v="143"/>
    <d v="2025-03-02T00:00:00"/>
    <d v="2025-03-06T00:00:00"/>
    <x v="2"/>
    <s v="App"/>
    <n v="4"/>
    <s v="California"/>
    <s v="Los Angeles County"/>
    <n v="4"/>
    <n v="10"/>
    <x v="2"/>
  </r>
  <r>
    <x v="1623"/>
    <x v="8"/>
    <n v="6"/>
    <n v="18"/>
    <n v="108"/>
    <d v="2025-03-02T00:00:00"/>
    <d v="2025-03-03T00:00:00"/>
    <x v="3"/>
    <s v="Website"/>
    <n v="5"/>
    <s v="California"/>
    <s v="Sacramento County"/>
    <n v="1"/>
    <n v="10"/>
    <x v="3"/>
  </r>
  <r>
    <x v="1624"/>
    <x v="15"/>
    <n v="11"/>
    <n v="45.6"/>
    <n v="501.6"/>
    <d v="2025-03-02T00:00:00"/>
    <d v="2025-03-03T00:00:00"/>
    <x v="3"/>
    <s v="Website"/>
    <n v="3"/>
    <s v="California"/>
    <s v="San Bernardino County"/>
    <n v="1"/>
    <n v="10"/>
    <x v="3"/>
  </r>
  <r>
    <x v="1625"/>
    <x v="9"/>
    <n v="1"/>
    <n v="31.8"/>
    <n v="31.8"/>
    <d v="2025-03-02T00:00:00"/>
    <d v="2025-03-06T00:00:00"/>
    <x v="2"/>
    <s v="App"/>
    <n v="5"/>
    <s v="California"/>
    <s v="San Bernardino County"/>
    <n v="4"/>
    <n v="10"/>
    <x v="2"/>
  </r>
  <r>
    <x v="1626"/>
    <x v="8"/>
    <n v="5"/>
    <n v="19.899999999999999"/>
    <n v="99.5"/>
    <d v="2025-03-02T00:00:00"/>
    <d v="2025-03-03T00:00:00"/>
    <x v="2"/>
    <s v="Website"/>
    <n v="4"/>
    <s v="California"/>
    <s v="San Bernardino County"/>
    <n v="1"/>
    <n v="10"/>
    <x v="2"/>
  </r>
  <r>
    <x v="1627"/>
    <x v="12"/>
    <n v="9"/>
    <n v="52.1"/>
    <n v="468.90000000000003"/>
    <d v="2025-03-02T00:00:00"/>
    <d v="2025-03-04T00:00:00"/>
    <x v="1"/>
    <s v="App"/>
    <n v="4"/>
    <s v="California"/>
    <s v="San Diego County"/>
    <n v="2"/>
    <n v="10"/>
    <x v="1"/>
  </r>
  <r>
    <x v="1628"/>
    <x v="1"/>
    <n v="7"/>
    <n v="45.9"/>
    <n v="321.3"/>
    <d v="2025-03-02T00:00:00"/>
    <d v="2025-03-03T00:00:00"/>
    <x v="1"/>
    <s v="App"/>
    <n v="3"/>
    <s v="California"/>
    <s v="San Diego County"/>
    <n v="1"/>
    <n v="10"/>
    <x v="1"/>
  </r>
  <r>
    <x v="1629"/>
    <x v="1"/>
    <n v="10"/>
    <n v="115.9"/>
    <n v="1159"/>
    <d v="2025-03-02T00:00:00"/>
    <d v="2025-03-05T00:00:00"/>
    <x v="2"/>
    <s v="Website"/>
    <n v="4"/>
    <s v="California"/>
    <s v="San Diego County"/>
    <n v="3"/>
    <n v="10"/>
    <x v="2"/>
  </r>
  <r>
    <x v="1630"/>
    <x v="6"/>
    <n v="9"/>
    <n v="86"/>
    <n v="774"/>
    <d v="2025-03-02T00:00:00"/>
    <d v="2025-03-07T00:00:00"/>
    <x v="2"/>
    <s v="App"/>
    <n v="3"/>
    <s v="California"/>
    <s v="San Diego County"/>
    <n v="5"/>
    <n v="10"/>
    <x v="2"/>
  </r>
  <r>
    <x v="1631"/>
    <x v="7"/>
    <n v="7"/>
    <n v="73.599999999999994"/>
    <n v="515.19999999999993"/>
    <d v="2025-03-02T00:00:00"/>
    <d v="2025-03-04T00:00:00"/>
    <x v="2"/>
    <s v="App"/>
    <n v="4"/>
    <s v="California"/>
    <s v="San Francisco"/>
    <n v="2"/>
    <n v="10"/>
    <x v="2"/>
  </r>
  <r>
    <x v="1632"/>
    <x v="10"/>
    <n v="3"/>
    <n v="26.7"/>
    <n v="80.099999999999994"/>
    <d v="2025-03-02T00:00:00"/>
    <d v="2025-03-06T00:00:00"/>
    <x v="2"/>
    <s v="App"/>
    <n v="4"/>
    <s v="California"/>
    <s v="Santa Clara County"/>
    <n v="4"/>
    <n v="10"/>
    <x v="2"/>
  </r>
  <r>
    <x v="1633"/>
    <x v="8"/>
    <n v="7"/>
    <n v="46.6"/>
    <n v="326.2"/>
    <d v="2025-03-02T00:00:00"/>
    <d v="2025-03-04T00:00:00"/>
    <x v="0"/>
    <s v="Instagram"/>
    <n v="4"/>
    <s v="California"/>
    <s v="Santa Clara County"/>
    <n v="2"/>
    <n v="10"/>
    <x v="0"/>
  </r>
  <r>
    <x v="1634"/>
    <x v="3"/>
    <n v="3"/>
    <n v="84.6"/>
    <n v="253.79999999999998"/>
    <d v="2025-03-02T00:00:00"/>
    <d v="2025-03-04T00:00:00"/>
    <x v="1"/>
    <s v="Partner App"/>
    <n v="4"/>
    <s v="California"/>
    <s v="Santa Clara County"/>
    <n v="2"/>
    <n v="10"/>
    <x v="1"/>
  </r>
  <r>
    <x v="1635"/>
    <x v="7"/>
    <n v="14"/>
    <n v="41.5"/>
    <n v="581"/>
    <d v="2025-03-02T00:00:00"/>
    <d v="2025-03-16T00:00:00"/>
    <x v="1"/>
    <s v="Website"/>
    <n v="4"/>
    <s v="California"/>
    <s v="Shasta County"/>
    <n v="14"/>
    <n v="10"/>
    <x v="1"/>
  </r>
  <r>
    <x v="1636"/>
    <x v="8"/>
    <n v="1"/>
    <n v="32.799999999999997"/>
    <n v="32.799999999999997"/>
    <d v="2025-03-02T00:00:00"/>
    <d v="2025-03-05T00:00:00"/>
    <x v="1"/>
    <s v="App"/>
    <n v="5"/>
    <s v="California"/>
    <s v="Siskiyou County"/>
    <n v="3"/>
    <n v="10"/>
    <x v="1"/>
  </r>
  <r>
    <x v="1637"/>
    <x v="4"/>
    <n v="7"/>
    <n v="46.7"/>
    <n v="326.90000000000003"/>
    <d v="2025-03-02T00:00:00"/>
    <d v="2025-03-04T00:00:00"/>
    <x v="3"/>
    <s v="App"/>
    <n v="5"/>
    <s v="California"/>
    <s v="Sonoma County"/>
    <n v="2"/>
    <n v="10"/>
    <x v="3"/>
  </r>
  <r>
    <x v="1638"/>
    <x v="15"/>
    <n v="7"/>
    <n v="21"/>
    <n v="147"/>
    <d v="2025-03-02T00:00:00"/>
    <d v="2025-03-05T00:00:00"/>
    <x v="1"/>
    <s v="Target.com"/>
    <n v="3"/>
    <s v="California"/>
    <s v="Alameda County"/>
    <n v="3"/>
    <n v="10"/>
    <x v="1"/>
  </r>
  <r>
    <x v="1639"/>
    <x v="5"/>
    <n v="7"/>
    <n v="29.4"/>
    <n v="205.79999999999998"/>
    <d v="2025-03-02T00:00:00"/>
    <d v="2025-03-02T00:00:00"/>
    <x v="1"/>
    <s v="Instagram"/>
    <n v="5"/>
    <s v="California"/>
    <s v="Alameda County"/>
    <n v="0"/>
    <n v="10"/>
    <x v="1"/>
  </r>
  <r>
    <x v="1640"/>
    <x v="15"/>
    <n v="2"/>
    <n v="32.299999999999997"/>
    <n v="64.599999999999994"/>
    <d v="2025-03-02T00:00:00"/>
    <d v="2025-03-03T00:00:00"/>
    <x v="1"/>
    <s v="App"/>
    <n v="5"/>
    <s v="California"/>
    <s v="Alameda County"/>
    <n v="1"/>
    <n v="10"/>
    <x v="1"/>
  </r>
  <r>
    <x v="1641"/>
    <x v="6"/>
    <n v="1"/>
    <n v="42.2"/>
    <n v="42.2"/>
    <d v="2025-03-03T00:00:00"/>
    <d v="2025-03-05T00:00:00"/>
    <x v="2"/>
    <s v="App"/>
    <n v="5"/>
    <s v="California"/>
    <s v="Alameda County"/>
    <n v="2"/>
    <n v="10"/>
    <x v="2"/>
  </r>
  <r>
    <x v="1642"/>
    <x v="6"/>
    <n v="1"/>
    <n v="53.7"/>
    <n v="53.7"/>
    <d v="2025-03-03T00:00:00"/>
    <d v="2025-03-05T00:00:00"/>
    <x v="1"/>
    <s v="Website"/>
    <n v="3"/>
    <s v="California"/>
    <s v="Contra Costa County"/>
    <n v="2"/>
    <n v="10"/>
    <x v="1"/>
  </r>
  <r>
    <x v="1643"/>
    <x v="2"/>
    <n v="2"/>
    <n v="123.9"/>
    <n v="247.8"/>
    <d v="2025-03-03T00:00:00"/>
    <d v="2025-03-06T00:00:00"/>
    <x v="1"/>
    <s v="Target.com"/>
    <n v="4"/>
    <s v="California"/>
    <s v="Contra Costa County"/>
    <n v="3"/>
    <n v="10"/>
    <x v="1"/>
  </r>
  <r>
    <x v="1644"/>
    <x v="4"/>
    <n v="3"/>
    <n v="35.9"/>
    <n v="107.69999999999999"/>
    <d v="2025-03-03T00:00:00"/>
    <d v="2025-03-05T00:00:00"/>
    <x v="1"/>
    <s v="Target.com"/>
    <n v="4"/>
    <s v="California"/>
    <s v="Kern County"/>
    <n v="2"/>
    <n v="10"/>
    <x v="1"/>
  </r>
  <r>
    <x v="1645"/>
    <x v="4"/>
    <n v="2"/>
    <n v="23.6"/>
    <n v="47.2"/>
    <d v="2025-03-03T00:00:00"/>
    <d v="2025-03-06T00:00:00"/>
    <x v="1"/>
    <s v="App"/>
    <n v="5"/>
    <s v="California"/>
    <s v="Los Angeles County"/>
    <n v="3"/>
    <n v="10"/>
    <x v="1"/>
  </r>
  <r>
    <x v="1646"/>
    <x v="15"/>
    <n v="35"/>
    <n v="45.7"/>
    <n v="1599.5"/>
    <d v="2025-03-03T00:00:00"/>
    <d v="2025-03-04T00:00:00"/>
    <x v="1"/>
    <s v="App"/>
    <n v="3"/>
    <s v="California"/>
    <s v="Los Angeles County"/>
    <n v="1"/>
    <n v="10"/>
    <x v="1"/>
  </r>
  <r>
    <x v="1647"/>
    <x v="6"/>
    <n v="11"/>
    <n v="118.3"/>
    <n v="1301.3"/>
    <d v="2025-03-03T00:00:00"/>
    <d v="2025-03-05T00:00:00"/>
    <x v="1"/>
    <s v="Partner App"/>
    <n v="5"/>
    <s v="California"/>
    <s v="Los Angeles County"/>
    <n v="2"/>
    <n v="10"/>
    <x v="1"/>
  </r>
  <r>
    <x v="1648"/>
    <x v="19"/>
    <n v="1"/>
    <n v="36"/>
    <n v="36"/>
    <d v="2025-03-03T00:00:00"/>
    <d v="2025-03-04T00:00:00"/>
    <x v="2"/>
    <s v="App"/>
    <n v="3"/>
    <s v="California"/>
    <s v="Los Angeles County"/>
    <n v="1"/>
    <n v="10"/>
    <x v="2"/>
  </r>
  <r>
    <x v="1649"/>
    <x v="8"/>
    <n v="2"/>
    <n v="37.1"/>
    <n v="74.2"/>
    <d v="2025-03-03T00:00:00"/>
    <d v="2025-03-06T00:00:00"/>
    <x v="2"/>
    <s v="Target.com"/>
    <n v="4"/>
    <s v="California"/>
    <s v="Los Angeles County"/>
    <n v="3"/>
    <n v="10"/>
    <x v="2"/>
  </r>
  <r>
    <x v="1650"/>
    <x v="18"/>
    <n v="3"/>
    <n v="45.1"/>
    <n v="135.30000000000001"/>
    <d v="2025-03-03T00:00:00"/>
    <d v="2025-03-05T00:00:00"/>
    <x v="2"/>
    <s v="Website"/>
    <n v="5"/>
    <s v="California"/>
    <s v="Los Angeles County"/>
    <n v="2"/>
    <n v="10"/>
    <x v="2"/>
  </r>
  <r>
    <x v="1651"/>
    <x v="5"/>
    <n v="16"/>
    <n v="37.9"/>
    <n v="606.4"/>
    <d v="2025-03-03T00:00:00"/>
    <d v="2025-03-04T00:00:00"/>
    <x v="2"/>
    <s v="Instagram"/>
    <n v="5"/>
    <s v="California"/>
    <s v="Los Angeles County"/>
    <n v="1"/>
    <n v="10"/>
    <x v="2"/>
  </r>
  <r>
    <x v="1652"/>
    <x v="2"/>
    <n v="2"/>
    <n v="121.6"/>
    <n v="243.2"/>
    <d v="2025-03-03T00:00:00"/>
    <d v="2025-03-06T00:00:00"/>
    <x v="1"/>
    <s v="Instagram"/>
    <n v="5"/>
    <s v="California"/>
    <s v="Los Angeles County"/>
    <n v="3"/>
    <n v="10"/>
    <x v="1"/>
  </r>
  <r>
    <x v="1653"/>
    <x v="5"/>
    <n v="7"/>
    <n v="38.200000000000003"/>
    <n v="267.40000000000003"/>
    <d v="2025-03-03T00:00:00"/>
    <d v="2025-03-06T00:00:00"/>
    <x v="2"/>
    <s v="App"/>
    <n v="4"/>
    <s v="California"/>
    <s v="Los Angeles County"/>
    <n v="3"/>
    <n v="10"/>
    <x v="2"/>
  </r>
  <r>
    <x v="1654"/>
    <x v="17"/>
    <n v="2"/>
    <n v="37.200000000000003"/>
    <n v="74.400000000000006"/>
    <d v="2025-03-03T00:00:00"/>
    <d v="2025-03-06T00:00:00"/>
    <x v="1"/>
    <s v="Partner App"/>
    <n v="4"/>
    <s v="California"/>
    <s v="Los Angeles County"/>
    <n v="3"/>
    <n v="10"/>
    <x v="1"/>
  </r>
  <r>
    <x v="1655"/>
    <x v="2"/>
    <n v="4"/>
    <n v="115.7"/>
    <n v="462.8"/>
    <d v="2025-03-03T00:00:00"/>
    <d v="2025-03-06T00:00:00"/>
    <x v="2"/>
    <s v="Website"/>
    <n v="4"/>
    <s v="California"/>
    <s v="Los Angeles County"/>
    <n v="3"/>
    <n v="10"/>
    <x v="2"/>
  </r>
  <r>
    <x v="1656"/>
    <x v="2"/>
    <n v="6"/>
    <n v="99.4"/>
    <n v="596.40000000000009"/>
    <d v="2025-03-03T00:00:00"/>
    <d v="2025-03-06T00:00:00"/>
    <x v="1"/>
    <s v="App"/>
    <n v="5"/>
    <s v="California"/>
    <s v="Los Angeles County"/>
    <n v="3"/>
    <n v="10"/>
    <x v="1"/>
  </r>
  <r>
    <x v="1657"/>
    <x v="11"/>
    <n v="1"/>
    <n v="38.700000000000003"/>
    <n v="38.700000000000003"/>
    <d v="2025-03-03T00:00:00"/>
    <d v="2025-03-04T00:00:00"/>
    <x v="2"/>
    <s v="Target.com"/>
    <n v="4"/>
    <s v="California"/>
    <s v="Orange County"/>
    <n v="1"/>
    <n v="10"/>
    <x v="2"/>
  </r>
  <r>
    <x v="1658"/>
    <x v="4"/>
    <n v="2"/>
    <n v="35.5"/>
    <n v="71"/>
    <d v="2025-03-03T00:00:00"/>
    <d v="2025-03-06T00:00:00"/>
    <x v="1"/>
    <s v="App"/>
    <n v="5"/>
    <s v="California"/>
    <s v="Orange County"/>
    <n v="3"/>
    <n v="10"/>
    <x v="1"/>
  </r>
  <r>
    <x v="1659"/>
    <x v="2"/>
    <n v="4"/>
    <n v="93.3"/>
    <n v="373.2"/>
    <d v="2025-03-03T00:00:00"/>
    <d v="2025-03-06T00:00:00"/>
    <x v="2"/>
    <s v="App"/>
    <n v="5"/>
    <s v="California"/>
    <s v="Sacramento County"/>
    <n v="3"/>
    <n v="10"/>
    <x v="2"/>
  </r>
  <r>
    <x v="1660"/>
    <x v="16"/>
    <n v="1"/>
    <n v="31.4"/>
    <n v="31.4"/>
    <d v="2025-03-03T00:00:00"/>
    <d v="2025-03-08T00:00:00"/>
    <x v="2"/>
    <s v="Target.com"/>
    <n v="5"/>
    <s v="California"/>
    <s v="Sacramento County"/>
    <n v="5"/>
    <n v="10"/>
    <x v="2"/>
  </r>
  <r>
    <x v="1661"/>
    <x v="1"/>
    <n v="1"/>
    <n v="85.9"/>
    <n v="85.9"/>
    <d v="2025-03-03T00:00:00"/>
    <d v="2025-03-06T00:00:00"/>
    <x v="1"/>
    <s v="Website"/>
    <n v="4"/>
    <s v="California"/>
    <s v="Sacramento County"/>
    <n v="3"/>
    <n v="10"/>
    <x v="1"/>
  </r>
  <r>
    <x v="1662"/>
    <x v="6"/>
    <n v="8"/>
    <n v="41.7"/>
    <n v="333.6"/>
    <d v="2025-03-03T00:00:00"/>
    <d v="2025-03-11T00:00:00"/>
    <x v="1"/>
    <s v="App"/>
    <n v="5"/>
    <s v="California"/>
    <s v="San Bernardino County"/>
    <n v="8"/>
    <n v="10"/>
    <x v="1"/>
  </r>
  <r>
    <x v="1663"/>
    <x v="8"/>
    <n v="4"/>
    <n v="31.5"/>
    <n v="126"/>
    <d v="2025-03-03T00:00:00"/>
    <d v="2025-03-04T00:00:00"/>
    <x v="2"/>
    <s v="App"/>
    <n v="4"/>
    <s v="California"/>
    <s v="San Bernardino County"/>
    <n v="1"/>
    <n v="10"/>
    <x v="2"/>
  </r>
  <r>
    <x v="1664"/>
    <x v="8"/>
    <n v="2"/>
    <n v="36.299999999999997"/>
    <n v="72.599999999999994"/>
    <d v="2025-03-03T00:00:00"/>
    <d v="2025-03-04T00:00:00"/>
    <x v="2"/>
    <s v="App"/>
    <n v="2"/>
    <s v="California"/>
    <s v="San Diego County"/>
    <n v="1"/>
    <n v="10"/>
    <x v="2"/>
  </r>
  <r>
    <x v="1665"/>
    <x v="8"/>
    <n v="3"/>
    <n v="33.4"/>
    <n v="100.19999999999999"/>
    <d v="2025-03-03T00:00:00"/>
    <d v="2025-03-04T00:00:00"/>
    <x v="2"/>
    <s v="Instagram"/>
    <n v="4"/>
    <s v="California"/>
    <s v="San Francisco"/>
    <n v="1"/>
    <n v="10"/>
    <x v="2"/>
  </r>
  <r>
    <x v="1666"/>
    <x v="2"/>
    <n v="3"/>
    <n v="65.2"/>
    <n v="195.60000000000002"/>
    <d v="2025-03-03T00:00:00"/>
    <d v="2025-03-04T00:00:00"/>
    <x v="2"/>
    <s v="Target.com"/>
    <n v="5"/>
    <s v="California"/>
    <s v="San Joaquin County"/>
    <n v="1"/>
    <n v="10"/>
    <x v="2"/>
  </r>
  <r>
    <x v="1667"/>
    <x v="8"/>
    <n v="9"/>
    <n v="65.5"/>
    <n v="589.5"/>
    <d v="2025-03-03T00:00:00"/>
    <d v="2025-03-06T00:00:00"/>
    <x v="2"/>
    <s v="App"/>
    <n v="5"/>
    <s v="California"/>
    <s v="San Mateo County"/>
    <n v="3"/>
    <n v="10"/>
    <x v="2"/>
  </r>
  <r>
    <x v="1668"/>
    <x v="6"/>
    <n v="3"/>
    <n v="52.8"/>
    <n v="158.39999999999998"/>
    <d v="2025-03-03T00:00:00"/>
    <d v="2025-03-06T00:00:00"/>
    <x v="1"/>
    <s v="Target.com"/>
    <n v="4"/>
    <s v="California"/>
    <s v="San Mateo County"/>
    <n v="3"/>
    <n v="10"/>
    <x v="1"/>
  </r>
  <r>
    <x v="1669"/>
    <x v="9"/>
    <n v="5"/>
    <n v="24"/>
    <n v="120"/>
    <d v="2025-03-03T00:00:00"/>
    <d v="2025-03-07T00:00:00"/>
    <x v="1"/>
    <s v="App"/>
    <n v="3"/>
    <s v="California"/>
    <s v="Santa Clara County"/>
    <n v="4"/>
    <n v="10"/>
    <x v="1"/>
  </r>
  <r>
    <x v="1670"/>
    <x v="3"/>
    <n v="3"/>
    <n v="51.2"/>
    <n v="153.60000000000002"/>
    <d v="2025-03-03T00:00:00"/>
    <d v="2025-03-04T00:00:00"/>
    <x v="2"/>
    <s v="App"/>
    <n v="4"/>
    <s v="California"/>
    <s v="Santa Cruz County"/>
    <n v="1"/>
    <n v="10"/>
    <x v="2"/>
  </r>
  <r>
    <x v="1671"/>
    <x v="5"/>
    <n v="3"/>
    <n v="28.3"/>
    <n v="84.9"/>
    <d v="2025-03-03T00:00:00"/>
    <d v="2025-03-05T00:00:00"/>
    <x v="1"/>
    <s v="Partner App"/>
    <n v="4"/>
    <s v="California"/>
    <s v="Stanislaus County"/>
    <n v="2"/>
    <n v="10"/>
    <x v="1"/>
  </r>
  <r>
    <x v="1672"/>
    <x v="6"/>
    <n v="3"/>
    <n v="42.3"/>
    <n v="126.89999999999999"/>
    <d v="2025-03-03T00:00:00"/>
    <d v="2025-03-03T00:00:00"/>
    <x v="2"/>
    <s v="Target.com"/>
    <n v="3"/>
    <s v="California"/>
    <s v="Stanislaus County"/>
    <n v="0"/>
    <n v="10"/>
    <x v="2"/>
  </r>
  <r>
    <x v="1673"/>
    <x v="2"/>
    <n v="8"/>
    <n v="163.30000000000001"/>
    <n v="1306.4000000000001"/>
    <d v="2025-03-04T00:00:00"/>
    <d v="2025-03-05T00:00:00"/>
    <x v="2"/>
    <s v="Website"/>
    <n v="4"/>
    <s v="California"/>
    <s v="Ventura County"/>
    <n v="1"/>
    <n v="10"/>
    <x v="2"/>
  </r>
  <r>
    <x v="1674"/>
    <x v="6"/>
    <n v="7"/>
    <n v="47.3"/>
    <n v="331.09999999999997"/>
    <d v="2025-03-04T00:00:00"/>
    <d v="2025-03-07T00:00:00"/>
    <x v="2"/>
    <s v="Partner App"/>
    <n v="3"/>
    <s v="California"/>
    <s v="Alameda County"/>
    <n v="3"/>
    <n v="10"/>
    <x v="2"/>
  </r>
  <r>
    <x v="1675"/>
    <x v="8"/>
    <n v="16"/>
    <n v="27.3"/>
    <n v="436.8"/>
    <d v="2025-03-04T00:00:00"/>
    <d v="2025-03-05T00:00:00"/>
    <x v="2"/>
    <s v="Target.com"/>
    <n v="4"/>
    <s v="California"/>
    <s v="Alameda County"/>
    <n v="1"/>
    <n v="10"/>
    <x v="2"/>
  </r>
  <r>
    <x v="1676"/>
    <x v="10"/>
    <n v="6"/>
    <n v="34.9"/>
    <n v="209.39999999999998"/>
    <d v="2025-03-04T00:00:00"/>
    <d v="2025-03-15T00:00:00"/>
    <x v="2"/>
    <s v="App"/>
    <n v="4"/>
    <s v="California"/>
    <s v="Alameda County"/>
    <n v="11"/>
    <n v="10"/>
    <x v="2"/>
  </r>
  <r>
    <x v="1677"/>
    <x v="6"/>
    <n v="2"/>
    <n v="53.9"/>
    <n v="107.8"/>
    <d v="2025-03-04T00:00:00"/>
    <d v="2025-03-07T00:00:00"/>
    <x v="3"/>
    <s v="App"/>
    <n v="2"/>
    <s v="California"/>
    <s v="Contra Costa County"/>
    <n v="3"/>
    <n v="10"/>
    <x v="3"/>
  </r>
  <r>
    <x v="1678"/>
    <x v="2"/>
    <n v="2"/>
    <n v="87.2"/>
    <n v="174.4"/>
    <d v="2025-03-04T00:00:00"/>
    <d v="2025-03-05T00:00:00"/>
    <x v="2"/>
    <s v="App"/>
    <n v="3"/>
    <s v="California"/>
    <s v="Contra Costa County"/>
    <n v="1"/>
    <n v="10"/>
    <x v="2"/>
  </r>
  <r>
    <x v="1679"/>
    <x v="15"/>
    <n v="1"/>
    <n v="58.8"/>
    <n v="58.8"/>
    <d v="2025-03-04T00:00:00"/>
    <d v="2025-03-06T00:00:00"/>
    <x v="2"/>
    <s v="Target.com"/>
    <n v="4"/>
    <s v="California"/>
    <s v="Humboldt County"/>
    <n v="2"/>
    <n v="10"/>
    <x v="2"/>
  </r>
  <r>
    <x v="1680"/>
    <x v="2"/>
    <n v="7"/>
    <n v="125.5"/>
    <n v="878.5"/>
    <d v="2025-03-04T00:00:00"/>
    <d v="2025-03-05T00:00:00"/>
    <x v="1"/>
    <s v="Target.com"/>
    <n v="2"/>
    <s v="California"/>
    <s v="Kern County"/>
    <n v="1"/>
    <n v="10"/>
    <x v="1"/>
  </r>
  <r>
    <x v="1681"/>
    <x v="1"/>
    <n v="4"/>
    <n v="124.6"/>
    <n v="498.4"/>
    <d v="2025-03-04T00:00:00"/>
    <d v="2025-03-06T00:00:00"/>
    <x v="2"/>
    <s v="App"/>
    <n v="3"/>
    <s v="California"/>
    <s v="Kern County"/>
    <n v="2"/>
    <n v="10"/>
    <x v="2"/>
  </r>
  <r>
    <x v="1682"/>
    <x v="1"/>
    <n v="7"/>
    <n v="39.9"/>
    <n v="279.3"/>
    <d v="2025-03-04T00:00:00"/>
    <d v="2025-03-05T00:00:00"/>
    <x v="1"/>
    <s v="Target.com"/>
    <n v="3"/>
    <s v="California"/>
    <s v="Los Angeles County"/>
    <n v="1"/>
    <n v="10"/>
    <x v="1"/>
  </r>
  <r>
    <x v="1683"/>
    <x v="6"/>
    <n v="1"/>
    <n v="94.6"/>
    <n v="94.6"/>
    <d v="2025-03-04T00:00:00"/>
    <d v="2025-03-18T00:00:00"/>
    <x v="2"/>
    <s v="App"/>
    <n v="3"/>
    <s v="California"/>
    <s v="Los Angeles County"/>
    <n v="14"/>
    <n v="10"/>
    <x v="2"/>
  </r>
  <r>
    <x v="1684"/>
    <x v="2"/>
    <n v="2"/>
    <n v="149.6"/>
    <n v="299.2"/>
    <d v="2025-03-04T00:00:00"/>
    <d v="2025-03-05T00:00:00"/>
    <x v="2"/>
    <s v="App"/>
    <n v="4"/>
    <s v="California"/>
    <s v="Los Angeles County"/>
    <n v="1"/>
    <n v="10"/>
    <x v="2"/>
  </r>
  <r>
    <x v="1685"/>
    <x v="8"/>
    <n v="1"/>
    <n v="52.2"/>
    <n v="52.2"/>
    <d v="2025-03-04T00:00:00"/>
    <d v="2025-03-05T00:00:00"/>
    <x v="0"/>
    <s v="Website"/>
    <n v="4"/>
    <s v="California"/>
    <s v="Los Angeles County"/>
    <n v="1"/>
    <n v="10"/>
    <x v="0"/>
  </r>
  <r>
    <x v="1686"/>
    <x v="6"/>
    <n v="2"/>
    <n v="96.5"/>
    <n v="193"/>
    <d v="2025-03-04T00:00:00"/>
    <d v="2025-03-05T00:00:00"/>
    <x v="2"/>
    <s v="Website"/>
    <n v="3"/>
    <s v="California"/>
    <s v="Los Angeles County"/>
    <n v="1"/>
    <n v="10"/>
    <x v="2"/>
  </r>
  <r>
    <x v="1687"/>
    <x v="8"/>
    <n v="2"/>
    <n v="79.8"/>
    <n v="159.6"/>
    <d v="2025-03-04T00:00:00"/>
    <d v="2025-03-06T00:00:00"/>
    <x v="2"/>
    <s v="App"/>
    <n v="3"/>
    <s v="California"/>
    <s v="Los Angeles County"/>
    <n v="2"/>
    <n v="10"/>
    <x v="2"/>
  </r>
  <r>
    <x v="1688"/>
    <x v="8"/>
    <n v="3"/>
    <n v="35.6"/>
    <n v="106.80000000000001"/>
    <d v="2025-03-04T00:00:00"/>
    <d v="2025-03-05T00:00:00"/>
    <x v="2"/>
    <s v="Target.com"/>
    <n v="4"/>
    <s v="California"/>
    <s v="Los Angeles County"/>
    <n v="1"/>
    <n v="10"/>
    <x v="2"/>
  </r>
  <r>
    <x v="1689"/>
    <x v="16"/>
    <n v="1"/>
    <n v="50.2"/>
    <n v="50.2"/>
    <d v="2025-03-04T00:00:00"/>
    <d v="2025-03-05T00:00:00"/>
    <x v="2"/>
    <s v="Website"/>
    <n v="5"/>
    <s v="California"/>
    <s v="Los Angeles County"/>
    <n v="1"/>
    <n v="10"/>
    <x v="2"/>
  </r>
  <r>
    <x v="1690"/>
    <x v="1"/>
    <n v="3"/>
    <n v="55.3"/>
    <n v="165.89999999999998"/>
    <d v="2025-03-04T00:00:00"/>
    <d v="2025-03-07T00:00:00"/>
    <x v="2"/>
    <s v="App"/>
    <n v="2"/>
    <s v="California"/>
    <s v="Mariposa County"/>
    <n v="3"/>
    <n v="10"/>
    <x v="2"/>
  </r>
  <r>
    <x v="1691"/>
    <x v="6"/>
    <n v="7"/>
    <n v="104.5"/>
    <n v="731.5"/>
    <d v="2025-03-04T00:00:00"/>
    <d v="2025-03-08T00:00:00"/>
    <x v="2"/>
    <s v="Website"/>
    <n v="4"/>
    <s v="California"/>
    <s v="San Bernardino County"/>
    <n v="4"/>
    <n v="10"/>
    <x v="2"/>
  </r>
  <r>
    <x v="1692"/>
    <x v="6"/>
    <n v="4"/>
    <n v="66.5"/>
    <n v="266"/>
    <d v="2025-03-04T00:00:00"/>
    <d v="2025-03-06T00:00:00"/>
    <x v="1"/>
    <s v="Website"/>
    <n v="4"/>
    <s v="California"/>
    <s v="San Bernardino County"/>
    <n v="2"/>
    <n v="10"/>
    <x v="1"/>
  </r>
  <r>
    <x v="1693"/>
    <x v="10"/>
    <n v="8"/>
    <n v="38.299999999999997"/>
    <n v="306.39999999999998"/>
    <d v="2025-03-04T00:00:00"/>
    <d v="2025-03-05T00:00:00"/>
    <x v="2"/>
    <s v="App"/>
    <n v="4"/>
    <s v="California"/>
    <s v="San Bernardino County"/>
    <n v="1"/>
    <n v="10"/>
    <x v="2"/>
  </r>
  <r>
    <x v="1694"/>
    <x v="6"/>
    <n v="3"/>
    <n v="63.8"/>
    <n v="191.39999999999998"/>
    <d v="2025-03-04T00:00:00"/>
    <d v="2025-03-07T00:00:00"/>
    <x v="2"/>
    <s v="Website"/>
    <n v="4"/>
    <s v="California"/>
    <s v="San Diego County"/>
    <n v="3"/>
    <n v="10"/>
    <x v="2"/>
  </r>
  <r>
    <x v="1695"/>
    <x v="15"/>
    <n v="1"/>
    <n v="21.4"/>
    <n v="21.4"/>
    <d v="2025-03-04T00:00:00"/>
    <d v="2025-03-04T00:00:00"/>
    <x v="1"/>
    <s v="Partner App"/>
    <n v="4"/>
    <s v="California"/>
    <s v="San Diego County"/>
    <n v="0"/>
    <n v="10"/>
    <x v="1"/>
  </r>
  <r>
    <x v="1696"/>
    <x v="8"/>
    <n v="4"/>
    <n v="44.1"/>
    <n v="176.4"/>
    <d v="2025-03-04T00:00:00"/>
    <d v="2025-03-06T00:00:00"/>
    <x v="2"/>
    <s v="Target.com"/>
    <n v="4"/>
    <s v="California"/>
    <s v="San Diego County"/>
    <n v="2"/>
    <n v="10"/>
    <x v="2"/>
  </r>
  <r>
    <x v="1697"/>
    <x v="5"/>
    <n v="8"/>
    <n v="57.6"/>
    <n v="460.8"/>
    <d v="2025-03-04T00:00:00"/>
    <d v="2025-03-06T00:00:00"/>
    <x v="1"/>
    <s v="Website"/>
    <n v="5"/>
    <s v="California"/>
    <s v="San Diego County"/>
    <n v="2"/>
    <n v="10"/>
    <x v="1"/>
  </r>
  <r>
    <x v="1698"/>
    <x v="9"/>
    <n v="2"/>
    <n v="20.3"/>
    <n v="40.6"/>
    <d v="2025-03-04T00:00:00"/>
    <d v="2025-03-10T00:00:00"/>
    <x v="2"/>
    <s v="Instagram"/>
    <n v="4"/>
    <s v="California"/>
    <s v="San Diego County"/>
    <n v="6"/>
    <n v="10"/>
    <x v="2"/>
  </r>
  <r>
    <x v="1699"/>
    <x v="8"/>
    <n v="1"/>
    <n v="22.9"/>
    <n v="22.9"/>
    <d v="2025-03-04T00:00:00"/>
    <d v="2025-03-06T00:00:00"/>
    <x v="2"/>
    <s v="Target.com"/>
    <n v="5"/>
    <s v="California"/>
    <s v="San Diego County"/>
    <n v="2"/>
    <n v="10"/>
    <x v="2"/>
  </r>
  <r>
    <x v="1700"/>
    <x v="6"/>
    <n v="4"/>
    <n v="105.9"/>
    <n v="423.6"/>
    <d v="2025-03-04T00:00:00"/>
    <d v="2025-03-05T00:00:00"/>
    <x v="2"/>
    <s v="Website"/>
    <n v="5"/>
    <s v="California"/>
    <s v="San Francisco"/>
    <n v="1"/>
    <n v="10"/>
    <x v="2"/>
  </r>
  <r>
    <x v="1701"/>
    <x v="1"/>
    <n v="9"/>
    <n v="37.4"/>
    <n v="336.59999999999997"/>
    <d v="2025-03-04T00:00:00"/>
    <d v="2025-03-08T00:00:00"/>
    <x v="1"/>
    <s v="Website"/>
    <n v="4"/>
    <s v="California"/>
    <s v="Santa Clara County"/>
    <n v="4"/>
    <n v="10"/>
    <x v="1"/>
  </r>
  <r>
    <x v="1702"/>
    <x v="18"/>
    <n v="2"/>
    <n v="79"/>
    <n v="158"/>
    <d v="2025-03-04T00:00:00"/>
    <d v="2025-03-05T00:00:00"/>
    <x v="1"/>
    <s v="Target.com"/>
    <n v="4"/>
    <s v="California"/>
    <s v="Yolo County"/>
    <n v="1"/>
    <n v="10"/>
    <x v="1"/>
  </r>
  <r>
    <x v="1703"/>
    <x v="0"/>
    <n v="3"/>
    <n v="19.3"/>
    <n v="57.900000000000006"/>
    <d v="2025-03-04T00:00:00"/>
    <d v="2025-03-05T00:00:00"/>
    <x v="2"/>
    <s v="Partner App"/>
    <n v="4"/>
    <s v="California"/>
    <s v="Alameda County"/>
    <n v="1"/>
    <n v="10"/>
    <x v="2"/>
  </r>
  <r>
    <x v="1704"/>
    <x v="0"/>
    <n v="1"/>
    <n v="24"/>
    <n v="24"/>
    <d v="2025-03-04T00:00:00"/>
    <d v="2025-03-05T00:00:00"/>
    <x v="2"/>
    <s v="Website"/>
    <n v="4"/>
    <s v="California"/>
    <s v="Contra Costa County"/>
    <n v="1"/>
    <n v="10"/>
    <x v="2"/>
  </r>
  <r>
    <x v="1705"/>
    <x v="6"/>
    <n v="5"/>
    <n v="71.3"/>
    <n v="356.5"/>
    <d v="2025-03-04T00:00:00"/>
    <d v="2025-03-07T00:00:00"/>
    <x v="2"/>
    <s v="Target.com"/>
    <n v="4"/>
    <s v="California"/>
    <s v="Fresno County"/>
    <n v="3"/>
    <n v="10"/>
    <x v="2"/>
  </r>
  <r>
    <x v="1706"/>
    <x v="5"/>
    <n v="2"/>
    <n v="166.2"/>
    <n v="332.4"/>
    <d v="2025-03-04T00:00:00"/>
    <d v="2025-03-05T00:00:00"/>
    <x v="1"/>
    <s v="App"/>
    <n v="5"/>
    <s v="California"/>
    <s v="Lake County"/>
    <n v="1"/>
    <n v="10"/>
    <x v="1"/>
  </r>
  <r>
    <x v="1707"/>
    <x v="6"/>
    <n v="1"/>
    <n v="81"/>
    <n v="81"/>
    <d v="2025-03-04T00:00:00"/>
    <d v="2025-03-05T00:00:00"/>
    <x v="2"/>
    <s v="Target.com"/>
    <n v="3"/>
    <s v="California"/>
    <s v="Los Angeles County"/>
    <n v="1"/>
    <n v="10"/>
    <x v="2"/>
  </r>
  <r>
    <x v="1708"/>
    <x v="10"/>
    <n v="6"/>
    <n v="38.5"/>
    <n v="231"/>
    <d v="2025-03-04T00:00:00"/>
    <d v="2025-03-08T00:00:00"/>
    <x v="2"/>
    <s v="App"/>
    <n v="4"/>
    <s v="California"/>
    <s v="Los Angeles County"/>
    <n v="4"/>
    <n v="10"/>
    <x v="2"/>
  </r>
  <r>
    <x v="1709"/>
    <x v="6"/>
    <n v="1"/>
    <n v="86.1"/>
    <n v="86.1"/>
    <d v="2025-03-04T00:00:00"/>
    <d v="2025-03-06T00:00:00"/>
    <x v="2"/>
    <s v="Instagram"/>
    <n v="4"/>
    <s v="California"/>
    <s v="Los Angeles County"/>
    <n v="2"/>
    <n v="10"/>
    <x v="2"/>
  </r>
  <r>
    <x v="1710"/>
    <x v="2"/>
    <n v="5"/>
    <n v="51"/>
    <n v="255"/>
    <d v="2025-03-04T00:00:00"/>
    <d v="2025-03-05T00:00:00"/>
    <x v="1"/>
    <s v="App"/>
    <n v="3"/>
    <s v="California"/>
    <s v="Los Angeles County"/>
    <n v="1"/>
    <n v="10"/>
    <x v="1"/>
  </r>
  <r>
    <x v="1711"/>
    <x v="3"/>
    <n v="5"/>
    <n v="115.4"/>
    <n v="577"/>
    <d v="2025-03-04T00:00:00"/>
    <d v="2025-03-05T00:00:00"/>
    <x v="1"/>
    <s v="App"/>
    <n v="4"/>
    <s v="California"/>
    <s v="Los Angeles County"/>
    <n v="1"/>
    <n v="10"/>
    <x v="1"/>
  </r>
  <r>
    <x v="1712"/>
    <x v="6"/>
    <n v="4"/>
    <n v="176.5"/>
    <n v="706"/>
    <d v="2025-03-04T00:00:00"/>
    <d v="2025-03-05T00:00:00"/>
    <x v="2"/>
    <s v="Target.com"/>
    <n v="5"/>
    <s v="California"/>
    <s v="Los Angeles County"/>
    <n v="1"/>
    <n v="10"/>
    <x v="2"/>
  </r>
  <r>
    <x v="1713"/>
    <x v="7"/>
    <n v="3"/>
    <n v="48.9"/>
    <n v="146.69999999999999"/>
    <d v="2025-03-04T00:00:00"/>
    <d v="2025-03-05T00:00:00"/>
    <x v="1"/>
    <s v="Partner App"/>
    <n v="4"/>
    <s v="California"/>
    <s v="Los Angeles County"/>
    <n v="1"/>
    <n v="10"/>
    <x v="1"/>
  </r>
  <r>
    <x v="1714"/>
    <x v="8"/>
    <n v="3"/>
    <n v="18.100000000000001"/>
    <n v="54.300000000000004"/>
    <d v="2025-03-04T00:00:00"/>
    <d v="2025-03-11T00:00:00"/>
    <x v="2"/>
    <s v="Website"/>
    <n v="5"/>
    <s v="California"/>
    <s v="Mendocino County"/>
    <n v="7"/>
    <n v="10"/>
    <x v="2"/>
  </r>
  <r>
    <x v="1715"/>
    <x v="2"/>
    <n v="2"/>
    <n v="118.5"/>
    <n v="237"/>
    <d v="2025-03-04T00:00:00"/>
    <d v="2025-03-07T00:00:00"/>
    <x v="1"/>
    <s v="Website"/>
    <n v="5"/>
    <s v="California"/>
    <s v="Napa County"/>
    <n v="3"/>
    <n v="10"/>
    <x v="1"/>
  </r>
  <r>
    <x v="1716"/>
    <x v="15"/>
    <n v="7"/>
    <n v="59.1"/>
    <n v="413.7"/>
    <d v="2025-03-04T00:00:00"/>
    <d v="2025-03-05T00:00:00"/>
    <x v="2"/>
    <s v="Instagram"/>
    <n v="4"/>
    <s v="California"/>
    <s v="Orange County"/>
    <n v="1"/>
    <n v="10"/>
    <x v="2"/>
  </r>
  <r>
    <x v="1717"/>
    <x v="4"/>
    <n v="1"/>
    <n v="21.2"/>
    <n v="21.2"/>
    <d v="2025-03-04T00:00:00"/>
    <d v="2025-03-05T00:00:00"/>
    <x v="2"/>
    <s v="App"/>
    <n v="3"/>
    <s v="California"/>
    <s v="Sacramento County"/>
    <n v="1"/>
    <n v="10"/>
    <x v="2"/>
  </r>
  <r>
    <x v="1718"/>
    <x v="6"/>
    <n v="2"/>
    <n v="68.8"/>
    <n v="137.6"/>
    <d v="2025-03-04T00:00:00"/>
    <d v="2025-03-09T00:00:00"/>
    <x v="2"/>
    <s v="Instagram"/>
    <n v="5"/>
    <s v="California"/>
    <s v="Sacramento County"/>
    <n v="5"/>
    <n v="10"/>
    <x v="2"/>
  </r>
  <r>
    <x v="1719"/>
    <x v="6"/>
    <n v="2"/>
    <n v="65.400000000000006"/>
    <n v="130.80000000000001"/>
    <d v="2025-03-04T00:00:00"/>
    <d v="2025-03-08T00:00:00"/>
    <x v="2"/>
    <s v="App"/>
    <n v="4"/>
    <s v="California"/>
    <s v="Sacramento County"/>
    <n v="4"/>
    <n v="10"/>
    <x v="2"/>
  </r>
  <r>
    <x v="1720"/>
    <x v="12"/>
    <n v="5"/>
    <n v="66.3"/>
    <n v="331.5"/>
    <d v="2025-03-05T00:00:00"/>
    <d v="2025-03-08T00:00:00"/>
    <x v="2"/>
    <s v="Partner App"/>
    <n v="4"/>
    <s v="California"/>
    <s v="Sacramento County"/>
    <n v="3"/>
    <n v="10"/>
    <x v="2"/>
  </r>
  <r>
    <x v="1721"/>
    <x v="6"/>
    <n v="3"/>
    <n v="97.5"/>
    <n v="292.5"/>
    <d v="2025-03-05T00:00:00"/>
    <d v="2025-03-05T00:00:00"/>
    <x v="1"/>
    <s v="Instagram"/>
    <n v="4"/>
    <s v="California"/>
    <s v="San Diego County"/>
    <n v="0"/>
    <n v="10"/>
    <x v="1"/>
  </r>
  <r>
    <x v="1722"/>
    <x v="1"/>
    <n v="2"/>
    <n v="44"/>
    <n v="88"/>
    <d v="2025-03-05T00:00:00"/>
    <d v="2025-03-08T00:00:00"/>
    <x v="2"/>
    <s v="Website"/>
    <n v="5"/>
    <s v="California"/>
    <s v="San Diego County"/>
    <n v="3"/>
    <n v="10"/>
    <x v="2"/>
  </r>
  <r>
    <x v="1723"/>
    <x v="0"/>
    <n v="1"/>
    <n v="21.9"/>
    <n v="21.9"/>
    <d v="2025-03-05T00:00:00"/>
    <d v="2025-03-06T00:00:00"/>
    <x v="1"/>
    <s v="App"/>
    <n v="4"/>
    <s v="California"/>
    <s v="San Diego County"/>
    <n v="1"/>
    <n v="10"/>
    <x v="1"/>
  </r>
  <r>
    <x v="1724"/>
    <x v="4"/>
    <n v="7"/>
    <n v="21.5"/>
    <n v="150.5"/>
    <d v="2025-03-05T00:00:00"/>
    <d v="2025-03-07T00:00:00"/>
    <x v="2"/>
    <s v="Website"/>
    <n v="5"/>
    <s v="California"/>
    <s v="San Mateo County"/>
    <n v="2"/>
    <n v="10"/>
    <x v="2"/>
  </r>
  <r>
    <x v="1725"/>
    <x v="12"/>
    <n v="6"/>
    <n v="133"/>
    <n v="798"/>
    <d v="2025-03-05T00:00:00"/>
    <d v="2025-03-06T00:00:00"/>
    <x v="3"/>
    <s v="App"/>
    <n v="5"/>
    <s v="California"/>
    <s v="Santa Barbara County"/>
    <n v="1"/>
    <n v="10"/>
    <x v="3"/>
  </r>
  <r>
    <x v="1726"/>
    <x v="8"/>
    <n v="2"/>
    <n v="47.7"/>
    <n v="95.4"/>
    <d v="2025-03-05T00:00:00"/>
    <d v="2025-03-09T00:00:00"/>
    <x v="1"/>
    <s v="App"/>
    <n v="5"/>
    <s v="California"/>
    <s v="Santa Barbara County"/>
    <n v="4"/>
    <n v="10"/>
    <x v="1"/>
  </r>
  <r>
    <x v="1727"/>
    <x v="16"/>
    <n v="3"/>
    <n v="58.1"/>
    <n v="174.3"/>
    <d v="2025-03-05T00:00:00"/>
    <d v="2025-03-06T00:00:00"/>
    <x v="2"/>
    <s v="App"/>
    <n v="4"/>
    <s v="California"/>
    <s v="Santa Clara County"/>
    <n v="1"/>
    <n v="10"/>
    <x v="2"/>
  </r>
  <r>
    <x v="1728"/>
    <x v="12"/>
    <n v="4"/>
    <n v="66.599999999999994"/>
    <n v="266.39999999999998"/>
    <d v="2025-03-05T00:00:00"/>
    <d v="2025-03-06T00:00:00"/>
    <x v="0"/>
    <s v="App"/>
    <n v="4"/>
    <s v="California"/>
    <s v="Santa Clara County"/>
    <n v="1"/>
    <n v="10"/>
    <x v="0"/>
  </r>
  <r>
    <x v="1729"/>
    <x v="9"/>
    <n v="1"/>
    <n v="24.1"/>
    <n v="24.1"/>
    <d v="2025-03-05T00:00:00"/>
    <d v="2025-03-08T00:00:00"/>
    <x v="1"/>
    <s v="Target.com"/>
    <n v="3"/>
    <s v="California"/>
    <s v="Stanislaus County"/>
    <n v="3"/>
    <n v="10"/>
    <x v="1"/>
  </r>
  <r>
    <x v="1730"/>
    <x v="10"/>
    <n v="5"/>
    <n v="51.5"/>
    <n v="257.5"/>
    <d v="2025-03-05T00:00:00"/>
    <d v="2025-03-10T00:00:00"/>
    <x v="2"/>
    <s v="App"/>
    <n v="4"/>
    <s v="California"/>
    <s v="Ventura County"/>
    <n v="5"/>
    <n v="10"/>
    <x v="2"/>
  </r>
  <r>
    <x v="1731"/>
    <x v="0"/>
    <n v="11"/>
    <n v="25.8"/>
    <n v="283.8"/>
    <d v="2025-03-05T00:00:00"/>
    <d v="2025-03-09T00:00:00"/>
    <x v="2"/>
    <s v="Instagram"/>
    <n v="2"/>
    <s v="California"/>
    <s v="Alameda County"/>
    <n v="4"/>
    <n v="10"/>
    <x v="2"/>
  </r>
  <r>
    <x v="1732"/>
    <x v="9"/>
    <n v="4"/>
    <n v="47.7"/>
    <n v="190.8"/>
    <d v="2025-03-05T00:00:00"/>
    <d v="2025-03-05T00:00:00"/>
    <x v="2"/>
    <s v="App"/>
    <n v="3"/>
    <s v="California"/>
    <s v="Alameda County"/>
    <n v="0"/>
    <n v="10"/>
    <x v="2"/>
  </r>
  <r>
    <x v="1733"/>
    <x v="7"/>
    <n v="5"/>
    <n v="73.599999999999994"/>
    <n v="368"/>
    <d v="2025-03-05T00:00:00"/>
    <d v="2025-03-09T00:00:00"/>
    <x v="1"/>
    <s v="Website"/>
    <n v="4"/>
    <s v="California"/>
    <s v="Alameda County"/>
    <n v="4"/>
    <n v="10"/>
    <x v="1"/>
  </r>
  <r>
    <x v="1734"/>
    <x v="5"/>
    <n v="7"/>
    <n v="91.2"/>
    <n v="638.4"/>
    <d v="2025-03-05T00:00:00"/>
    <d v="2025-03-06T00:00:00"/>
    <x v="1"/>
    <s v="Website"/>
    <n v="5"/>
    <s v="California"/>
    <s v="Alameda County"/>
    <n v="1"/>
    <n v="10"/>
    <x v="1"/>
  </r>
  <r>
    <x v="1735"/>
    <x v="1"/>
    <n v="8"/>
    <n v="36.200000000000003"/>
    <n v="289.60000000000002"/>
    <d v="2025-03-05T00:00:00"/>
    <d v="2025-03-05T00:00:00"/>
    <x v="1"/>
    <s v="Target.com"/>
    <n v="5"/>
    <s v="California"/>
    <s v="Contra Costa County"/>
    <n v="0"/>
    <n v="10"/>
    <x v="1"/>
  </r>
  <r>
    <x v="1736"/>
    <x v="9"/>
    <n v="8"/>
    <n v="98"/>
    <n v="784"/>
    <d v="2025-03-05T00:00:00"/>
    <d v="2025-03-09T00:00:00"/>
    <x v="2"/>
    <s v="Target.com"/>
    <n v="4"/>
    <s v="California"/>
    <s v="Fresno County"/>
    <n v="4"/>
    <n v="10"/>
    <x v="2"/>
  </r>
  <r>
    <x v="1737"/>
    <x v="1"/>
    <n v="8"/>
    <n v="43.6"/>
    <n v="348.8"/>
    <d v="2025-03-05T00:00:00"/>
    <d v="2025-03-06T00:00:00"/>
    <x v="2"/>
    <s v="Target.com"/>
    <n v="4"/>
    <s v="California"/>
    <s v="Kern County"/>
    <n v="1"/>
    <n v="10"/>
    <x v="2"/>
  </r>
  <r>
    <x v="1738"/>
    <x v="8"/>
    <n v="10"/>
    <n v="37.799999999999997"/>
    <n v="378"/>
    <d v="2025-03-05T00:00:00"/>
    <d v="2025-03-05T00:00:00"/>
    <x v="3"/>
    <s v="App"/>
    <n v="4"/>
    <s v="California"/>
    <s v="Lake County"/>
    <n v="0"/>
    <n v="10"/>
    <x v="3"/>
  </r>
  <r>
    <x v="1739"/>
    <x v="17"/>
    <n v="5"/>
    <n v="63.7"/>
    <n v="318.5"/>
    <d v="2025-03-05T00:00:00"/>
    <d v="2025-03-08T00:00:00"/>
    <x v="2"/>
    <s v="Target.com"/>
    <n v="3"/>
    <s v="California"/>
    <s v="Los Angeles County"/>
    <n v="3"/>
    <n v="10"/>
    <x v="2"/>
  </r>
  <r>
    <x v="1740"/>
    <x v="5"/>
    <n v="9"/>
    <n v="62.9"/>
    <n v="566.1"/>
    <d v="2025-03-05T00:00:00"/>
    <d v="2025-03-10T00:00:00"/>
    <x v="1"/>
    <s v="Instagram"/>
    <n v="5"/>
    <s v="California"/>
    <s v="Los Angeles County"/>
    <n v="5"/>
    <n v="10"/>
    <x v="1"/>
  </r>
  <r>
    <x v="1741"/>
    <x v="6"/>
    <n v="7"/>
    <n v="61.7"/>
    <n v="431.90000000000003"/>
    <d v="2025-03-05T00:00:00"/>
    <d v="2025-03-08T00:00:00"/>
    <x v="2"/>
    <s v="Target.com"/>
    <n v="5"/>
    <s v="California"/>
    <s v="Los Angeles County"/>
    <n v="3"/>
    <n v="10"/>
    <x v="2"/>
  </r>
  <r>
    <x v="1742"/>
    <x v="18"/>
    <n v="14"/>
    <n v="36.5"/>
    <n v="511"/>
    <d v="2025-03-05T00:00:00"/>
    <d v="2025-03-06T00:00:00"/>
    <x v="1"/>
    <s v="App"/>
    <n v="5"/>
    <s v="California"/>
    <s v="Los Angeles County"/>
    <n v="1"/>
    <n v="10"/>
    <x v="1"/>
  </r>
  <r>
    <x v="1743"/>
    <x v="11"/>
    <n v="3"/>
    <n v="98.6"/>
    <n v="295.79999999999995"/>
    <d v="2025-03-05T00:00:00"/>
    <d v="2025-03-08T00:00:00"/>
    <x v="3"/>
    <s v="App"/>
    <n v="2"/>
    <s v="California"/>
    <s v="Los Angeles County"/>
    <n v="3"/>
    <n v="10"/>
    <x v="3"/>
  </r>
  <r>
    <x v="1744"/>
    <x v="8"/>
    <n v="2"/>
    <n v="19.2"/>
    <n v="38.4"/>
    <d v="2025-03-05T00:00:00"/>
    <d v="2025-03-15T00:00:00"/>
    <x v="1"/>
    <s v="App"/>
    <n v="4"/>
    <s v="California"/>
    <s v="Los Angeles County"/>
    <n v="10"/>
    <n v="10"/>
    <x v="1"/>
  </r>
  <r>
    <x v="1745"/>
    <x v="3"/>
    <n v="6"/>
    <n v="55.6"/>
    <n v="333.6"/>
    <d v="2025-03-05T00:00:00"/>
    <d v="2025-03-09T00:00:00"/>
    <x v="2"/>
    <s v="App"/>
    <n v="5"/>
    <s v="California"/>
    <s v="Los Angeles County"/>
    <n v="4"/>
    <n v="10"/>
    <x v="2"/>
  </r>
  <r>
    <x v="1746"/>
    <x v="5"/>
    <n v="6"/>
    <n v="56.4"/>
    <n v="338.4"/>
    <d v="2025-03-05T00:00:00"/>
    <d v="2025-03-06T00:00:00"/>
    <x v="2"/>
    <s v="Website"/>
    <n v="4"/>
    <s v="California"/>
    <s v="Los Angeles County"/>
    <n v="1"/>
    <n v="10"/>
    <x v="2"/>
  </r>
  <r>
    <x v="1747"/>
    <x v="4"/>
    <n v="8"/>
    <n v="43.1"/>
    <n v="344.8"/>
    <d v="2025-03-05T00:00:00"/>
    <d v="2025-03-09T00:00:00"/>
    <x v="2"/>
    <s v="Partner App"/>
    <n v="4"/>
    <s v="California"/>
    <s v="Los Angeles County"/>
    <n v="4"/>
    <n v="10"/>
    <x v="2"/>
  </r>
  <r>
    <x v="1748"/>
    <x v="1"/>
    <n v="2"/>
    <n v="77.3"/>
    <n v="154.6"/>
    <d v="2025-03-05T00:00:00"/>
    <d v="2025-03-07T00:00:00"/>
    <x v="1"/>
    <s v="App"/>
    <n v="4"/>
    <s v="California"/>
    <s v="Sacramento County"/>
    <n v="2"/>
    <n v="10"/>
    <x v="1"/>
  </r>
  <r>
    <x v="1749"/>
    <x v="9"/>
    <n v="8"/>
    <n v="38.299999999999997"/>
    <n v="306.39999999999998"/>
    <d v="2025-03-05T00:00:00"/>
    <d v="2025-03-06T00:00:00"/>
    <x v="1"/>
    <s v="App"/>
    <n v="4"/>
    <s v="California"/>
    <s v="San Bernardino County"/>
    <n v="1"/>
    <n v="10"/>
    <x v="1"/>
  </r>
  <r>
    <x v="1750"/>
    <x v="0"/>
    <n v="7"/>
    <n v="16.8"/>
    <n v="117.60000000000001"/>
    <d v="2025-03-05T00:00:00"/>
    <d v="2025-03-08T00:00:00"/>
    <x v="1"/>
    <s v="Target.com"/>
    <n v="3"/>
    <s v="California"/>
    <s v="San Diego County"/>
    <n v="3"/>
    <n v="10"/>
    <x v="1"/>
  </r>
  <r>
    <x v="1751"/>
    <x v="2"/>
    <n v="3"/>
    <n v="63.2"/>
    <n v="189.60000000000002"/>
    <d v="2025-03-05T00:00:00"/>
    <d v="2025-03-06T00:00:00"/>
    <x v="2"/>
    <s v="App"/>
    <n v="5"/>
    <s v="California"/>
    <s v="San Diego County"/>
    <n v="1"/>
    <n v="10"/>
    <x v="2"/>
  </r>
  <r>
    <x v="1752"/>
    <x v="14"/>
    <n v="23"/>
    <n v="39.700000000000003"/>
    <n v="913.1"/>
    <d v="2025-03-05T00:00:00"/>
    <d v="2025-03-06T00:00:00"/>
    <x v="1"/>
    <s v="App"/>
    <n v="4"/>
    <s v="California"/>
    <s v="San Diego County"/>
    <n v="1"/>
    <n v="10"/>
    <x v="1"/>
  </r>
  <r>
    <x v="1753"/>
    <x v="10"/>
    <n v="3"/>
    <n v="45.8"/>
    <n v="137.39999999999998"/>
    <d v="2025-03-05T00:00:00"/>
    <d v="2025-03-06T00:00:00"/>
    <x v="2"/>
    <s v="Website"/>
    <n v="5"/>
    <s v="California"/>
    <s v="San Diego County"/>
    <n v="1"/>
    <n v="10"/>
    <x v="2"/>
  </r>
  <r>
    <x v="1754"/>
    <x v="0"/>
    <n v="6"/>
    <n v="12.4"/>
    <n v="74.400000000000006"/>
    <d v="2025-03-05T00:00:00"/>
    <d v="2025-03-08T00:00:00"/>
    <x v="1"/>
    <s v="App"/>
    <n v="4"/>
    <s v="California"/>
    <s v="San Diego County"/>
    <n v="3"/>
    <n v="10"/>
    <x v="1"/>
  </r>
  <r>
    <x v="1755"/>
    <x v="14"/>
    <n v="3"/>
    <n v="50.8"/>
    <n v="152.39999999999998"/>
    <d v="2025-03-06T00:00:00"/>
    <d v="2025-03-06T00:00:00"/>
    <x v="2"/>
    <s v="Partner App"/>
    <n v="4"/>
    <s v="California"/>
    <s v="San Francisco"/>
    <n v="0"/>
    <n v="10"/>
    <x v="2"/>
  </r>
  <r>
    <x v="1756"/>
    <x v="9"/>
    <n v="1"/>
    <n v="76"/>
    <n v="76"/>
    <d v="2025-03-06T00:00:00"/>
    <d v="2025-03-10T00:00:00"/>
    <x v="3"/>
    <s v="Target.com"/>
    <n v="5"/>
    <s v="California"/>
    <s v="San Francisco"/>
    <n v="4"/>
    <n v="10"/>
    <x v="3"/>
  </r>
  <r>
    <x v="1757"/>
    <x v="1"/>
    <n v="2"/>
    <n v="51.9"/>
    <n v="103.8"/>
    <d v="2025-03-06T00:00:00"/>
    <d v="2025-03-07T00:00:00"/>
    <x v="1"/>
    <s v="Website"/>
    <n v="5"/>
    <s v="California"/>
    <s v="San Joaquin County"/>
    <n v="1"/>
    <n v="10"/>
    <x v="1"/>
  </r>
  <r>
    <x v="1758"/>
    <x v="2"/>
    <n v="2"/>
    <n v="93.4"/>
    <n v="186.8"/>
    <d v="2025-03-06T00:00:00"/>
    <d v="2025-03-13T00:00:00"/>
    <x v="1"/>
    <s v="App"/>
    <n v="1"/>
    <s v="California"/>
    <s v="Santa Clara County"/>
    <n v="7"/>
    <n v="10"/>
    <x v="1"/>
  </r>
  <r>
    <x v="1759"/>
    <x v="7"/>
    <n v="6"/>
    <n v="30.8"/>
    <n v="184.8"/>
    <d v="2025-03-06T00:00:00"/>
    <d v="2025-03-09T00:00:00"/>
    <x v="2"/>
    <s v="Website"/>
    <n v="4"/>
    <s v="California"/>
    <s v="Santa Clara County"/>
    <n v="3"/>
    <n v="10"/>
    <x v="2"/>
  </r>
  <r>
    <x v="1760"/>
    <x v="2"/>
    <n v="1"/>
    <n v="143.19999999999999"/>
    <n v="143.19999999999999"/>
    <d v="2025-03-06T00:00:00"/>
    <d v="2025-03-09T00:00:00"/>
    <x v="1"/>
    <s v="Target.com"/>
    <n v="4"/>
    <s v="California"/>
    <s v="Santa Clara County"/>
    <n v="3"/>
    <n v="10"/>
    <x v="1"/>
  </r>
  <r>
    <x v="1761"/>
    <x v="6"/>
    <n v="11"/>
    <n v="40.4"/>
    <n v="444.4"/>
    <d v="2025-03-06T00:00:00"/>
    <d v="2025-03-08T00:00:00"/>
    <x v="1"/>
    <s v="Target.com"/>
    <n v="5"/>
    <s v="California"/>
    <s v="Sonoma County"/>
    <n v="2"/>
    <n v="10"/>
    <x v="1"/>
  </r>
  <r>
    <x v="1762"/>
    <x v="2"/>
    <n v="19"/>
    <n v="131.5"/>
    <n v="2498.5"/>
    <d v="2025-03-06T00:00:00"/>
    <d v="2025-03-08T00:00:00"/>
    <x v="1"/>
    <s v="Website"/>
    <n v="3"/>
    <s v="California"/>
    <s v="Sonoma County"/>
    <n v="2"/>
    <n v="10"/>
    <x v="1"/>
  </r>
  <r>
    <x v="1763"/>
    <x v="18"/>
    <n v="7"/>
    <n v="61.6"/>
    <n v="431.2"/>
    <d v="2025-03-06T00:00:00"/>
    <d v="2025-03-07T00:00:00"/>
    <x v="1"/>
    <s v="Target.com"/>
    <n v="4"/>
    <s v="California"/>
    <s v="Alameda County"/>
    <n v="1"/>
    <n v="10"/>
    <x v="1"/>
  </r>
  <r>
    <x v="1764"/>
    <x v="9"/>
    <n v="5"/>
    <n v="32.700000000000003"/>
    <n v="163.5"/>
    <d v="2025-03-06T00:00:00"/>
    <d v="2025-03-08T00:00:00"/>
    <x v="1"/>
    <s v="Target.com"/>
    <n v="4"/>
    <s v="California"/>
    <s v="Contra Costa County"/>
    <n v="2"/>
    <n v="10"/>
    <x v="1"/>
  </r>
  <r>
    <x v="1765"/>
    <x v="0"/>
    <n v="10"/>
    <n v="13.7"/>
    <n v="137"/>
    <d v="2025-03-06T00:00:00"/>
    <d v="2025-03-07T00:00:00"/>
    <x v="1"/>
    <s v="App"/>
    <n v="5"/>
    <s v="California"/>
    <s v="Los Angeles County"/>
    <n v="1"/>
    <n v="10"/>
    <x v="1"/>
  </r>
  <r>
    <x v="1766"/>
    <x v="0"/>
    <n v="4"/>
    <n v="32.1"/>
    <n v="128.4"/>
    <d v="2025-03-06T00:00:00"/>
    <d v="2025-03-07T00:00:00"/>
    <x v="1"/>
    <s v="Partner App"/>
    <n v="3"/>
    <s v="California"/>
    <s v="Los Angeles County"/>
    <n v="1"/>
    <n v="10"/>
    <x v="1"/>
  </r>
  <r>
    <x v="1767"/>
    <x v="14"/>
    <n v="8"/>
    <n v="12"/>
    <n v="96"/>
    <d v="2025-03-06T00:00:00"/>
    <d v="2025-03-07T00:00:00"/>
    <x v="1"/>
    <s v="Website"/>
    <n v="4"/>
    <s v="California"/>
    <s v="Merced County"/>
    <n v="1"/>
    <n v="10"/>
    <x v="1"/>
  </r>
  <r>
    <x v="1768"/>
    <x v="12"/>
    <n v="1"/>
    <n v="64.3"/>
    <n v="64.3"/>
    <d v="2025-03-06T00:00:00"/>
    <d v="2025-03-08T00:00:00"/>
    <x v="2"/>
    <s v="Target.com"/>
    <n v="5"/>
    <s v="California"/>
    <s v="Sacramento County"/>
    <n v="2"/>
    <n v="10"/>
    <x v="2"/>
  </r>
  <r>
    <x v="1769"/>
    <x v="1"/>
    <n v="3"/>
    <n v="58.2"/>
    <n v="174.60000000000002"/>
    <d v="2025-03-06T00:00:00"/>
    <d v="2025-03-08T00:00:00"/>
    <x v="2"/>
    <s v="Website"/>
    <n v="5"/>
    <s v="California"/>
    <s v="Sacramento County"/>
    <n v="2"/>
    <n v="10"/>
    <x v="2"/>
  </r>
  <r>
    <x v="1770"/>
    <x v="6"/>
    <n v="4"/>
    <n v="59.2"/>
    <n v="236.8"/>
    <d v="2025-03-06T00:00:00"/>
    <d v="2025-03-06T00:00:00"/>
    <x v="1"/>
    <s v="Website"/>
    <n v="5"/>
    <s v="California"/>
    <s v="Sacramento County"/>
    <n v="0"/>
    <n v="10"/>
    <x v="1"/>
  </r>
  <r>
    <x v="1771"/>
    <x v="10"/>
    <n v="11"/>
    <n v="35.6"/>
    <n v="391.6"/>
    <d v="2025-03-06T00:00:00"/>
    <d v="2025-03-13T00:00:00"/>
    <x v="1"/>
    <s v="App"/>
    <n v="5"/>
    <s v="California"/>
    <s v="San Diego County"/>
    <n v="7"/>
    <n v="10"/>
    <x v="1"/>
  </r>
  <r>
    <x v="1772"/>
    <x v="16"/>
    <n v="8"/>
    <n v="37"/>
    <n v="296"/>
    <d v="2025-03-06T00:00:00"/>
    <d v="2025-03-10T00:00:00"/>
    <x v="2"/>
    <s v="Target.com"/>
    <n v="3"/>
    <s v="California"/>
    <s v="San Diego County"/>
    <n v="4"/>
    <n v="10"/>
    <x v="2"/>
  </r>
  <r>
    <x v="1773"/>
    <x v="1"/>
    <n v="13"/>
    <n v="80.8"/>
    <n v="1050.3999999999999"/>
    <d v="2025-03-06T00:00:00"/>
    <d v="2025-03-08T00:00:00"/>
    <x v="2"/>
    <s v="App"/>
    <n v="4"/>
    <s v="California"/>
    <s v="San Diego County"/>
    <n v="2"/>
    <n v="10"/>
    <x v="2"/>
  </r>
  <r>
    <x v="1774"/>
    <x v="8"/>
    <n v="2"/>
    <n v="63.2"/>
    <n v="126.4"/>
    <d v="2025-03-06T00:00:00"/>
    <d v="2025-03-07T00:00:00"/>
    <x v="1"/>
    <s v="App"/>
    <n v="3"/>
    <s v="California"/>
    <s v="San Diego County"/>
    <n v="1"/>
    <n v="10"/>
    <x v="1"/>
  </r>
  <r>
    <x v="1775"/>
    <x v="3"/>
    <n v="2"/>
    <n v="40.799999999999997"/>
    <n v="81.599999999999994"/>
    <d v="2025-03-06T00:00:00"/>
    <d v="2025-03-08T00:00:00"/>
    <x v="1"/>
    <s v="App"/>
    <n v="3"/>
    <s v="California"/>
    <s v="San Francisco"/>
    <n v="2"/>
    <n v="10"/>
    <x v="1"/>
  </r>
  <r>
    <x v="1776"/>
    <x v="13"/>
    <n v="6"/>
    <n v="25.7"/>
    <n v="154.19999999999999"/>
    <d v="2025-03-06T00:00:00"/>
    <d v="2025-03-08T00:00:00"/>
    <x v="1"/>
    <s v="Partner App"/>
    <n v="4"/>
    <s v="California"/>
    <s v="Sonoma County"/>
    <n v="2"/>
    <n v="10"/>
    <x v="1"/>
  </r>
  <r>
    <x v="1777"/>
    <x v="16"/>
    <n v="2"/>
    <n v="49.9"/>
    <n v="99.8"/>
    <d v="2025-03-06T00:00:00"/>
    <d v="2025-03-09T00:00:00"/>
    <x v="1"/>
    <s v="App"/>
    <n v="4"/>
    <s v="California"/>
    <s v="Tulare County"/>
    <n v="3"/>
    <n v="10"/>
    <x v="1"/>
  </r>
  <r>
    <x v="1778"/>
    <x v="8"/>
    <n v="2"/>
    <n v="20.2"/>
    <n v="40.4"/>
    <d v="2025-03-06T00:00:00"/>
    <d v="2025-03-08T00:00:00"/>
    <x v="2"/>
    <s v="Instagram"/>
    <n v="4"/>
    <s v="California"/>
    <s v="Alameda County"/>
    <n v="2"/>
    <n v="10"/>
    <x v="2"/>
  </r>
  <r>
    <x v="1779"/>
    <x v="6"/>
    <n v="3"/>
    <n v="48.4"/>
    <n v="145.19999999999999"/>
    <d v="2025-03-06T00:00:00"/>
    <d v="2025-03-11T00:00:00"/>
    <x v="2"/>
    <s v="App"/>
    <n v="5"/>
    <s v="California"/>
    <s v="Alameda County"/>
    <n v="5"/>
    <n v="10"/>
    <x v="2"/>
  </r>
  <r>
    <x v="1780"/>
    <x v="6"/>
    <n v="2"/>
    <n v="81"/>
    <n v="162"/>
    <d v="2025-03-06T00:00:00"/>
    <d v="2025-03-07T00:00:00"/>
    <x v="2"/>
    <s v="Website"/>
    <n v="5"/>
    <s v="California"/>
    <s v="Alameda County"/>
    <n v="1"/>
    <n v="10"/>
    <x v="2"/>
  </r>
  <r>
    <x v="1781"/>
    <x v="8"/>
    <n v="6"/>
    <n v="19.899999999999999"/>
    <n v="119.39999999999999"/>
    <d v="2025-03-06T00:00:00"/>
    <d v="2025-03-09T00:00:00"/>
    <x v="2"/>
    <s v="App"/>
    <n v="3"/>
    <s v="California"/>
    <s v="Kern County"/>
    <n v="3"/>
    <n v="10"/>
    <x v="2"/>
  </r>
  <r>
    <x v="1782"/>
    <x v="4"/>
    <n v="4"/>
    <n v="32.200000000000003"/>
    <n v="128.80000000000001"/>
    <d v="2025-03-06T00:00:00"/>
    <d v="2025-03-16T00:00:00"/>
    <x v="1"/>
    <s v="App"/>
    <n v="4"/>
    <s v="California"/>
    <s v="Kern County"/>
    <n v="10"/>
    <n v="10"/>
    <x v="1"/>
  </r>
  <r>
    <x v="1783"/>
    <x v="5"/>
    <n v="3"/>
    <n v="76.8"/>
    <n v="230.39999999999998"/>
    <d v="2025-03-06T00:00:00"/>
    <d v="2025-03-07T00:00:00"/>
    <x v="2"/>
    <s v="App"/>
    <n v="3"/>
    <s v="California"/>
    <s v="Los Angeles County"/>
    <n v="1"/>
    <n v="10"/>
    <x v="2"/>
  </r>
  <r>
    <x v="1784"/>
    <x v="6"/>
    <n v="2"/>
    <n v="41.9"/>
    <n v="83.8"/>
    <d v="2025-03-06T00:00:00"/>
    <d v="2025-03-08T00:00:00"/>
    <x v="2"/>
    <s v="App"/>
    <n v="4"/>
    <s v="California"/>
    <s v="Los Angeles County"/>
    <n v="2"/>
    <n v="10"/>
    <x v="2"/>
  </r>
  <r>
    <x v="1785"/>
    <x v="0"/>
    <n v="7"/>
    <n v="34"/>
    <n v="238"/>
    <d v="2025-03-06T00:00:00"/>
    <d v="2025-03-08T00:00:00"/>
    <x v="2"/>
    <s v="Website"/>
    <n v="5"/>
    <s v="California"/>
    <s v="Los Angeles County"/>
    <n v="2"/>
    <n v="10"/>
    <x v="2"/>
  </r>
  <r>
    <x v="1786"/>
    <x v="7"/>
    <n v="7"/>
    <n v="61.3"/>
    <n v="429.09999999999997"/>
    <d v="2025-03-06T00:00:00"/>
    <d v="2025-03-06T00:00:00"/>
    <x v="2"/>
    <s v="Partner App"/>
    <n v="5"/>
    <s v="California"/>
    <s v="Los Angeles County"/>
    <n v="0"/>
    <n v="10"/>
    <x v="2"/>
  </r>
  <r>
    <x v="1787"/>
    <x v="9"/>
    <n v="1"/>
    <n v="54.7"/>
    <n v="54.7"/>
    <d v="2025-03-07T00:00:00"/>
    <d v="2025-03-08T00:00:00"/>
    <x v="1"/>
    <s v="App"/>
    <n v="3"/>
    <s v="California"/>
    <s v="Los Angeles County"/>
    <n v="1"/>
    <n v="10"/>
    <x v="1"/>
  </r>
  <r>
    <x v="1788"/>
    <x v="6"/>
    <n v="10"/>
    <n v="84.7"/>
    <n v="847"/>
    <d v="2025-03-07T00:00:00"/>
    <d v="2025-03-11T00:00:00"/>
    <x v="2"/>
    <s v="App"/>
    <n v="4"/>
    <s v="California"/>
    <s v="Los Angeles County"/>
    <n v="4"/>
    <n v="10"/>
    <x v="2"/>
  </r>
  <r>
    <x v="1789"/>
    <x v="1"/>
    <n v="3"/>
    <n v="93.4"/>
    <n v="280.20000000000005"/>
    <d v="2025-03-07T00:00:00"/>
    <d v="2025-03-11T00:00:00"/>
    <x v="2"/>
    <s v="Instagram"/>
    <n v="4"/>
    <s v="California"/>
    <s v="Los Angeles County"/>
    <n v="4"/>
    <n v="10"/>
    <x v="2"/>
  </r>
  <r>
    <x v="1790"/>
    <x v="8"/>
    <n v="5"/>
    <n v="27"/>
    <n v="135"/>
    <d v="2025-03-07T00:00:00"/>
    <d v="2025-03-10T00:00:00"/>
    <x v="1"/>
    <s v="App"/>
    <n v="3"/>
    <s v="California"/>
    <s v="Los Angeles County"/>
    <n v="3"/>
    <n v="10"/>
    <x v="1"/>
  </r>
  <r>
    <x v="1791"/>
    <x v="0"/>
    <n v="4"/>
    <n v="10.9"/>
    <n v="43.6"/>
    <d v="2025-03-07T00:00:00"/>
    <d v="2025-03-08T00:00:00"/>
    <x v="1"/>
    <s v="Target.com"/>
    <n v="4"/>
    <s v="California"/>
    <s v="Los Angeles County"/>
    <n v="1"/>
    <n v="10"/>
    <x v="1"/>
  </r>
  <r>
    <x v="1792"/>
    <x v="16"/>
    <n v="3"/>
    <n v="48"/>
    <n v="144"/>
    <d v="2025-03-07T00:00:00"/>
    <d v="2025-03-12T00:00:00"/>
    <x v="2"/>
    <s v="Partner App"/>
    <n v="4"/>
    <s v="California"/>
    <s v="Los Angeles County"/>
    <n v="5"/>
    <n v="10"/>
    <x v="2"/>
  </r>
  <r>
    <x v="1793"/>
    <x v="5"/>
    <n v="2"/>
    <n v="67.900000000000006"/>
    <n v="135.80000000000001"/>
    <d v="2025-03-07T00:00:00"/>
    <d v="2025-03-08T00:00:00"/>
    <x v="1"/>
    <s v="App"/>
    <n v="5"/>
    <s v="California"/>
    <s v="Riverside County"/>
    <n v="1"/>
    <n v="10"/>
    <x v="1"/>
  </r>
  <r>
    <x v="1794"/>
    <x v="4"/>
    <n v="3"/>
    <n v="36"/>
    <n v="108"/>
    <d v="2025-03-07T00:00:00"/>
    <d v="2025-03-08T00:00:00"/>
    <x v="1"/>
    <s v="Website"/>
    <n v="4"/>
    <s v="California"/>
    <s v="Sacramento County"/>
    <n v="1"/>
    <n v="10"/>
    <x v="1"/>
  </r>
  <r>
    <x v="1795"/>
    <x v="2"/>
    <n v="1"/>
    <n v="128.80000000000001"/>
    <n v="128.80000000000001"/>
    <d v="2025-03-07T00:00:00"/>
    <d v="2025-03-08T00:00:00"/>
    <x v="1"/>
    <s v="Partner App"/>
    <n v="5"/>
    <s v="California"/>
    <s v="Sacramento County"/>
    <n v="1"/>
    <n v="10"/>
    <x v="1"/>
  </r>
  <r>
    <x v="1796"/>
    <x v="18"/>
    <n v="7"/>
    <n v="33.299999999999997"/>
    <n v="233.09999999999997"/>
    <d v="2025-03-07T00:00:00"/>
    <d v="2025-03-08T00:00:00"/>
    <x v="2"/>
    <s v="Instagram"/>
    <n v="4"/>
    <s v="California"/>
    <s v="San Diego County"/>
    <n v="1"/>
    <n v="10"/>
    <x v="2"/>
  </r>
  <r>
    <x v="1797"/>
    <x v="10"/>
    <n v="3"/>
    <n v="37.799999999999997"/>
    <n v="113.39999999999999"/>
    <d v="2025-03-07T00:00:00"/>
    <d v="2025-03-09T00:00:00"/>
    <x v="1"/>
    <s v="Website"/>
    <n v="5"/>
    <s v="California"/>
    <s v="San Diego County"/>
    <n v="2"/>
    <n v="10"/>
    <x v="1"/>
  </r>
  <r>
    <x v="1798"/>
    <x v="5"/>
    <n v="3"/>
    <n v="26"/>
    <n v="78"/>
    <d v="2025-03-07T00:00:00"/>
    <d v="2025-03-12T00:00:00"/>
    <x v="2"/>
    <s v="App"/>
    <n v="4"/>
    <s v="California"/>
    <s v="San Diego County"/>
    <n v="5"/>
    <n v="10"/>
    <x v="2"/>
  </r>
  <r>
    <x v="1799"/>
    <x v="8"/>
    <n v="19"/>
    <n v="28.3"/>
    <n v="537.70000000000005"/>
    <d v="2025-03-07T00:00:00"/>
    <d v="2025-03-08T00:00:00"/>
    <x v="2"/>
    <s v="Instagram"/>
    <n v="2"/>
    <s v="California"/>
    <s v="San Diego County"/>
    <n v="1"/>
    <n v="10"/>
    <x v="2"/>
  </r>
  <r>
    <x v="1800"/>
    <x v="8"/>
    <n v="4"/>
    <n v="31.3"/>
    <n v="125.2"/>
    <d v="2025-03-07T00:00:00"/>
    <d v="2025-03-07T00:00:00"/>
    <x v="2"/>
    <s v="App"/>
    <n v="4"/>
    <s v="California"/>
    <s v="San Diego County"/>
    <n v="0"/>
    <n v="10"/>
    <x v="2"/>
  </r>
  <r>
    <x v="1801"/>
    <x v="7"/>
    <n v="3"/>
    <n v="69.5"/>
    <n v="208.5"/>
    <d v="2025-03-07T00:00:00"/>
    <d v="2025-03-08T00:00:00"/>
    <x v="2"/>
    <s v="Instagram"/>
    <n v="5"/>
    <s v="California"/>
    <s v="San Diego County"/>
    <n v="1"/>
    <n v="10"/>
    <x v="2"/>
  </r>
  <r>
    <x v="1802"/>
    <x v="0"/>
    <n v="2"/>
    <n v="16.7"/>
    <n v="33.4"/>
    <d v="2025-03-07T00:00:00"/>
    <d v="2025-03-08T00:00:00"/>
    <x v="2"/>
    <s v="Instagram"/>
    <n v="3"/>
    <s v="California"/>
    <s v="San Diego County"/>
    <n v="1"/>
    <n v="10"/>
    <x v="2"/>
  </r>
  <r>
    <x v="1803"/>
    <x v="9"/>
    <n v="2"/>
    <n v="62.6"/>
    <n v="125.2"/>
    <d v="2025-03-07T00:00:00"/>
    <d v="2025-03-08T00:00:00"/>
    <x v="1"/>
    <s v="Target.com"/>
    <n v="5"/>
    <s v="California"/>
    <s v="San Mateo County"/>
    <n v="1"/>
    <n v="10"/>
    <x v="1"/>
  </r>
  <r>
    <x v="1804"/>
    <x v="7"/>
    <n v="1"/>
    <n v="81.2"/>
    <n v="81.2"/>
    <d v="2025-03-07T00:00:00"/>
    <d v="2025-03-13T00:00:00"/>
    <x v="1"/>
    <s v="Partner App"/>
    <n v="2"/>
    <s v="California"/>
    <s v="San Mateo County"/>
    <n v="6"/>
    <n v="10"/>
    <x v="1"/>
  </r>
  <r>
    <x v="1805"/>
    <x v="0"/>
    <n v="10"/>
    <n v="12.7"/>
    <n v="127"/>
    <d v="2025-03-07T00:00:00"/>
    <d v="2025-03-08T00:00:00"/>
    <x v="2"/>
    <s v="App"/>
    <n v="5"/>
    <s v="California"/>
    <s v="San Mateo County"/>
    <n v="1"/>
    <n v="10"/>
    <x v="2"/>
  </r>
  <r>
    <x v="1806"/>
    <x v="7"/>
    <n v="4"/>
    <n v="77.7"/>
    <n v="310.8"/>
    <d v="2025-03-08T00:00:00"/>
    <d v="2025-03-12T00:00:00"/>
    <x v="1"/>
    <s v="Website"/>
    <n v="4"/>
    <s v="California"/>
    <s v="Santa Clara County"/>
    <n v="4"/>
    <n v="10"/>
    <x v="1"/>
  </r>
  <r>
    <x v="1807"/>
    <x v="5"/>
    <n v="2"/>
    <n v="37.299999999999997"/>
    <n v="74.599999999999994"/>
    <d v="2025-03-08T00:00:00"/>
    <d v="2025-03-09T00:00:00"/>
    <x v="2"/>
    <s v="App"/>
    <n v="5"/>
    <s v="California"/>
    <s v="Sonoma County"/>
    <n v="1"/>
    <n v="10"/>
    <x v="2"/>
  </r>
  <r>
    <x v="1808"/>
    <x v="10"/>
    <n v="4"/>
    <n v="35.6"/>
    <n v="142.4"/>
    <d v="2025-03-08T00:00:00"/>
    <d v="2025-03-10T00:00:00"/>
    <x v="2"/>
    <s v="Website"/>
    <n v="3"/>
    <s v="California"/>
    <s v="Stanislaus County"/>
    <n v="2"/>
    <n v="10"/>
    <x v="2"/>
  </r>
  <r>
    <x v="1809"/>
    <x v="2"/>
    <n v="3"/>
    <n v="95"/>
    <n v="285"/>
    <d v="2025-03-08T00:00:00"/>
    <d v="2025-03-12T00:00:00"/>
    <x v="2"/>
    <s v="Target.com"/>
    <n v="5"/>
    <s v="California"/>
    <s v="Yuba County"/>
    <n v="4"/>
    <n v="10"/>
    <x v="2"/>
  </r>
  <r>
    <x v="1810"/>
    <x v="2"/>
    <n v="4"/>
    <n v="172.1"/>
    <n v="688.4"/>
    <d v="2025-03-08T00:00:00"/>
    <d v="2025-03-12T00:00:00"/>
    <x v="3"/>
    <s v="Target.com"/>
    <n v="5"/>
    <s v="California"/>
    <s v="Alameda County"/>
    <n v="4"/>
    <n v="10"/>
    <x v="3"/>
  </r>
  <r>
    <x v="1811"/>
    <x v="2"/>
    <n v="2"/>
    <n v="233"/>
    <n v="466"/>
    <d v="2025-03-08T00:00:00"/>
    <d v="2025-03-11T00:00:00"/>
    <x v="2"/>
    <s v="Website"/>
    <n v="4"/>
    <s v="California"/>
    <s v="Alameda County"/>
    <n v="3"/>
    <n v="10"/>
    <x v="2"/>
  </r>
  <r>
    <x v="1812"/>
    <x v="0"/>
    <n v="1"/>
    <n v="43.5"/>
    <n v="43.5"/>
    <d v="2025-03-08T00:00:00"/>
    <d v="2025-03-09T00:00:00"/>
    <x v="2"/>
    <s v="Target.com"/>
    <n v="5"/>
    <s v="California"/>
    <s v="Alameda County"/>
    <n v="1"/>
    <n v="10"/>
    <x v="2"/>
  </r>
  <r>
    <x v="1813"/>
    <x v="9"/>
    <n v="2"/>
    <n v="47.8"/>
    <n v="95.6"/>
    <d v="2025-03-08T00:00:00"/>
    <d v="2025-03-11T00:00:00"/>
    <x v="1"/>
    <s v="Partner App"/>
    <n v="5"/>
    <s v="California"/>
    <s v="Contra Costa County"/>
    <n v="3"/>
    <n v="10"/>
    <x v="1"/>
  </r>
  <r>
    <x v="1814"/>
    <x v="12"/>
    <n v="2"/>
    <n v="65.8"/>
    <n v="131.6"/>
    <d v="2025-03-08T00:00:00"/>
    <d v="2025-03-10T00:00:00"/>
    <x v="2"/>
    <s v="App"/>
    <n v="1"/>
    <s v="California"/>
    <s v="Imperial County"/>
    <n v="2"/>
    <n v="10"/>
    <x v="2"/>
  </r>
  <r>
    <x v="1815"/>
    <x v="15"/>
    <n v="11"/>
    <n v="38.700000000000003"/>
    <n v="425.70000000000005"/>
    <d v="2025-03-08T00:00:00"/>
    <d v="2025-03-08T00:00:00"/>
    <x v="1"/>
    <s v="App"/>
    <n v="4"/>
    <s v="California"/>
    <s v="Kern County"/>
    <n v="0"/>
    <n v="10"/>
    <x v="1"/>
  </r>
  <r>
    <x v="1816"/>
    <x v="3"/>
    <n v="4"/>
    <n v="55.7"/>
    <n v="222.8"/>
    <d v="2025-03-08T00:00:00"/>
    <d v="2025-03-10T00:00:00"/>
    <x v="3"/>
    <s v="App"/>
    <n v="3"/>
    <s v="California"/>
    <s v="Kern County"/>
    <n v="2"/>
    <n v="10"/>
    <x v="3"/>
  </r>
  <r>
    <x v="1817"/>
    <x v="7"/>
    <n v="2"/>
    <n v="102.4"/>
    <n v="204.8"/>
    <d v="2025-03-08T00:00:00"/>
    <d v="2025-03-08T00:00:00"/>
    <x v="2"/>
    <s v="Website"/>
    <n v="4"/>
    <s v="California"/>
    <s v="Los Angeles County"/>
    <n v="0"/>
    <n v="10"/>
    <x v="2"/>
  </r>
  <r>
    <x v="1818"/>
    <x v="1"/>
    <n v="1"/>
    <n v="92"/>
    <n v="92"/>
    <d v="2025-03-08T00:00:00"/>
    <d v="2025-03-12T00:00:00"/>
    <x v="0"/>
    <s v="Target.com"/>
    <n v="4"/>
    <s v="California"/>
    <s v="Los Angeles County"/>
    <n v="4"/>
    <n v="10"/>
    <x v="0"/>
  </r>
  <r>
    <x v="1819"/>
    <x v="6"/>
    <n v="4"/>
    <n v="75.900000000000006"/>
    <n v="303.60000000000002"/>
    <d v="2025-03-08T00:00:00"/>
    <d v="2025-03-10T00:00:00"/>
    <x v="2"/>
    <s v="Website"/>
    <n v="4"/>
    <s v="California"/>
    <s v="Los Angeles County"/>
    <n v="2"/>
    <n v="10"/>
    <x v="2"/>
  </r>
  <r>
    <x v="1820"/>
    <x v="1"/>
    <n v="4"/>
    <n v="36.200000000000003"/>
    <n v="144.80000000000001"/>
    <d v="2025-03-08T00:00:00"/>
    <d v="2025-03-09T00:00:00"/>
    <x v="2"/>
    <s v="Website"/>
    <n v="4"/>
    <s v="California"/>
    <s v="Los Angeles County"/>
    <n v="1"/>
    <n v="10"/>
    <x v="2"/>
  </r>
  <r>
    <x v="1821"/>
    <x v="6"/>
    <n v="87"/>
    <n v="83.5"/>
    <n v="7264.5"/>
    <d v="2025-03-08T00:00:00"/>
    <d v="2025-03-10T00:00:00"/>
    <x v="0"/>
    <s v="Instagram"/>
    <n v="4"/>
    <s v="California"/>
    <s v="Los Angeles County"/>
    <n v="2"/>
    <n v="10"/>
    <x v="0"/>
  </r>
  <r>
    <x v="1822"/>
    <x v="19"/>
    <n v="12"/>
    <n v="52.4"/>
    <n v="628.79999999999995"/>
    <d v="2025-03-08T00:00:00"/>
    <d v="2025-03-08T00:00:00"/>
    <x v="1"/>
    <s v="Target.com"/>
    <n v="4"/>
    <s v="California"/>
    <s v="Los Angeles County"/>
    <n v="0"/>
    <n v="10"/>
    <x v="1"/>
  </r>
  <r>
    <x v="1823"/>
    <x v="12"/>
    <n v="3"/>
    <n v="69.5"/>
    <n v="208.5"/>
    <d v="2025-03-08T00:00:00"/>
    <d v="2025-03-09T00:00:00"/>
    <x v="3"/>
    <s v="Partner App"/>
    <n v="4"/>
    <s v="California"/>
    <s v="Los Angeles County"/>
    <n v="1"/>
    <n v="10"/>
    <x v="3"/>
  </r>
  <r>
    <x v="1824"/>
    <x v="0"/>
    <n v="1"/>
    <n v="15.5"/>
    <n v="15.5"/>
    <d v="2025-03-08T00:00:00"/>
    <d v="2025-03-10T00:00:00"/>
    <x v="1"/>
    <s v="App"/>
    <n v="4"/>
    <s v="California"/>
    <s v="Los Angeles County"/>
    <n v="2"/>
    <n v="10"/>
    <x v="1"/>
  </r>
  <r>
    <x v="1825"/>
    <x v="4"/>
    <n v="4"/>
    <n v="35.200000000000003"/>
    <n v="140.80000000000001"/>
    <d v="2025-03-08T00:00:00"/>
    <d v="2025-03-09T00:00:00"/>
    <x v="2"/>
    <s v="Target.com"/>
    <n v="5"/>
    <s v="California"/>
    <s v="Los Angeles County"/>
    <n v="1"/>
    <n v="10"/>
    <x v="2"/>
  </r>
  <r>
    <x v="1826"/>
    <x v="8"/>
    <n v="6"/>
    <n v="34.6"/>
    <n v="207.60000000000002"/>
    <d v="2025-03-08T00:00:00"/>
    <d v="2025-03-09T00:00:00"/>
    <x v="0"/>
    <s v="App"/>
    <n v="3"/>
    <s v="California"/>
    <s v="Los Angeles County"/>
    <n v="1"/>
    <n v="10"/>
    <x v="0"/>
  </r>
  <r>
    <x v="1827"/>
    <x v="4"/>
    <n v="1"/>
    <n v="21.3"/>
    <n v="21.3"/>
    <d v="2025-03-09T00:00:00"/>
    <d v="2025-03-10T00:00:00"/>
    <x v="1"/>
    <s v="Target.com"/>
    <n v="3"/>
    <s v="California"/>
    <s v="Los Angeles County"/>
    <n v="1"/>
    <n v="11"/>
    <x v="1"/>
  </r>
  <r>
    <x v="1828"/>
    <x v="6"/>
    <n v="2"/>
    <n v="136.5"/>
    <n v="273"/>
    <d v="2025-03-09T00:00:00"/>
    <d v="2025-03-15T00:00:00"/>
    <x v="2"/>
    <s v="App"/>
    <n v="4"/>
    <s v="California"/>
    <s v="Madera County"/>
    <n v="6"/>
    <n v="11"/>
    <x v="2"/>
  </r>
  <r>
    <x v="1829"/>
    <x v="9"/>
    <n v="7"/>
    <n v="30.7"/>
    <n v="214.9"/>
    <d v="2025-03-09T00:00:00"/>
    <d v="2025-03-10T00:00:00"/>
    <x v="1"/>
    <s v="Target.com"/>
    <n v="5"/>
    <s v="California"/>
    <s v="Orange County"/>
    <n v="1"/>
    <n v="11"/>
    <x v="1"/>
  </r>
  <r>
    <x v="1830"/>
    <x v="1"/>
    <n v="2"/>
    <n v="61.6"/>
    <n v="123.2"/>
    <d v="2025-03-09T00:00:00"/>
    <d v="2025-03-10T00:00:00"/>
    <x v="2"/>
    <s v="Target.com"/>
    <n v="5"/>
    <s v="California"/>
    <s v="Riverside County"/>
    <n v="1"/>
    <n v="11"/>
    <x v="2"/>
  </r>
  <r>
    <x v="1831"/>
    <x v="6"/>
    <n v="4"/>
    <n v="54.3"/>
    <n v="217.2"/>
    <d v="2025-03-09T00:00:00"/>
    <d v="2025-03-11T00:00:00"/>
    <x v="0"/>
    <s v="Partner App"/>
    <n v="4"/>
    <s v="California"/>
    <s v="San Bernardino County"/>
    <n v="2"/>
    <n v="11"/>
    <x v="0"/>
  </r>
  <r>
    <x v="1832"/>
    <x v="1"/>
    <n v="2"/>
    <n v="44.1"/>
    <n v="88.2"/>
    <d v="2025-03-09T00:00:00"/>
    <d v="2025-03-21T00:00:00"/>
    <x v="2"/>
    <s v="App"/>
    <n v="5"/>
    <s v="California"/>
    <s v="San Diego County"/>
    <n v="12"/>
    <n v="11"/>
    <x v="2"/>
  </r>
  <r>
    <x v="1833"/>
    <x v="8"/>
    <n v="4"/>
    <n v="43.5"/>
    <n v="174"/>
    <d v="2025-03-09T00:00:00"/>
    <d v="2025-03-15T00:00:00"/>
    <x v="1"/>
    <s v="Instagram"/>
    <n v="4"/>
    <s v="California"/>
    <s v="San Diego County"/>
    <n v="6"/>
    <n v="11"/>
    <x v="1"/>
  </r>
  <r>
    <x v="1834"/>
    <x v="8"/>
    <n v="3"/>
    <n v="48.2"/>
    <n v="144.60000000000002"/>
    <d v="2025-03-09T00:00:00"/>
    <d v="2025-03-13T00:00:00"/>
    <x v="1"/>
    <s v="Instagram"/>
    <n v="3"/>
    <s v="California"/>
    <s v="San Diego County"/>
    <n v="4"/>
    <n v="11"/>
    <x v="1"/>
  </r>
  <r>
    <x v="1835"/>
    <x v="19"/>
    <n v="1"/>
    <n v="13.7"/>
    <n v="13.7"/>
    <d v="2025-03-09T00:00:00"/>
    <d v="2025-03-10T00:00:00"/>
    <x v="2"/>
    <s v="Target.com"/>
    <n v="5"/>
    <s v="California"/>
    <s v="San Diego County"/>
    <n v="1"/>
    <n v="11"/>
    <x v="2"/>
  </r>
  <r>
    <x v="1836"/>
    <x v="2"/>
    <n v="2"/>
    <n v="110.5"/>
    <n v="221"/>
    <d v="2025-03-09T00:00:00"/>
    <d v="2025-03-10T00:00:00"/>
    <x v="2"/>
    <s v="App"/>
    <n v="3"/>
    <s v="California"/>
    <s v="San Diego County"/>
    <n v="1"/>
    <n v="11"/>
    <x v="2"/>
  </r>
  <r>
    <x v="1837"/>
    <x v="8"/>
    <n v="3"/>
    <n v="26"/>
    <n v="78"/>
    <d v="2025-03-09T00:00:00"/>
    <d v="2025-03-14T00:00:00"/>
    <x v="2"/>
    <s v="Website"/>
    <n v="3"/>
    <s v="California"/>
    <s v="San Diego County"/>
    <n v="5"/>
    <n v="11"/>
    <x v="2"/>
  </r>
  <r>
    <x v="1838"/>
    <x v="2"/>
    <n v="10"/>
    <n v="140.69999999999999"/>
    <n v="1407"/>
    <d v="2025-03-09T00:00:00"/>
    <d v="2025-03-15T00:00:00"/>
    <x v="1"/>
    <s v="Instagram"/>
    <n v="3"/>
    <s v="California"/>
    <s v="San Diego County"/>
    <n v="6"/>
    <n v="11"/>
    <x v="1"/>
  </r>
  <r>
    <x v="1839"/>
    <x v="17"/>
    <n v="2"/>
    <n v="41.7"/>
    <n v="83.4"/>
    <d v="2025-03-09T00:00:00"/>
    <d v="2025-03-17T00:00:00"/>
    <x v="2"/>
    <s v="App"/>
    <n v="2"/>
    <s v="California"/>
    <s v="San Diego County"/>
    <n v="8"/>
    <n v="11"/>
    <x v="2"/>
  </r>
  <r>
    <x v="1840"/>
    <x v="2"/>
    <n v="2"/>
    <n v="135.1"/>
    <n v="270.2"/>
    <d v="2025-03-09T00:00:00"/>
    <d v="2025-03-10T00:00:00"/>
    <x v="1"/>
    <s v="App"/>
    <n v="5"/>
    <s v="California"/>
    <s v="San Francisco"/>
    <n v="1"/>
    <n v="11"/>
    <x v="1"/>
  </r>
  <r>
    <x v="1841"/>
    <x v="12"/>
    <n v="22"/>
    <n v="95.5"/>
    <n v="2101"/>
    <d v="2025-03-09T00:00:00"/>
    <d v="2025-03-10T00:00:00"/>
    <x v="2"/>
    <s v="Partner App"/>
    <n v="2"/>
    <s v="California"/>
    <s v="San Joaquin County"/>
    <n v="1"/>
    <n v="11"/>
    <x v="2"/>
  </r>
  <r>
    <x v="1842"/>
    <x v="15"/>
    <n v="1"/>
    <n v="25.5"/>
    <n v="25.5"/>
    <d v="2025-03-09T00:00:00"/>
    <d v="2025-03-12T00:00:00"/>
    <x v="0"/>
    <s v="Target.com"/>
    <n v="5"/>
    <s v="California"/>
    <s v="Santa Clara County"/>
    <n v="3"/>
    <n v="11"/>
    <x v="0"/>
  </r>
  <r>
    <x v="1843"/>
    <x v="1"/>
    <n v="1"/>
    <n v="42.6"/>
    <n v="42.6"/>
    <d v="2025-03-09T00:00:00"/>
    <d v="2025-03-13T00:00:00"/>
    <x v="2"/>
    <s v="App"/>
    <n v="4"/>
    <s v="California"/>
    <s v="Santa Clara County"/>
    <n v="4"/>
    <n v="11"/>
    <x v="2"/>
  </r>
  <r>
    <x v="1844"/>
    <x v="8"/>
    <n v="15"/>
    <n v="32.4"/>
    <n v="486"/>
    <d v="2025-03-09T00:00:00"/>
    <d v="2025-03-10T00:00:00"/>
    <x v="1"/>
    <s v="Website"/>
    <n v="3"/>
    <s v="California"/>
    <s v="Santa Clara County"/>
    <n v="1"/>
    <n v="11"/>
    <x v="1"/>
  </r>
  <r>
    <x v="1845"/>
    <x v="4"/>
    <n v="4"/>
    <n v="20.2"/>
    <n v="80.8"/>
    <d v="2025-03-09T00:00:00"/>
    <d v="2025-03-10T00:00:00"/>
    <x v="3"/>
    <s v="Target.com"/>
    <n v="4"/>
    <s v="California"/>
    <s v="Santa Clara County"/>
    <n v="1"/>
    <n v="11"/>
    <x v="3"/>
  </r>
  <r>
    <x v="1846"/>
    <x v="16"/>
    <n v="3"/>
    <n v="52.5"/>
    <n v="157.5"/>
    <d v="2025-03-09T00:00:00"/>
    <d v="2025-03-14T00:00:00"/>
    <x v="2"/>
    <s v="Partner App"/>
    <n v="4"/>
    <s v="California"/>
    <s v="Sonoma County"/>
    <n v="5"/>
    <n v="11"/>
    <x v="2"/>
  </r>
  <r>
    <x v="1847"/>
    <x v="2"/>
    <n v="5"/>
    <n v="59.9"/>
    <n v="299.5"/>
    <d v="2025-03-09T00:00:00"/>
    <d v="2025-03-11T00:00:00"/>
    <x v="2"/>
    <s v="Target.com"/>
    <n v="4"/>
    <s v="California"/>
    <s v="Stanislaus County"/>
    <n v="2"/>
    <n v="11"/>
    <x v="2"/>
  </r>
  <r>
    <x v="1848"/>
    <x v="4"/>
    <n v="2"/>
    <n v="53.2"/>
    <n v="106.4"/>
    <d v="2025-03-09T00:00:00"/>
    <d v="2025-03-10T00:00:00"/>
    <x v="2"/>
    <s v="Website"/>
    <n v="1"/>
    <s v="California"/>
    <s v="Tulare County"/>
    <n v="1"/>
    <n v="11"/>
    <x v="2"/>
  </r>
  <r>
    <x v="1849"/>
    <x v="2"/>
    <n v="2"/>
    <n v="60"/>
    <n v="120"/>
    <d v="2025-03-09T00:00:00"/>
    <d v="2025-03-15T00:00:00"/>
    <x v="1"/>
    <s v="Website"/>
    <n v="5"/>
    <s v="California"/>
    <s v="Tulare County"/>
    <n v="6"/>
    <n v="11"/>
    <x v="1"/>
  </r>
  <r>
    <x v="1850"/>
    <x v="8"/>
    <n v="3"/>
    <n v="29.3"/>
    <n v="87.9"/>
    <d v="2025-03-09T00:00:00"/>
    <d v="2025-03-10T00:00:00"/>
    <x v="2"/>
    <s v="Partner App"/>
    <n v="4"/>
    <s v="California"/>
    <s v="Ventura County"/>
    <n v="1"/>
    <n v="11"/>
    <x v="2"/>
  </r>
  <r>
    <x v="1851"/>
    <x v="12"/>
    <n v="2"/>
    <n v="55.4"/>
    <n v="110.8"/>
    <d v="2025-03-09T00:00:00"/>
    <d v="2025-03-10T00:00:00"/>
    <x v="2"/>
    <s v="App"/>
    <n v="5"/>
    <s v="California"/>
    <s v="Alameda County"/>
    <n v="1"/>
    <n v="11"/>
    <x v="2"/>
  </r>
  <r>
    <x v="1852"/>
    <x v="0"/>
    <n v="5"/>
    <n v="20.100000000000001"/>
    <n v="100.5"/>
    <d v="2025-03-09T00:00:00"/>
    <d v="2025-03-11T00:00:00"/>
    <x v="2"/>
    <s v="Website"/>
    <n v="5"/>
    <s v="California"/>
    <s v="Alameda County"/>
    <n v="2"/>
    <n v="11"/>
    <x v="2"/>
  </r>
  <r>
    <x v="1853"/>
    <x v="14"/>
    <n v="5"/>
    <n v="24"/>
    <n v="120"/>
    <d v="2025-03-09T00:00:00"/>
    <d v="2025-03-12T00:00:00"/>
    <x v="1"/>
    <s v="Target.com"/>
    <n v="4"/>
    <s v="California"/>
    <s v="Contra Costa County"/>
    <n v="3"/>
    <n v="11"/>
    <x v="1"/>
  </r>
  <r>
    <x v="1854"/>
    <x v="8"/>
    <n v="2"/>
    <n v="30.6"/>
    <n v="61.2"/>
    <d v="2025-03-10T00:00:00"/>
    <d v="2025-03-12T00:00:00"/>
    <x v="2"/>
    <s v="App"/>
    <n v="4"/>
    <s v="California"/>
    <s v="Contra Costa County"/>
    <n v="2"/>
    <n v="11"/>
    <x v="2"/>
  </r>
  <r>
    <x v="1855"/>
    <x v="10"/>
    <n v="5"/>
    <n v="33"/>
    <n v="165"/>
    <d v="2025-03-10T00:00:00"/>
    <d v="2025-03-11T00:00:00"/>
    <x v="1"/>
    <s v="Website"/>
    <n v="3"/>
    <s v="California"/>
    <s v="Glenn County"/>
    <n v="1"/>
    <n v="11"/>
    <x v="1"/>
  </r>
  <r>
    <x v="1856"/>
    <x v="17"/>
    <n v="9"/>
    <n v="42.1"/>
    <n v="378.90000000000003"/>
    <d v="2025-03-10T00:00:00"/>
    <d v="2025-03-16T00:00:00"/>
    <x v="2"/>
    <s v="Target.com"/>
    <n v="4"/>
    <s v="California"/>
    <s v="Humboldt County"/>
    <n v="6"/>
    <n v="11"/>
    <x v="2"/>
  </r>
  <r>
    <x v="1857"/>
    <x v="6"/>
    <n v="7"/>
    <n v="77.7"/>
    <n v="543.9"/>
    <d v="2025-03-10T00:00:00"/>
    <d v="2025-03-15T00:00:00"/>
    <x v="2"/>
    <s v="Website"/>
    <n v="5"/>
    <s v="California"/>
    <s v="Lake County"/>
    <n v="5"/>
    <n v="11"/>
    <x v="2"/>
  </r>
  <r>
    <x v="1858"/>
    <x v="17"/>
    <n v="6"/>
    <n v="22.7"/>
    <n v="136.19999999999999"/>
    <d v="2025-03-10T00:00:00"/>
    <d v="2025-03-13T00:00:00"/>
    <x v="2"/>
    <s v="Target.com"/>
    <n v="4"/>
    <s v="California"/>
    <s v="Los Angeles County"/>
    <n v="3"/>
    <n v="11"/>
    <x v="2"/>
  </r>
  <r>
    <x v="1859"/>
    <x v="2"/>
    <n v="2"/>
    <n v="133"/>
    <n v="266"/>
    <d v="2025-03-10T00:00:00"/>
    <d v="2025-03-10T00:00:00"/>
    <x v="1"/>
    <s v="Target.com"/>
    <n v="5"/>
    <s v="California"/>
    <s v="Los Angeles County"/>
    <n v="0"/>
    <n v="11"/>
    <x v="1"/>
  </r>
  <r>
    <x v="1860"/>
    <x v="0"/>
    <n v="2"/>
    <n v="23.3"/>
    <n v="46.6"/>
    <d v="2025-03-10T00:00:00"/>
    <d v="2025-03-11T00:00:00"/>
    <x v="1"/>
    <s v="Website"/>
    <n v="5"/>
    <s v="California"/>
    <s v="Los Angeles County"/>
    <n v="1"/>
    <n v="11"/>
    <x v="1"/>
  </r>
  <r>
    <x v="1861"/>
    <x v="8"/>
    <n v="3"/>
    <n v="20.7"/>
    <n v="62.099999999999994"/>
    <d v="2025-03-10T00:00:00"/>
    <d v="2025-03-12T00:00:00"/>
    <x v="3"/>
    <s v="App"/>
    <n v="5"/>
    <s v="California"/>
    <s v="Los Angeles County"/>
    <n v="2"/>
    <n v="11"/>
    <x v="3"/>
  </r>
  <r>
    <x v="1862"/>
    <x v="12"/>
    <n v="2"/>
    <n v="47"/>
    <n v="94"/>
    <d v="2025-03-10T00:00:00"/>
    <d v="2025-03-11T00:00:00"/>
    <x v="1"/>
    <s v="Website"/>
    <n v="5"/>
    <s v="California"/>
    <s v="Los Angeles County"/>
    <n v="1"/>
    <n v="11"/>
    <x v="1"/>
  </r>
  <r>
    <x v="1863"/>
    <x v="12"/>
    <n v="3"/>
    <n v="38.200000000000003"/>
    <n v="114.60000000000001"/>
    <d v="2025-03-10T00:00:00"/>
    <d v="2025-03-12T00:00:00"/>
    <x v="2"/>
    <s v="Target.com"/>
    <n v="2"/>
    <s v="California"/>
    <s v="Los Angeles County"/>
    <n v="2"/>
    <n v="11"/>
    <x v="2"/>
  </r>
  <r>
    <x v="1864"/>
    <x v="9"/>
    <n v="1"/>
    <n v="39.1"/>
    <n v="39.1"/>
    <d v="2025-03-10T00:00:00"/>
    <d v="2025-03-12T00:00:00"/>
    <x v="2"/>
    <s v="App"/>
    <n v="4"/>
    <s v="California"/>
    <s v="Los Angeles County"/>
    <n v="2"/>
    <n v="11"/>
    <x v="2"/>
  </r>
  <r>
    <x v="1865"/>
    <x v="7"/>
    <n v="25"/>
    <n v="55.6"/>
    <n v="1390"/>
    <d v="2025-03-10T00:00:00"/>
    <d v="2025-03-12T00:00:00"/>
    <x v="1"/>
    <s v="App"/>
    <n v="5"/>
    <s v="California"/>
    <s v="Los Angeles County"/>
    <n v="2"/>
    <n v="11"/>
    <x v="1"/>
  </r>
  <r>
    <x v="1866"/>
    <x v="15"/>
    <n v="1"/>
    <n v="43.1"/>
    <n v="43.1"/>
    <d v="2025-03-10T00:00:00"/>
    <d v="2025-03-10T00:00:00"/>
    <x v="3"/>
    <s v="Website"/>
    <n v="5"/>
    <s v="California"/>
    <s v="Los Angeles County"/>
    <n v="0"/>
    <n v="11"/>
    <x v="3"/>
  </r>
  <r>
    <x v="1867"/>
    <x v="6"/>
    <n v="4"/>
    <n v="48.1"/>
    <n v="192.4"/>
    <d v="2025-03-10T00:00:00"/>
    <d v="2025-03-11T00:00:00"/>
    <x v="2"/>
    <s v="Partner App"/>
    <n v="5"/>
    <s v="California"/>
    <s v="Los Angeles County"/>
    <n v="1"/>
    <n v="11"/>
    <x v="2"/>
  </r>
  <r>
    <x v="1868"/>
    <x v="4"/>
    <n v="1"/>
    <n v="42"/>
    <n v="42"/>
    <d v="2025-03-10T00:00:00"/>
    <d v="2025-03-11T00:00:00"/>
    <x v="3"/>
    <s v="App"/>
    <n v="4"/>
    <s v="California"/>
    <s v="Los Angeles County"/>
    <n v="1"/>
    <n v="11"/>
    <x v="3"/>
  </r>
  <r>
    <x v="1869"/>
    <x v="8"/>
    <n v="5"/>
    <n v="18.3"/>
    <n v="91.5"/>
    <d v="2025-03-10T00:00:00"/>
    <d v="2025-03-10T00:00:00"/>
    <x v="2"/>
    <s v="Target.com"/>
    <n v="4"/>
    <s v="California"/>
    <s v="Los Angeles County"/>
    <n v="0"/>
    <n v="11"/>
    <x v="2"/>
  </r>
  <r>
    <x v="1870"/>
    <x v="10"/>
    <n v="4"/>
    <n v="45.3"/>
    <n v="181.2"/>
    <d v="2025-03-10T00:00:00"/>
    <d v="2025-03-13T00:00:00"/>
    <x v="2"/>
    <s v="App"/>
    <n v="5"/>
    <s v="California"/>
    <s v="Los Angeles County"/>
    <n v="3"/>
    <n v="11"/>
    <x v="2"/>
  </r>
  <r>
    <x v="1871"/>
    <x v="0"/>
    <n v="2"/>
    <n v="27.6"/>
    <n v="55.2"/>
    <d v="2025-03-10T00:00:00"/>
    <d v="2025-03-12T00:00:00"/>
    <x v="1"/>
    <s v="App"/>
    <n v="5"/>
    <s v="California"/>
    <s v="Madera County"/>
    <n v="2"/>
    <n v="11"/>
    <x v="1"/>
  </r>
  <r>
    <x v="1872"/>
    <x v="4"/>
    <n v="5"/>
    <n v="26.9"/>
    <n v="134.5"/>
    <d v="2025-03-10T00:00:00"/>
    <d v="2025-03-11T00:00:00"/>
    <x v="2"/>
    <s v="Target.com"/>
    <n v="4"/>
    <s v="California"/>
    <s v="Orange County"/>
    <n v="1"/>
    <n v="11"/>
    <x v="2"/>
  </r>
  <r>
    <x v="1873"/>
    <x v="2"/>
    <n v="9"/>
    <n v="82.4"/>
    <n v="741.6"/>
    <d v="2025-03-10T00:00:00"/>
    <d v="2025-03-12T00:00:00"/>
    <x v="3"/>
    <s v="Target.com"/>
    <n v="4"/>
    <s v="California"/>
    <s v="Placer County"/>
    <n v="2"/>
    <n v="11"/>
    <x v="3"/>
  </r>
  <r>
    <x v="1874"/>
    <x v="6"/>
    <n v="1"/>
    <n v="103.7"/>
    <n v="103.7"/>
    <d v="2025-03-10T00:00:00"/>
    <d v="2025-03-12T00:00:00"/>
    <x v="2"/>
    <s v="Website"/>
    <n v="4"/>
    <s v="California"/>
    <s v="Placer County"/>
    <n v="2"/>
    <n v="11"/>
    <x v="2"/>
  </r>
  <r>
    <x v="1875"/>
    <x v="2"/>
    <n v="2"/>
    <n v="58.8"/>
    <n v="117.6"/>
    <d v="2025-03-10T00:00:00"/>
    <d v="2025-03-15T00:00:00"/>
    <x v="2"/>
    <s v="Website"/>
    <n v="5"/>
    <s v="California"/>
    <s v="Sacramento County"/>
    <n v="5"/>
    <n v="11"/>
    <x v="2"/>
  </r>
  <r>
    <x v="1876"/>
    <x v="13"/>
    <n v="1"/>
    <n v="31.5"/>
    <n v="31.5"/>
    <d v="2025-03-10T00:00:00"/>
    <d v="2025-03-11T00:00:00"/>
    <x v="2"/>
    <s v="Website"/>
    <n v="3"/>
    <s v="California"/>
    <s v="Sacramento County"/>
    <n v="1"/>
    <n v="11"/>
    <x v="2"/>
  </r>
  <r>
    <x v="1877"/>
    <x v="7"/>
    <n v="5"/>
    <n v="36.799999999999997"/>
    <n v="184"/>
    <d v="2025-03-10T00:00:00"/>
    <d v="2025-03-12T00:00:00"/>
    <x v="2"/>
    <s v="App"/>
    <n v="4"/>
    <s v="California"/>
    <s v="San Diego County"/>
    <n v="2"/>
    <n v="11"/>
    <x v="2"/>
  </r>
  <r>
    <x v="1878"/>
    <x v="3"/>
    <n v="1"/>
    <n v="84.4"/>
    <n v="84.4"/>
    <d v="2025-03-10T00:00:00"/>
    <d v="2025-03-11T00:00:00"/>
    <x v="2"/>
    <s v="App"/>
    <n v="4"/>
    <s v="California"/>
    <s v="San Diego County"/>
    <n v="1"/>
    <n v="11"/>
    <x v="2"/>
  </r>
  <r>
    <x v="1879"/>
    <x v="14"/>
    <n v="1"/>
    <n v="44.7"/>
    <n v="44.7"/>
    <d v="2025-03-10T00:00:00"/>
    <d v="2025-03-11T00:00:00"/>
    <x v="1"/>
    <s v="App"/>
    <n v="3"/>
    <s v="California"/>
    <s v="San Diego County"/>
    <n v="1"/>
    <n v="11"/>
    <x v="1"/>
  </r>
  <r>
    <x v="1880"/>
    <x v="9"/>
    <n v="8"/>
    <n v="39.4"/>
    <n v="315.2"/>
    <d v="2025-03-10T00:00:00"/>
    <d v="2025-03-11T00:00:00"/>
    <x v="2"/>
    <s v="Website"/>
    <n v="5"/>
    <s v="California"/>
    <s v="San Diego County"/>
    <n v="1"/>
    <n v="11"/>
    <x v="2"/>
  </r>
  <r>
    <x v="1881"/>
    <x v="11"/>
    <n v="4"/>
    <n v="34.9"/>
    <n v="139.6"/>
    <d v="2025-03-10T00:00:00"/>
    <d v="2025-03-12T00:00:00"/>
    <x v="2"/>
    <s v="App"/>
    <n v="5"/>
    <s v="California"/>
    <s v="San Diego County"/>
    <n v="2"/>
    <n v="11"/>
    <x v="2"/>
  </r>
  <r>
    <x v="1882"/>
    <x v="1"/>
    <n v="3"/>
    <n v="62.3"/>
    <n v="186.89999999999998"/>
    <d v="2025-03-10T00:00:00"/>
    <d v="2025-03-12T00:00:00"/>
    <x v="1"/>
    <s v="Partner App"/>
    <n v="5"/>
    <s v="California"/>
    <s v="San Diego County"/>
    <n v="2"/>
    <n v="11"/>
    <x v="1"/>
  </r>
  <r>
    <x v="1883"/>
    <x v="8"/>
    <n v="4"/>
    <n v="21.1"/>
    <n v="84.4"/>
    <d v="2025-03-10T00:00:00"/>
    <d v="2025-03-13T00:00:00"/>
    <x v="1"/>
    <s v="Instagram"/>
    <n v="4"/>
    <s v="California"/>
    <s v="San Diego County"/>
    <n v="3"/>
    <n v="11"/>
    <x v="1"/>
  </r>
  <r>
    <x v="1884"/>
    <x v="8"/>
    <n v="3"/>
    <n v="33.200000000000003"/>
    <n v="99.600000000000009"/>
    <d v="2025-03-10T00:00:00"/>
    <d v="2025-03-24T00:00:00"/>
    <x v="0"/>
    <s v="App"/>
    <n v="2"/>
    <s v="California"/>
    <s v="San Diego County"/>
    <n v="14"/>
    <n v="11"/>
    <x v="0"/>
  </r>
  <r>
    <x v="1885"/>
    <x v="1"/>
    <n v="4"/>
    <n v="74.5"/>
    <n v="298"/>
    <d v="2025-03-10T00:00:00"/>
    <d v="2025-03-11T00:00:00"/>
    <x v="1"/>
    <s v="Partner App"/>
    <n v="4"/>
    <s v="California"/>
    <s v="San Diego County"/>
    <n v="1"/>
    <n v="11"/>
    <x v="1"/>
  </r>
  <r>
    <x v="1886"/>
    <x v="10"/>
    <n v="12"/>
    <n v="68.599999999999994"/>
    <n v="823.19999999999993"/>
    <d v="2025-03-10T00:00:00"/>
    <d v="2025-03-13T00:00:00"/>
    <x v="2"/>
    <s v="App"/>
    <n v="5"/>
    <s v="California"/>
    <s v="San Diego County"/>
    <n v="3"/>
    <n v="11"/>
    <x v="2"/>
  </r>
  <r>
    <x v="1887"/>
    <x v="5"/>
    <n v="14"/>
    <n v="36.4"/>
    <n v="509.59999999999997"/>
    <d v="2025-03-10T00:00:00"/>
    <d v="2025-03-12T00:00:00"/>
    <x v="2"/>
    <s v="App"/>
    <n v="3"/>
    <s v="California"/>
    <s v="San Mateo County"/>
    <n v="2"/>
    <n v="11"/>
    <x v="2"/>
  </r>
  <r>
    <x v="1888"/>
    <x v="16"/>
    <n v="5"/>
    <n v="67.599999999999994"/>
    <n v="338"/>
    <d v="2025-03-11T00:00:00"/>
    <d v="2025-03-14T00:00:00"/>
    <x v="2"/>
    <s v="Partner App"/>
    <n v="3"/>
    <s v="California"/>
    <s v="San Mateo County"/>
    <n v="3"/>
    <n v="11"/>
    <x v="2"/>
  </r>
  <r>
    <x v="1889"/>
    <x v="15"/>
    <n v="1"/>
    <n v="46.3"/>
    <n v="46.3"/>
    <d v="2025-03-11T00:00:00"/>
    <d v="2025-03-12T00:00:00"/>
    <x v="1"/>
    <s v="Target.com"/>
    <n v="4"/>
    <s v="California"/>
    <s v="San Mateo County"/>
    <n v="1"/>
    <n v="11"/>
    <x v="1"/>
  </r>
  <r>
    <x v="1890"/>
    <x v="1"/>
    <n v="3"/>
    <n v="124.2"/>
    <n v="372.6"/>
    <d v="2025-03-11T00:00:00"/>
    <d v="2025-03-13T00:00:00"/>
    <x v="2"/>
    <s v="Website"/>
    <n v="5"/>
    <s v="California"/>
    <s v="Santa Clara County"/>
    <n v="2"/>
    <n v="11"/>
    <x v="2"/>
  </r>
  <r>
    <x v="1891"/>
    <x v="10"/>
    <n v="2"/>
    <n v="37"/>
    <n v="74"/>
    <d v="2025-03-11T00:00:00"/>
    <d v="2025-03-17T00:00:00"/>
    <x v="1"/>
    <s v="App"/>
    <n v="4"/>
    <s v="California"/>
    <s v="Santa Clara County"/>
    <n v="6"/>
    <n v="11"/>
    <x v="1"/>
  </r>
  <r>
    <x v="1892"/>
    <x v="5"/>
    <n v="1"/>
    <n v="41.8"/>
    <n v="41.8"/>
    <d v="2025-03-11T00:00:00"/>
    <d v="2025-03-12T00:00:00"/>
    <x v="1"/>
    <s v="Target.com"/>
    <n v="4"/>
    <s v="California"/>
    <s v="Sutter County"/>
    <n v="1"/>
    <n v="11"/>
    <x v="1"/>
  </r>
  <r>
    <x v="1893"/>
    <x v="9"/>
    <n v="2"/>
    <n v="57.2"/>
    <n v="114.4"/>
    <d v="2025-03-11T00:00:00"/>
    <d v="2025-03-13T00:00:00"/>
    <x v="1"/>
    <s v="Target.com"/>
    <n v="3"/>
    <s v="California"/>
    <s v="Tulare County"/>
    <n v="2"/>
    <n v="11"/>
    <x v="1"/>
  </r>
  <r>
    <x v="1894"/>
    <x v="6"/>
    <n v="2"/>
    <n v="47.1"/>
    <n v="94.2"/>
    <d v="2025-03-11T00:00:00"/>
    <d v="2025-03-13T00:00:00"/>
    <x v="2"/>
    <s v="App"/>
    <n v="2"/>
    <s v="California"/>
    <s v="Tulare County"/>
    <n v="2"/>
    <n v="11"/>
    <x v="2"/>
  </r>
  <r>
    <x v="1895"/>
    <x v="5"/>
    <n v="3"/>
    <n v="86.4"/>
    <n v="259.20000000000005"/>
    <d v="2025-03-11T00:00:00"/>
    <d v="2025-03-12T00:00:00"/>
    <x v="1"/>
    <s v="Target.com"/>
    <n v="3"/>
    <s v="California"/>
    <s v="Tuolumne County"/>
    <n v="1"/>
    <n v="11"/>
    <x v="1"/>
  </r>
  <r>
    <x v="1896"/>
    <x v="6"/>
    <n v="5"/>
    <n v="105"/>
    <n v="525"/>
    <d v="2025-03-11T00:00:00"/>
    <d v="2025-03-14T00:00:00"/>
    <x v="1"/>
    <s v="App"/>
    <n v="4"/>
    <s v="California"/>
    <s v="Ventura County"/>
    <n v="3"/>
    <n v="11"/>
    <x v="1"/>
  </r>
  <r>
    <x v="1897"/>
    <x v="18"/>
    <n v="1"/>
    <n v="33"/>
    <n v="33"/>
    <d v="2025-03-11T00:00:00"/>
    <d v="2025-03-14T00:00:00"/>
    <x v="1"/>
    <s v="Partner App"/>
    <n v="4"/>
    <s v="California"/>
    <s v="Alameda County"/>
    <n v="3"/>
    <n v="11"/>
    <x v="1"/>
  </r>
  <r>
    <x v="1898"/>
    <x v="6"/>
    <n v="5"/>
    <n v="106.6"/>
    <n v="533"/>
    <d v="2025-03-11T00:00:00"/>
    <d v="2025-03-24T00:00:00"/>
    <x v="2"/>
    <s v="Target.com"/>
    <n v="4"/>
    <s v="California"/>
    <s v="Contra Costa County"/>
    <n v="13"/>
    <n v="11"/>
    <x v="2"/>
  </r>
  <r>
    <x v="1899"/>
    <x v="10"/>
    <n v="32"/>
    <n v="26.8"/>
    <n v="857.6"/>
    <d v="2025-03-11T00:00:00"/>
    <d v="2025-03-12T00:00:00"/>
    <x v="2"/>
    <s v="Target.com"/>
    <n v="4"/>
    <s v="California"/>
    <s v="Contra Costa County"/>
    <n v="1"/>
    <n v="11"/>
    <x v="2"/>
  </r>
  <r>
    <x v="1900"/>
    <x v="17"/>
    <n v="5"/>
    <n v="25.8"/>
    <n v="129"/>
    <d v="2025-03-11T00:00:00"/>
    <d v="2025-03-11T00:00:00"/>
    <x v="2"/>
    <s v="Website"/>
    <n v="5"/>
    <s v="California"/>
    <s v="Los Angeles County"/>
    <n v="0"/>
    <n v="11"/>
    <x v="2"/>
  </r>
  <r>
    <x v="1901"/>
    <x v="2"/>
    <n v="3"/>
    <n v="217"/>
    <n v="651"/>
    <d v="2025-03-11T00:00:00"/>
    <d v="2025-03-12T00:00:00"/>
    <x v="2"/>
    <s v="Website"/>
    <n v="3"/>
    <s v="California"/>
    <s v="Los Angeles County"/>
    <n v="1"/>
    <n v="11"/>
    <x v="2"/>
  </r>
  <r>
    <x v="1902"/>
    <x v="2"/>
    <n v="2"/>
    <n v="97.3"/>
    <n v="194.6"/>
    <d v="2025-03-11T00:00:00"/>
    <d v="2025-03-12T00:00:00"/>
    <x v="1"/>
    <s v="Target.com"/>
    <n v="2"/>
    <s v="California"/>
    <s v="Los Angeles County"/>
    <n v="1"/>
    <n v="11"/>
    <x v="1"/>
  </r>
  <r>
    <x v="1903"/>
    <x v="1"/>
    <n v="1"/>
    <n v="49.8"/>
    <n v="49.8"/>
    <d v="2025-03-11T00:00:00"/>
    <d v="2025-03-12T00:00:00"/>
    <x v="2"/>
    <s v="App"/>
    <n v="4"/>
    <s v="California"/>
    <s v="Los Angeles County"/>
    <n v="1"/>
    <n v="11"/>
    <x v="2"/>
  </r>
  <r>
    <x v="1904"/>
    <x v="12"/>
    <n v="5"/>
    <n v="32.6"/>
    <n v="163"/>
    <d v="2025-03-11T00:00:00"/>
    <d v="2025-03-12T00:00:00"/>
    <x v="2"/>
    <s v="App"/>
    <n v="4"/>
    <s v="California"/>
    <s v="Los Angeles County"/>
    <n v="1"/>
    <n v="11"/>
    <x v="2"/>
  </r>
  <r>
    <x v="1905"/>
    <x v="9"/>
    <n v="2"/>
    <n v="40.1"/>
    <n v="80.2"/>
    <d v="2025-03-11T00:00:00"/>
    <d v="2025-03-14T00:00:00"/>
    <x v="1"/>
    <s v="Website"/>
    <n v="5"/>
    <s v="California"/>
    <s v="Los Angeles County"/>
    <n v="3"/>
    <n v="11"/>
    <x v="1"/>
  </r>
  <r>
    <x v="1906"/>
    <x v="10"/>
    <n v="2"/>
    <n v="49.4"/>
    <n v="98.8"/>
    <d v="2025-03-11T00:00:00"/>
    <d v="2025-03-13T00:00:00"/>
    <x v="1"/>
    <s v="Website"/>
    <n v="4"/>
    <s v="California"/>
    <s v="Los Angeles County"/>
    <n v="2"/>
    <n v="11"/>
    <x v="1"/>
  </r>
  <r>
    <x v="1907"/>
    <x v="2"/>
    <n v="1"/>
    <n v="67.3"/>
    <n v="67.3"/>
    <d v="2025-03-11T00:00:00"/>
    <d v="2025-03-12T00:00:00"/>
    <x v="2"/>
    <s v="App"/>
    <n v="5"/>
    <s v="California"/>
    <s v="Los Angeles County"/>
    <n v="1"/>
    <n v="11"/>
    <x v="2"/>
  </r>
  <r>
    <x v="1908"/>
    <x v="18"/>
    <n v="4"/>
    <n v="44.5"/>
    <n v="178"/>
    <d v="2025-03-11T00:00:00"/>
    <d v="2025-03-14T00:00:00"/>
    <x v="0"/>
    <s v="Website"/>
    <n v="4"/>
    <s v="California"/>
    <s v="Los Angeles County"/>
    <n v="3"/>
    <n v="11"/>
    <x v="0"/>
  </r>
  <r>
    <x v="1909"/>
    <x v="6"/>
    <n v="11"/>
    <n v="111.1"/>
    <n v="1222.0999999999999"/>
    <d v="2025-03-11T00:00:00"/>
    <d v="2025-03-12T00:00:00"/>
    <x v="2"/>
    <s v="Partner App"/>
    <n v="4"/>
    <s v="California"/>
    <s v="Los Angeles County"/>
    <n v="1"/>
    <n v="11"/>
    <x v="2"/>
  </r>
  <r>
    <x v="1910"/>
    <x v="8"/>
    <n v="3"/>
    <n v="19.7"/>
    <n v="59.099999999999994"/>
    <d v="2025-03-11T00:00:00"/>
    <d v="2025-03-12T00:00:00"/>
    <x v="2"/>
    <s v="Partner App"/>
    <n v="2"/>
    <s v="California"/>
    <s v="Los Angeles County"/>
    <n v="1"/>
    <n v="11"/>
    <x v="2"/>
  </r>
  <r>
    <x v="1911"/>
    <x v="1"/>
    <n v="1"/>
    <n v="40.299999999999997"/>
    <n v="40.299999999999997"/>
    <d v="2025-03-11T00:00:00"/>
    <d v="2025-03-12T00:00:00"/>
    <x v="3"/>
    <s v="Website"/>
    <n v="4"/>
    <s v="California"/>
    <s v="Los Angeles County"/>
    <n v="1"/>
    <n v="11"/>
    <x v="3"/>
  </r>
  <r>
    <x v="1912"/>
    <x v="6"/>
    <n v="2"/>
    <n v="108.8"/>
    <n v="217.6"/>
    <d v="2025-03-11T00:00:00"/>
    <d v="2025-03-16T00:00:00"/>
    <x v="1"/>
    <s v="App"/>
    <n v="5"/>
    <s v="California"/>
    <s v="Sacramento County"/>
    <n v="5"/>
    <n v="11"/>
    <x v="1"/>
  </r>
  <r>
    <x v="1913"/>
    <x v="8"/>
    <n v="3"/>
    <n v="48.2"/>
    <n v="144.60000000000002"/>
    <d v="2025-03-11T00:00:00"/>
    <d v="2025-03-16T00:00:00"/>
    <x v="2"/>
    <s v="Partner App"/>
    <n v="4"/>
    <s v="California"/>
    <s v="San Bernardino County"/>
    <n v="5"/>
    <n v="11"/>
    <x v="2"/>
  </r>
  <r>
    <x v="1914"/>
    <x v="2"/>
    <n v="3"/>
    <n v="104.7"/>
    <n v="314.10000000000002"/>
    <d v="2025-03-11T00:00:00"/>
    <d v="2025-03-13T00:00:00"/>
    <x v="2"/>
    <s v="App"/>
    <n v="3"/>
    <s v="California"/>
    <s v="San Bernardino County"/>
    <n v="2"/>
    <n v="11"/>
    <x v="2"/>
  </r>
  <r>
    <x v="1915"/>
    <x v="1"/>
    <n v="2"/>
    <n v="80.599999999999994"/>
    <n v="161.19999999999999"/>
    <d v="2025-03-11T00:00:00"/>
    <d v="2025-03-11T00:00:00"/>
    <x v="2"/>
    <s v="Website"/>
    <n v="4"/>
    <s v="California"/>
    <s v="San Diego County"/>
    <n v="0"/>
    <n v="11"/>
    <x v="2"/>
  </r>
  <r>
    <x v="1916"/>
    <x v="6"/>
    <n v="1"/>
    <n v="65.5"/>
    <n v="65.5"/>
    <d v="2025-03-11T00:00:00"/>
    <d v="2025-03-13T00:00:00"/>
    <x v="3"/>
    <s v="Website"/>
    <n v="4"/>
    <s v="California"/>
    <s v="San Diego County"/>
    <n v="2"/>
    <n v="11"/>
    <x v="3"/>
  </r>
  <r>
    <x v="1917"/>
    <x v="9"/>
    <n v="3"/>
    <n v="61.4"/>
    <n v="184.2"/>
    <d v="2025-03-11T00:00:00"/>
    <d v="2025-03-13T00:00:00"/>
    <x v="2"/>
    <s v="Partner App"/>
    <n v="5"/>
    <s v="California"/>
    <s v="San Diego County"/>
    <n v="2"/>
    <n v="11"/>
    <x v="2"/>
  </r>
  <r>
    <x v="1918"/>
    <x v="0"/>
    <n v="1"/>
    <n v="12.5"/>
    <n v="12.5"/>
    <d v="2025-03-12T00:00:00"/>
    <d v="2025-03-15T00:00:00"/>
    <x v="2"/>
    <s v="App"/>
    <n v="3"/>
    <s v="California"/>
    <s v="San Diego County"/>
    <n v="3"/>
    <n v="11"/>
    <x v="2"/>
  </r>
  <r>
    <x v="1919"/>
    <x v="4"/>
    <n v="4"/>
    <n v="35.1"/>
    <n v="140.4"/>
    <d v="2025-03-12T00:00:00"/>
    <d v="2025-03-13T00:00:00"/>
    <x v="1"/>
    <s v="Target.com"/>
    <n v="3"/>
    <s v="California"/>
    <s v="San Francisco"/>
    <n v="1"/>
    <n v="11"/>
    <x v="1"/>
  </r>
  <r>
    <x v="1920"/>
    <x v="5"/>
    <n v="2"/>
    <n v="55.7"/>
    <n v="111.4"/>
    <d v="2025-03-12T00:00:00"/>
    <d v="2025-03-13T00:00:00"/>
    <x v="1"/>
    <s v="App"/>
    <n v="3"/>
    <s v="California"/>
    <s v="San Joaquin County"/>
    <n v="1"/>
    <n v="11"/>
    <x v="1"/>
  </r>
  <r>
    <x v="1921"/>
    <x v="7"/>
    <n v="2"/>
    <n v="57.7"/>
    <n v="115.4"/>
    <d v="2025-03-12T00:00:00"/>
    <d v="2025-03-14T00:00:00"/>
    <x v="1"/>
    <s v="Partner App"/>
    <n v="3"/>
    <s v="California"/>
    <s v="San Mateo County"/>
    <n v="2"/>
    <n v="11"/>
    <x v="1"/>
  </r>
  <r>
    <x v="1922"/>
    <x v="2"/>
    <n v="6"/>
    <n v="85.7"/>
    <n v="514.20000000000005"/>
    <d v="2025-03-12T00:00:00"/>
    <d v="2025-03-13T00:00:00"/>
    <x v="1"/>
    <s v="Instagram"/>
    <n v="5"/>
    <s v="California"/>
    <s v="San Mateo County"/>
    <n v="1"/>
    <n v="11"/>
    <x v="1"/>
  </r>
  <r>
    <x v="1923"/>
    <x v="2"/>
    <n v="3"/>
    <n v="86.9"/>
    <n v="260.70000000000005"/>
    <d v="2025-03-12T00:00:00"/>
    <d v="2025-03-14T00:00:00"/>
    <x v="2"/>
    <s v="Website"/>
    <n v="4"/>
    <s v="California"/>
    <s v="Santa Clara County"/>
    <n v="2"/>
    <n v="11"/>
    <x v="2"/>
  </r>
  <r>
    <x v="1924"/>
    <x v="18"/>
    <n v="2"/>
    <n v="46.4"/>
    <n v="92.8"/>
    <d v="2025-03-12T00:00:00"/>
    <d v="2025-03-15T00:00:00"/>
    <x v="2"/>
    <s v="Partner App"/>
    <n v="4"/>
    <s v="California"/>
    <s v="Santa Clara County"/>
    <n v="3"/>
    <n v="11"/>
    <x v="2"/>
  </r>
  <r>
    <x v="1925"/>
    <x v="5"/>
    <n v="3"/>
    <n v="25.4"/>
    <n v="76.199999999999989"/>
    <d v="2025-03-12T00:00:00"/>
    <d v="2025-03-12T00:00:00"/>
    <x v="2"/>
    <s v="Target.com"/>
    <n v="5"/>
    <s v="California"/>
    <s v="Sonoma County"/>
    <n v="0"/>
    <n v="11"/>
    <x v="2"/>
  </r>
  <r>
    <x v="1926"/>
    <x v="10"/>
    <n v="3"/>
    <n v="47.8"/>
    <n v="143.39999999999998"/>
    <d v="2025-03-12T00:00:00"/>
    <d v="2025-03-12T00:00:00"/>
    <x v="0"/>
    <s v="Target.com"/>
    <n v="5"/>
    <s v="California"/>
    <s v="Stanislaus County"/>
    <n v="0"/>
    <n v="11"/>
    <x v="0"/>
  </r>
  <r>
    <x v="1927"/>
    <x v="8"/>
    <n v="19"/>
    <n v="18.399999999999999"/>
    <n v="349.59999999999997"/>
    <d v="2025-03-12T00:00:00"/>
    <d v="2025-03-14T00:00:00"/>
    <x v="3"/>
    <s v="Target.com"/>
    <n v="4"/>
    <s v="California"/>
    <s v="Tulare County"/>
    <n v="2"/>
    <n v="11"/>
    <x v="3"/>
  </r>
  <r>
    <x v="1928"/>
    <x v="12"/>
    <n v="3"/>
    <n v="65.5"/>
    <n v="196.5"/>
    <d v="2025-03-12T00:00:00"/>
    <d v="2025-03-20T00:00:00"/>
    <x v="2"/>
    <s v="App"/>
    <n v="4"/>
    <s v="California"/>
    <s v="Alameda County"/>
    <n v="8"/>
    <n v="11"/>
    <x v="2"/>
  </r>
  <r>
    <x v="1929"/>
    <x v="10"/>
    <n v="2"/>
    <n v="50.6"/>
    <n v="101.2"/>
    <d v="2025-03-12T00:00:00"/>
    <d v="2025-03-15T00:00:00"/>
    <x v="1"/>
    <s v="Target.com"/>
    <n v="2"/>
    <s v="California"/>
    <s v="Alameda County"/>
    <n v="3"/>
    <n v="11"/>
    <x v="1"/>
  </r>
  <r>
    <x v="1930"/>
    <x v="3"/>
    <n v="5"/>
    <n v="69"/>
    <n v="345"/>
    <d v="2025-03-12T00:00:00"/>
    <d v="2025-03-16T00:00:00"/>
    <x v="1"/>
    <s v="Instagram"/>
    <n v="4"/>
    <s v="California"/>
    <s v="Alameda County"/>
    <n v="4"/>
    <n v="11"/>
    <x v="1"/>
  </r>
  <r>
    <x v="1931"/>
    <x v="9"/>
    <n v="8"/>
    <n v="51.1"/>
    <n v="408.8"/>
    <d v="2025-03-12T00:00:00"/>
    <d v="2025-03-14T00:00:00"/>
    <x v="2"/>
    <s v="App"/>
    <n v="4"/>
    <s v="California"/>
    <s v="Contra Costa County"/>
    <n v="2"/>
    <n v="11"/>
    <x v="2"/>
  </r>
  <r>
    <x v="1932"/>
    <x v="9"/>
    <n v="1"/>
    <n v="36.1"/>
    <n v="36.1"/>
    <d v="2025-03-12T00:00:00"/>
    <d v="2025-03-13T00:00:00"/>
    <x v="2"/>
    <s v="App"/>
    <n v="5"/>
    <s v="California"/>
    <s v="Kings County"/>
    <n v="1"/>
    <n v="11"/>
    <x v="2"/>
  </r>
  <r>
    <x v="1933"/>
    <x v="14"/>
    <n v="1"/>
    <n v="18.7"/>
    <n v="18.7"/>
    <d v="2025-03-12T00:00:00"/>
    <d v="2025-03-13T00:00:00"/>
    <x v="1"/>
    <s v="App"/>
    <n v="4"/>
    <s v="California"/>
    <s v="Los Angeles County"/>
    <n v="1"/>
    <n v="11"/>
    <x v="1"/>
  </r>
  <r>
    <x v="1934"/>
    <x v="17"/>
    <n v="1"/>
    <n v="30.1"/>
    <n v="30.1"/>
    <d v="2025-03-12T00:00:00"/>
    <d v="2025-03-15T00:00:00"/>
    <x v="2"/>
    <s v="Instagram"/>
    <n v="3"/>
    <s v="California"/>
    <s v="Los Angeles County"/>
    <n v="3"/>
    <n v="11"/>
    <x v="2"/>
  </r>
  <r>
    <x v="1935"/>
    <x v="8"/>
    <n v="1"/>
    <n v="16.3"/>
    <n v="16.3"/>
    <d v="2025-03-12T00:00:00"/>
    <d v="2025-03-13T00:00:00"/>
    <x v="1"/>
    <s v="Instagram"/>
    <n v="4"/>
    <s v="California"/>
    <s v="Los Angeles County"/>
    <n v="1"/>
    <n v="11"/>
    <x v="1"/>
  </r>
  <r>
    <x v="1936"/>
    <x v="1"/>
    <n v="3"/>
    <n v="63.8"/>
    <n v="191.39999999999998"/>
    <d v="2025-03-12T00:00:00"/>
    <d v="2025-03-17T00:00:00"/>
    <x v="2"/>
    <s v="Target.com"/>
    <n v="3"/>
    <s v="California"/>
    <s v="Los Angeles County"/>
    <n v="5"/>
    <n v="11"/>
    <x v="2"/>
  </r>
  <r>
    <x v="1937"/>
    <x v="1"/>
    <n v="7"/>
    <n v="73.900000000000006"/>
    <n v="517.30000000000007"/>
    <d v="2025-03-12T00:00:00"/>
    <d v="2025-03-12T00:00:00"/>
    <x v="2"/>
    <s v="App"/>
    <n v="3"/>
    <s v="California"/>
    <s v="Los Angeles County"/>
    <n v="0"/>
    <n v="11"/>
    <x v="2"/>
  </r>
  <r>
    <x v="1938"/>
    <x v="0"/>
    <n v="2"/>
    <n v="20.2"/>
    <n v="40.4"/>
    <d v="2025-03-12T00:00:00"/>
    <d v="2025-03-13T00:00:00"/>
    <x v="1"/>
    <s v="App"/>
    <n v="3"/>
    <s v="California"/>
    <s v="Los Angeles County"/>
    <n v="1"/>
    <n v="11"/>
    <x v="1"/>
  </r>
  <r>
    <x v="1939"/>
    <x v="11"/>
    <n v="11"/>
    <n v="29.5"/>
    <n v="324.5"/>
    <d v="2025-03-12T00:00:00"/>
    <d v="2025-03-13T00:00:00"/>
    <x v="1"/>
    <s v="App"/>
    <n v="4"/>
    <s v="California"/>
    <s v="Los Angeles County"/>
    <n v="1"/>
    <n v="11"/>
    <x v="1"/>
  </r>
  <r>
    <x v="1940"/>
    <x v="15"/>
    <n v="7"/>
    <n v="37.9"/>
    <n v="265.3"/>
    <d v="2025-03-12T00:00:00"/>
    <d v="2025-03-13T00:00:00"/>
    <x v="1"/>
    <s v="Website"/>
    <n v="4"/>
    <s v="California"/>
    <s v="Los Angeles County"/>
    <n v="1"/>
    <n v="11"/>
    <x v="1"/>
  </r>
  <r>
    <x v="1941"/>
    <x v="2"/>
    <n v="1"/>
    <n v="56.5"/>
    <n v="56.5"/>
    <d v="2025-03-12T00:00:00"/>
    <d v="2025-03-13T00:00:00"/>
    <x v="2"/>
    <s v="Target.com"/>
    <n v="3"/>
    <s v="California"/>
    <s v="Los Angeles County"/>
    <n v="1"/>
    <n v="11"/>
    <x v="2"/>
  </r>
  <r>
    <x v="1942"/>
    <x v="2"/>
    <n v="2"/>
    <n v="66.900000000000006"/>
    <n v="133.80000000000001"/>
    <d v="2025-03-12T00:00:00"/>
    <d v="2025-03-18T00:00:00"/>
    <x v="1"/>
    <s v="Website"/>
    <n v="2"/>
    <s v="California"/>
    <s v="Orange County"/>
    <n v="6"/>
    <n v="11"/>
    <x v="1"/>
  </r>
  <r>
    <x v="1943"/>
    <x v="2"/>
    <n v="5"/>
    <n v="51.9"/>
    <n v="259.5"/>
    <d v="2025-03-12T00:00:00"/>
    <d v="2025-03-15T00:00:00"/>
    <x v="1"/>
    <s v="Website"/>
    <n v="4"/>
    <s v="California"/>
    <s v="San Bernardino County"/>
    <n v="3"/>
    <n v="11"/>
    <x v="1"/>
  </r>
  <r>
    <x v="1944"/>
    <x v="2"/>
    <n v="2"/>
    <n v="75.599999999999994"/>
    <n v="151.19999999999999"/>
    <d v="2025-03-12T00:00:00"/>
    <d v="2025-03-15T00:00:00"/>
    <x v="1"/>
    <s v="Website"/>
    <n v="4"/>
    <s v="California"/>
    <s v="San Diego County"/>
    <n v="3"/>
    <n v="11"/>
    <x v="1"/>
  </r>
  <r>
    <x v="1945"/>
    <x v="12"/>
    <n v="6"/>
    <n v="47.3"/>
    <n v="283.79999999999995"/>
    <d v="2025-03-12T00:00:00"/>
    <d v="2025-03-23T00:00:00"/>
    <x v="1"/>
    <s v="App"/>
    <n v="4"/>
    <s v="California"/>
    <s v="San Diego County"/>
    <n v="11"/>
    <n v="11"/>
    <x v="1"/>
  </r>
  <r>
    <x v="1946"/>
    <x v="4"/>
    <n v="1"/>
    <n v="20.6"/>
    <n v="20.6"/>
    <d v="2025-03-12T00:00:00"/>
    <d v="2025-03-13T00:00:00"/>
    <x v="0"/>
    <s v="App"/>
    <n v="3"/>
    <s v="California"/>
    <s v="San Diego County"/>
    <n v="1"/>
    <n v="11"/>
    <x v="0"/>
  </r>
  <r>
    <x v="1947"/>
    <x v="6"/>
    <n v="3"/>
    <n v="49.7"/>
    <n v="149.10000000000002"/>
    <d v="2025-03-12T00:00:00"/>
    <d v="2025-03-14T00:00:00"/>
    <x v="1"/>
    <s v="App"/>
    <n v="3"/>
    <s v="California"/>
    <s v="San Diego County"/>
    <n v="2"/>
    <n v="11"/>
    <x v="1"/>
  </r>
  <r>
    <x v="1948"/>
    <x v="3"/>
    <n v="1"/>
    <n v="37.9"/>
    <n v="37.9"/>
    <d v="2025-03-12T00:00:00"/>
    <d v="2025-03-14T00:00:00"/>
    <x v="2"/>
    <s v="App"/>
    <n v="4"/>
    <s v="California"/>
    <s v="San Diego County"/>
    <n v="2"/>
    <n v="11"/>
    <x v="2"/>
  </r>
  <r>
    <x v="1949"/>
    <x v="13"/>
    <n v="15"/>
    <n v="32"/>
    <n v="480"/>
    <d v="2025-03-12T00:00:00"/>
    <d v="2025-03-14T00:00:00"/>
    <x v="2"/>
    <s v="Partner App"/>
    <n v="4"/>
    <s v="California"/>
    <s v="Santa Clara County"/>
    <n v="2"/>
    <n v="11"/>
    <x v="2"/>
  </r>
  <r>
    <x v="1950"/>
    <x v="10"/>
    <n v="18"/>
    <n v="38.5"/>
    <n v="693"/>
    <d v="2025-03-13T00:00:00"/>
    <d v="2025-03-14T00:00:00"/>
    <x v="1"/>
    <s v="App"/>
    <n v="5"/>
    <s v="California"/>
    <s v="Santa Clara County"/>
    <n v="1"/>
    <n v="11"/>
    <x v="1"/>
  </r>
  <r>
    <x v="1951"/>
    <x v="0"/>
    <n v="4"/>
    <n v="11.7"/>
    <n v="46.8"/>
    <d v="2025-03-13T00:00:00"/>
    <d v="2025-03-15T00:00:00"/>
    <x v="2"/>
    <s v="Website"/>
    <n v="4"/>
    <s v="California"/>
    <s v="Tulare County"/>
    <n v="2"/>
    <n v="11"/>
    <x v="2"/>
  </r>
  <r>
    <x v="1952"/>
    <x v="3"/>
    <n v="6"/>
    <n v="83.8"/>
    <n v="502.79999999999995"/>
    <d v="2025-03-13T00:00:00"/>
    <d v="2025-03-14T00:00:00"/>
    <x v="1"/>
    <s v="App"/>
    <n v="4"/>
    <s v="California"/>
    <s v="Alameda County"/>
    <n v="1"/>
    <n v="11"/>
    <x v="1"/>
  </r>
  <r>
    <x v="1953"/>
    <x v="0"/>
    <n v="7"/>
    <n v="14"/>
    <n v="98"/>
    <d v="2025-03-13T00:00:00"/>
    <d v="2025-03-16T00:00:00"/>
    <x v="1"/>
    <s v="App"/>
    <n v="3"/>
    <s v="California"/>
    <s v="Kern County"/>
    <n v="3"/>
    <n v="11"/>
    <x v="1"/>
  </r>
  <r>
    <x v="1954"/>
    <x v="16"/>
    <n v="4"/>
    <n v="77.3"/>
    <n v="309.2"/>
    <d v="2025-03-13T00:00:00"/>
    <d v="2025-03-15T00:00:00"/>
    <x v="2"/>
    <s v="Partner App"/>
    <n v="5"/>
    <s v="California"/>
    <s v="Los Angeles County"/>
    <n v="2"/>
    <n v="11"/>
    <x v="2"/>
  </r>
  <r>
    <x v="1955"/>
    <x v="2"/>
    <n v="2"/>
    <n v="76.900000000000006"/>
    <n v="153.80000000000001"/>
    <d v="2025-03-13T00:00:00"/>
    <d v="2025-03-17T00:00:00"/>
    <x v="2"/>
    <s v="App"/>
    <n v="3"/>
    <s v="California"/>
    <s v="Los Angeles County"/>
    <n v="4"/>
    <n v="11"/>
    <x v="2"/>
  </r>
  <r>
    <x v="1956"/>
    <x v="1"/>
    <n v="1"/>
    <n v="48"/>
    <n v="48"/>
    <d v="2025-03-13T00:00:00"/>
    <d v="2025-03-15T00:00:00"/>
    <x v="2"/>
    <s v="Website"/>
    <n v="5"/>
    <s v="California"/>
    <s v="Los Angeles County"/>
    <n v="2"/>
    <n v="11"/>
    <x v="2"/>
  </r>
  <r>
    <x v="1957"/>
    <x v="2"/>
    <n v="1"/>
    <n v="94.5"/>
    <n v="94.5"/>
    <d v="2025-03-13T00:00:00"/>
    <d v="2025-03-16T00:00:00"/>
    <x v="1"/>
    <s v="Website"/>
    <n v="3"/>
    <s v="California"/>
    <s v="Los Angeles County"/>
    <n v="3"/>
    <n v="11"/>
    <x v="1"/>
  </r>
  <r>
    <x v="1958"/>
    <x v="10"/>
    <n v="3"/>
    <n v="58.4"/>
    <n v="175.2"/>
    <d v="2025-03-13T00:00:00"/>
    <d v="2025-03-15T00:00:00"/>
    <x v="2"/>
    <s v="Website"/>
    <n v="5"/>
    <s v="California"/>
    <s v="Los Angeles County"/>
    <n v="2"/>
    <n v="11"/>
    <x v="2"/>
  </r>
  <r>
    <x v="1959"/>
    <x v="7"/>
    <n v="13"/>
    <n v="42.2"/>
    <n v="548.6"/>
    <d v="2025-03-13T00:00:00"/>
    <d v="2025-03-13T00:00:00"/>
    <x v="1"/>
    <s v="App"/>
    <n v="4"/>
    <s v="California"/>
    <s v="Orange County"/>
    <n v="0"/>
    <n v="11"/>
    <x v="1"/>
  </r>
  <r>
    <x v="1960"/>
    <x v="6"/>
    <n v="2"/>
    <n v="152.19999999999999"/>
    <n v="304.39999999999998"/>
    <d v="2025-03-13T00:00:00"/>
    <d v="2025-03-14T00:00:00"/>
    <x v="1"/>
    <s v="Partner App"/>
    <n v="3"/>
    <s v="California"/>
    <s v="Orange County"/>
    <n v="1"/>
    <n v="11"/>
    <x v="1"/>
  </r>
  <r>
    <x v="1961"/>
    <x v="6"/>
    <n v="24"/>
    <n v="72"/>
    <n v="1728"/>
    <d v="2025-03-13T00:00:00"/>
    <d v="2025-03-14T00:00:00"/>
    <x v="1"/>
    <s v="App"/>
    <n v="3"/>
    <s v="California"/>
    <s v="Sacramento County"/>
    <n v="1"/>
    <n v="11"/>
    <x v="1"/>
  </r>
  <r>
    <x v="1962"/>
    <x v="1"/>
    <n v="23"/>
    <n v="70.900000000000006"/>
    <n v="1630.7"/>
    <d v="2025-03-13T00:00:00"/>
    <d v="2025-03-14T00:00:00"/>
    <x v="2"/>
    <s v="Target.com"/>
    <n v="4"/>
    <s v="California"/>
    <s v="San Diego County"/>
    <n v="1"/>
    <n v="11"/>
    <x v="2"/>
  </r>
  <r>
    <x v="1963"/>
    <x v="2"/>
    <n v="2"/>
    <n v="53.7"/>
    <n v="107.4"/>
    <d v="2025-03-13T00:00:00"/>
    <d v="2025-03-14T00:00:00"/>
    <x v="1"/>
    <s v="Target.com"/>
    <n v="5"/>
    <s v="California"/>
    <s v="San Diego County"/>
    <n v="1"/>
    <n v="11"/>
    <x v="1"/>
  </r>
  <r>
    <x v="1964"/>
    <x v="9"/>
    <n v="4"/>
    <n v="42.9"/>
    <n v="171.6"/>
    <d v="2025-03-13T00:00:00"/>
    <d v="2025-03-14T00:00:00"/>
    <x v="2"/>
    <s v="Target.com"/>
    <n v="2"/>
    <s v="California"/>
    <s v="San Mateo County"/>
    <n v="1"/>
    <n v="11"/>
    <x v="2"/>
  </r>
  <r>
    <x v="1965"/>
    <x v="2"/>
    <n v="7"/>
    <n v="107.5"/>
    <n v="752.5"/>
    <d v="2025-03-13T00:00:00"/>
    <d v="2025-03-14T00:00:00"/>
    <x v="1"/>
    <s v="Website"/>
    <n v="4"/>
    <s v="California"/>
    <s v="Santa Clara County"/>
    <n v="1"/>
    <n v="11"/>
    <x v="1"/>
  </r>
  <r>
    <x v="1966"/>
    <x v="17"/>
    <n v="16"/>
    <n v="21.5"/>
    <n v="344"/>
    <d v="2025-03-13T00:00:00"/>
    <d v="2025-03-14T00:00:00"/>
    <x v="1"/>
    <s v="Website"/>
    <n v="3"/>
    <s v="California"/>
    <s v="Santa Cruz County"/>
    <n v="1"/>
    <n v="11"/>
    <x v="1"/>
  </r>
  <r>
    <x v="1967"/>
    <x v="3"/>
    <n v="5"/>
    <n v="85.3"/>
    <n v="426.5"/>
    <d v="2025-03-13T00:00:00"/>
    <d v="2025-03-15T00:00:00"/>
    <x v="2"/>
    <s v="Instagram"/>
    <n v="4"/>
    <s v="California"/>
    <s v="Sonoma County"/>
    <n v="2"/>
    <n v="11"/>
    <x v="2"/>
  </r>
  <r>
    <x v="1968"/>
    <x v="7"/>
    <n v="5"/>
    <n v="80.8"/>
    <n v="404"/>
    <d v="2025-03-13T00:00:00"/>
    <d v="2025-03-21T00:00:00"/>
    <x v="3"/>
    <s v="Website"/>
    <n v="3"/>
    <s v="California"/>
    <s v="Stanislaus County"/>
    <n v="8"/>
    <n v="11"/>
    <x v="3"/>
  </r>
  <r>
    <x v="1969"/>
    <x v="2"/>
    <n v="3"/>
    <n v="123.1"/>
    <n v="369.29999999999995"/>
    <d v="2025-03-13T00:00:00"/>
    <d v="2025-03-15T00:00:00"/>
    <x v="0"/>
    <s v="Target.com"/>
    <n v="4"/>
    <s v="California"/>
    <s v="Alameda County"/>
    <n v="2"/>
    <n v="11"/>
    <x v="0"/>
  </r>
  <r>
    <x v="1970"/>
    <x v="8"/>
    <n v="2"/>
    <n v="36.9"/>
    <n v="73.8"/>
    <d v="2025-03-13T00:00:00"/>
    <d v="2025-03-15T00:00:00"/>
    <x v="2"/>
    <s v="Target.com"/>
    <n v="2"/>
    <s v="California"/>
    <s v="Butte County"/>
    <n v="2"/>
    <n v="11"/>
    <x v="2"/>
  </r>
  <r>
    <x v="1971"/>
    <x v="11"/>
    <n v="5"/>
    <n v="40"/>
    <n v="200"/>
    <d v="2025-03-13T00:00:00"/>
    <d v="2025-03-14T00:00:00"/>
    <x v="1"/>
    <s v="App"/>
    <n v="4"/>
    <s v="California"/>
    <s v="Contra Costa County"/>
    <n v="1"/>
    <n v="11"/>
    <x v="1"/>
  </r>
  <r>
    <x v="1972"/>
    <x v="6"/>
    <n v="3"/>
    <n v="55.5"/>
    <n v="166.5"/>
    <d v="2025-03-13T00:00:00"/>
    <d v="2025-03-14T00:00:00"/>
    <x v="1"/>
    <s v="Partner App"/>
    <n v="5"/>
    <s v="California"/>
    <s v="Contra Costa County"/>
    <n v="1"/>
    <n v="11"/>
    <x v="1"/>
  </r>
  <r>
    <x v="1973"/>
    <x v="0"/>
    <n v="4"/>
    <n v="20.5"/>
    <n v="82"/>
    <d v="2025-03-13T00:00:00"/>
    <d v="2025-03-17T00:00:00"/>
    <x v="2"/>
    <s v="Partner App"/>
    <n v="4"/>
    <s v="California"/>
    <s v="Contra Costa County"/>
    <n v="4"/>
    <n v="11"/>
    <x v="2"/>
  </r>
  <r>
    <x v="1974"/>
    <x v="18"/>
    <n v="4"/>
    <n v="50.1"/>
    <n v="200.4"/>
    <d v="2025-03-13T00:00:00"/>
    <d v="2025-03-14T00:00:00"/>
    <x v="2"/>
    <s v="Partner App"/>
    <n v="4"/>
    <s v="California"/>
    <s v="Contra Costa County"/>
    <n v="1"/>
    <n v="11"/>
    <x v="2"/>
  </r>
  <r>
    <x v="1975"/>
    <x v="9"/>
    <n v="1"/>
    <n v="35.9"/>
    <n v="35.9"/>
    <d v="2025-03-13T00:00:00"/>
    <d v="2025-03-15T00:00:00"/>
    <x v="1"/>
    <s v="Website"/>
    <n v="5"/>
    <s v="California"/>
    <s v="Contra Costa County"/>
    <n v="2"/>
    <n v="11"/>
    <x v="1"/>
  </r>
  <r>
    <x v="1976"/>
    <x v="13"/>
    <n v="4"/>
    <n v="29.4"/>
    <n v="117.6"/>
    <d v="2025-03-14T00:00:00"/>
    <d v="2025-03-15T00:00:00"/>
    <x v="1"/>
    <s v="Target.com"/>
    <n v="5"/>
    <s v="California"/>
    <s v="Imperial County"/>
    <n v="1"/>
    <n v="11"/>
    <x v="1"/>
  </r>
  <r>
    <x v="1977"/>
    <x v="8"/>
    <n v="5"/>
    <n v="29.1"/>
    <n v="145.5"/>
    <d v="2025-03-14T00:00:00"/>
    <d v="2025-03-22T00:00:00"/>
    <x v="3"/>
    <s v="Target.com"/>
    <n v="3"/>
    <s v="California"/>
    <s v="Imperial County"/>
    <n v="8"/>
    <n v="11"/>
    <x v="3"/>
  </r>
  <r>
    <x v="1978"/>
    <x v="8"/>
    <n v="3"/>
    <n v="33.5"/>
    <n v="100.5"/>
    <d v="2025-03-14T00:00:00"/>
    <d v="2025-03-26T00:00:00"/>
    <x v="1"/>
    <s v="App"/>
    <n v="5"/>
    <s v="California"/>
    <s v="Kern County"/>
    <n v="12"/>
    <n v="11"/>
    <x v="1"/>
  </r>
  <r>
    <x v="1979"/>
    <x v="4"/>
    <n v="10"/>
    <n v="36"/>
    <n v="360"/>
    <d v="2025-03-14T00:00:00"/>
    <d v="2025-03-14T00:00:00"/>
    <x v="1"/>
    <s v="Instagram"/>
    <n v="5"/>
    <s v="California"/>
    <s v="Los Angeles County"/>
    <n v="0"/>
    <n v="11"/>
    <x v="1"/>
  </r>
  <r>
    <x v="1980"/>
    <x v="16"/>
    <n v="3"/>
    <n v="57.3"/>
    <n v="171.89999999999998"/>
    <d v="2025-03-14T00:00:00"/>
    <d v="2025-03-18T00:00:00"/>
    <x v="2"/>
    <s v="App"/>
    <n v="5"/>
    <s v="California"/>
    <s v="Los Angeles County"/>
    <n v="4"/>
    <n v="11"/>
    <x v="2"/>
  </r>
  <r>
    <x v="1981"/>
    <x v="1"/>
    <n v="1"/>
    <n v="81.400000000000006"/>
    <n v="81.400000000000006"/>
    <d v="2025-03-14T00:00:00"/>
    <d v="2025-03-15T00:00:00"/>
    <x v="2"/>
    <s v="Target.com"/>
    <n v="5"/>
    <s v="California"/>
    <s v="Los Angeles County"/>
    <n v="1"/>
    <n v="11"/>
    <x v="2"/>
  </r>
  <r>
    <x v="1982"/>
    <x v="10"/>
    <n v="2"/>
    <n v="35.299999999999997"/>
    <n v="70.599999999999994"/>
    <d v="2025-03-14T00:00:00"/>
    <d v="2025-03-18T00:00:00"/>
    <x v="1"/>
    <s v="App"/>
    <n v="5"/>
    <s v="California"/>
    <s v="Los Angeles County"/>
    <n v="4"/>
    <n v="11"/>
    <x v="1"/>
  </r>
  <r>
    <x v="1983"/>
    <x v="3"/>
    <n v="1"/>
    <n v="36.1"/>
    <n v="36.1"/>
    <d v="2025-03-14T00:00:00"/>
    <d v="2025-03-15T00:00:00"/>
    <x v="2"/>
    <s v="Partner App"/>
    <n v="4"/>
    <s v="California"/>
    <s v="Los Angeles County"/>
    <n v="1"/>
    <n v="11"/>
    <x v="2"/>
  </r>
  <r>
    <x v="1984"/>
    <x v="1"/>
    <n v="2"/>
    <n v="36.700000000000003"/>
    <n v="73.400000000000006"/>
    <d v="2025-03-14T00:00:00"/>
    <d v="2025-03-16T00:00:00"/>
    <x v="2"/>
    <s v="App"/>
    <n v="5"/>
    <s v="California"/>
    <s v="Los Angeles County"/>
    <n v="2"/>
    <n v="11"/>
    <x v="2"/>
  </r>
  <r>
    <x v="1985"/>
    <x v="10"/>
    <n v="1"/>
    <n v="20.9"/>
    <n v="20.9"/>
    <d v="2025-03-14T00:00:00"/>
    <d v="2025-03-16T00:00:00"/>
    <x v="2"/>
    <s v="App"/>
    <n v="2"/>
    <s v="California"/>
    <s v="Los Angeles County"/>
    <n v="2"/>
    <n v="11"/>
    <x v="2"/>
  </r>
  <r>
    <x v="1986"/>
    <x v="12"/>
    <n v="3"/>
    <n v="58.8"/>
    <n v="176.39999999999998"/>
    <d v="2025-03-14T00:00:00"/>
    <d v="2025-03-18T00:00:00"/>
    <x v="1"/>
    <s v="App"/>
    <n v="5"/>
    <s v="California"/>
    <s v="Orange County"/>
    <n v="4"/>
    <n v="11"/>
    <x v="1"/>
  </r>
  <r>
    <x v="1987"/>
    <x v="2"/>
    <n v="3"/>
    <n v="97.6"/>
    <n v="292.79999999999995"/>
    <d v="2025-03-15T00:00:00"/>
    <d v="2025-03-17T00:00:00"/>
    <x v="0"/>
    <s v="App"/>
    <n v="4"/>
    <s v="California"/>
    <s v="Sacramento County"/>
    <n v="2"/>
    <n v="11"/>
    <x v="0"/>
  </r>
  <r>
    <x v="1988"/>
    <x v="1"/>
    <n v="2"/>
    <n v="58.7"/>
    <n v="117.4"/>
    <d v="2025-03-15T00:00:00"/>
    <d v="2025-03-18T00:00:00"/>
    <x v="2"/>
    <s v="App"/>
    <n v="3"/>
    <s v="California"/>
    <s v="Sacramento County"/>
    <n v="3"/>
    <n v="11"/>
    <x v="2"/>
  </r>
  <r>
    <x v="1989"/>
    <x v="6"/>
    <n v="5"/>
    <n v="71.900000000000006"/>
    <n v="359.5"/>
    <d v="2025-03-15T00:00:00"/>
    <d v="2025-03-16T00:00:00"/>
    <x v="0"/>
    <s v="App"/>
    <n v="3"/>
    <s v="California"/>
    <s v="Sacramento County"/>
    <n v="1"/>
    <n v="11"/>
    <x v="0"/>
  </r>
  <r>
    <x v="1990"/>
    <x v="1"/>
    <n v="2"/>
    <n v="62.4"/>
    <n v="124.8"/>
    <d v="2025-03-15T00:00:00"/>
    <d v="2025-03-17T00:00:00"/>
    <x v="0"/>
    <s v="App"/>
    <n v="3"/>
    <s v="California"/>
    <s v="San Diego County"/>
    <n v="2"/>
    <n v="11"/>
    <x v="0"/>
  </r>
  <r>
    <x v="1991"/>
    <x v="6"/>
    <n v="16"/>
    <n v="53.8"/>
    <n v="860.8"/>
    <d v="2025-03-15T00:00:00"/>
    <d v="2025-03-16T00:00:00"/>
    <x v="2"/>
    <s v="Website"/>
    <n v="4"/>
    <s v="California"/>
    <s v="San Diego County"/>
    <n v="1"/>
    <n v="11"/>
    <x v="2"/>
  </r>
  <r>
    <x v="1992"/>
    <x v="9"/>
    <n v="1"/>
    <n v="43.8"/>
    <n v="43.8"/>
    <d v="2025-03-15T00:00:00"/>
    <d v="2025-03-22T00:00:00"/>
    <x v="2"/>
    <s v="App"/>
    <n v="5"/>
    <s v="California"/>
    <s v="San Diego County"/>
    <n v="7"/>
    <n v="11"/>
    <x v="2"/>
  </r>
  <r>
    <x v="1993"/>
    <x v="5"/>
    <n v="3"/>
    <n v="53.6"/>
    <n v="160.80000000000001"/>
    <d v="2025-03-15T00:00:00"/>
    <d v="2025-03-16T00:00:00"/>
    <x v="1"/>
    <s v="Instagram"/>
    <n v="4"/>
    <s v="California"/>
    <s v="San Diego County"/>
    <n v="1"/>
    <n v="11"/>
    <x v="1"/>
  </r>
  <r>
    <x v="1994"/>
    <x v="12"/>
    <n v="2"/>
    <n v="84.3"/>
    <n v="168.6"/>
    <d v="2025-03-15T00:00:00"/>
    <d v="2025-03-18T00:00:00"/>
    <x v="1"/>
    <s v="Partner App"/>
    <n v="3"/>
    <s v="California"/>
    <s v="San Diego County"/>
    <n v="3"/>
    <n v="11"/>
    <x v="1"/>
  </r>
  <r>
    <x v="1995"/>
    <x v="6"/>
    <n v="9"/>
    <n v="117.9"/>
    <n v="1061.1000000000001"/>
    <d v="2025-03-15T00:00:00"/>
    <d v="2025-03-16T00:00:00"/>
    <x v="2"/>
    <s v="Website"/>
    <n v="5"/>
    <s v="California"/>
    <s v="San Diego County"/>
    <n v="1"/>
    <n v="11"/>
    <x v="2"/>
  </r>
  <r>
    <x v="1996"/>
    <x v="4"/>
    <n v="8"/>
    <n v="30"/>
    <n v="240"/>
    <d v="2025-03-15T00:00:00"/>
    <d v="2025-03-16T00:00:00"/>
    <x v="2"/>
    <s v="Website"/>
    <n v="4"/>
    <s v="California"/>
    <s v="San Joaquin County"/>
    <n v="1"/>
    <n v="11"/>
    <x v="2"/>
  </r>
  <r>
    <x v="1997"/>
    <x v="14"/>
    <n v="3"/>
    <n v="37.299999999999997"/>
    <n v="111.89999999999999"/>
    <d v="2025-03-15T00:00:00"/>
    <d v="2025-03-16T00:00:00"/>
    <x v="1"/>
    <s v="Target.com"/>
    <n v="4"/>
    <s v="California"/>
    <s v="San Mateo County"/>
    <n v="1"/>
    <n v="11"/>
    <x v="1"/>
  </r>
  <r>
    <x v="1998"/>
    <x v="4"/>
    <n v="9"/>
    <n v="25.1"/>
    <n v="225.9"/>
    <d v="2025-03-15T00:00:00"/>
    <d v="2025-03-17T00:00:00"/>
    <x v="1"/>
    <s v="Website"/>
    <n v="5"/>
    <s v="California"/>
    <s v="Santa Clara County"/>
    <n v="2"/>
    <n v="11"/>
    <x v="1"/>
  </r>
  <r>
    <x v="1999"/>
    <x v="8"/>
    <n v="11"/>
    <n v="36"/>
    <n v="396"/>
    <d v="2025-03-15T00:00:00"/>
    <d v="2025-03-25T00:00:00"/>
    <x v="1"/>
    <s v="Website"/>
    <n v="4"/>
    <s v="California"/>
    <s v="Sonoma County"/>
    <n v="10"/>
    <n v="11"/>
    <x v="1"/>
  </r>
  <r>
    <x v="2000"/>
    <x v="16"/>
    <n v="3"/>
    <n v="48.5"/>
    <n v="145.5"/>
    <d v="2025-03-15T00:00:00"/>
    <d v="2025-03-19T00:00:00"/>
    <x v="2"/>
    <s v="Website"/>
    <n v="4"/>
    <s v="California"/>
    <s v="Stanislaus County"/>
    <n v="4"/>
    <n v="11"/>
    <x v="2"/>
  </r>
  <r>
    <x v="2001"/>
    <x v="17"/>
    <n v="6"/>
    <n v="21.1"/>
    <n v="126.60000000000001"/>
    <d v="2025-03-15T00:00:00"/>
    <d v="2025-03-16T00:00:00"/>
    <x v="1"/>
    <s v="Website"/>
    <n v="5"/>
    <s v="California"/>
    <s v="Alameda County"/>
    <n v="1"/>
    <n v="11"/>
    <x v="1"/>
  </r>
  <r>
    <x v="2002"/>
    <x v="15"/>
    <n v="14"/>
    <n v="43.2"/>
    <n v="604.80000000000007"/>
    <d v="2025-03-15T00:00:00"/>
    <d v="2025-03-16T00:00:00"/>
    <x v="3"/>
    <s v="App"/>
    <n v="3"/>
    <s v="California"/>
    <s v="Alameda County"/>
    <n v="1"/>
    <n v="11"/>
    <x v="3"/>
  </r>
  <r>
    <x v="2003"/>
    <x v="9"/>
    <n v="2"/>
    <n v="21.1"/>
    <n v="42.2"/>
    <d v="2025-03-15T00:00:00"/>
    <d v="2025-03-16T00:00:00"/>
    <x v="0"/>
    <s v="Instagram"/>
    <n v="3"/>
    <s v="California"/>
    <s v="Alameda County"/>
    <n v="1"/>
    <n v="11"/>
    <x v="0"/>
  </r>
  <r>
    <x v="2004"/>
    <x v="6"/>
    <n v="4"/>
    <n v="41.3"/>
    <n v="165.2"/>
    <d v="2025-03-15T00:00:00"/>
    <d v="2025-03-17T00:00:00"/>
    <x v="2"/>
    <s v="Instagram"/>
    <n v="5"/>
    <s v="California"/>
    <s v="Contra Costa County"/>
    <n v="2"/>
    <n v="11"/>
    <x v="2"/>
  </r>
  <r>
    <x v="2005"/>
    <x v="8"/>
    <n v="2"/>
    <n v="15.3"/>
    <n v="30.6"/>
    <d v="2025-03-15T00:00:00"/>
    <d v="2025-03-18T00:00:00"/>
    <x v="0"/>
    <s v="Target.com"/>
    <n v="5"/>
    <s v="California"/>
    <s v="Contra Costa County"/>
    <n v="3"/>
    <n v="11"/>
    <x v="0"/>
  </r>
  <r>
    <x v="2006"/>
    <x v="1"/>
    <n v="1"/>
    <n v="54.6"/>
    <n v="54.6"/>
    <d v="2025-03-15T00:00:00"/>
    <d v="2025-03-17T00:00:00"/>
    <x v="1"/>
    <s v="Website"/>
    <n v="3"/>
    <s v="California"/>
    <s v="Fresno County"/>
    <n v="2"/>
    <n v="11"/>
    <x v="1"/>
  </r>
  <r>
    <x v="2007"/>
    <x v="8"/>
    <n v="1"/>
    <n v="15.9"/>
    <n v="15.9"/>
    <d v="2025-03-15T00:00:00"/>
    <d v="2025-03-16T00:00:00"/>
    <x v="1"/>
    <s v="App"/>
    <n v="3"/>
    <s v="California"/>
    <s v="Kern County"/>
    <n v="1"/>
    <n v="11"/>
    <x v="1"/>
  </r>
  <r>
    <x v="2008"/>
    <x v="9"/>
    <n v="1"/>
    <n v="50.2"/>
    <n v="50.2"/>
    <d v="2025-03-15T00:00:00"/>
    <d v="2025-03-17T00:00:00"/>
    <x v="2"/>
    <s v="Instagram"/>
    <n v="5"/>
    <s v="California"/>
    <s v="Kings County"/>
    <n v="2"/>
    <n v="11"/>
    <x v="2"/>
  </r>
  <r>
    <x v="2009"/>
    <x v="11"/>
    <n v="4"/>
    <n v="85.1"/>
    <n v="340.4"/>
    <d v="2025-03-15T00:00:00"/>
    <d v="2025-03-16T00:00:00"/>
    <x v="2"/>
    <s v="Instagram"/>
    <n v="2"/>
    <s v="California"/>
    <s v="Kings County"/>
    <n v="1"/>
    <n v="11"/>
    <x v="2"/>
  </r>
  <r>
    <x v="2010"/>
    <x v="11"/>
    <n v="2"/>
    <n v="41.4"/>
    <n v="82.8"/>
    <d v="2025-03-15T00:00:00"/>
    <d v="2025-03-16T00:00:00"/>
    <x v="2"/>
    <s v="App"/>
    <n v="5"/>
    <s v="California"/>
    <s v="Los Angeles County"/>
    <n v="1"/>
    <n v="11"/>
    <x v="2"/>
  </r>
  <r>
    <x v="2011"/>
    <x v="4"/>
    <n v="7"/>
    <n v="32.700000000000003"/>
    <n v="228.90000000000003"/>
    <d v="2025-03-15T00:00:00"/>
    <d v="2025-03-16T00:00:00"/>
    <x v="2"/>
    <s v="Target.com"/>
    <n v="3"/>
    <s v="California"/>
    <s v="Los Angeles County"/>
    <n v="1"/>
    <n v="11"/>
    <x v="2"/>
  </r>
  <r>
    <x v="2012"/>
    <x v="4"/>
    <n v="2"/>
    <n v="41.6"/>
    <n v="83.2"/>
    <d v="2025-03-15T00:00:00"/>
    <d v="2025-03-17T00:00:00"/>
    <x v="1"/>
    <s v="Partner App"/>
    <n v="3"/>
    <s v="California"/>
    <s v="Los Angeles County"/>
    <n v="2"/>
    <n v="11"/>
    <x v="1"/>
  </r>
  <r>
    <x v="2013"/>
    <x v="5"/>
    <n v="4"/>
    <n v="64.8"/>
    <n v="259.2"/>
    <d v="2025-03-15T00:00:00"/>
    <d v="2025-03-16T00:00:00"/>
    <x v="0"/>
    <s v="Target.com"/>
    <n v="4"/>
    <s v="California"/>
    <s v="Los Angeles County"/>
    <n v="1"/>
    <n v="11"/>
    <x v="0"/>
  </r>
  <r>
    <x v="2014"/>
    <x v="15"/>
    <n v="2"/>
    <n v="33.6"/>
    <n v="67.2"/>
    <d v="2025-03-15T00:00:00"/>
    <d v="2025-03-16T00:00:00"/>
    <x v="1"/>
    <s v="App"/>
    <n v="5"/>
    <s v="California"/>
    <s v="Los Angeles County"/>
    <n v="1"/>
    <n v="11"/>
    <x v="1"/>
  </r>
  <r>
    <x v="2015"/>
    <x v="6"/>
    <n v="3"/>
    <n v="100.7"/>
    <n v="302.10000000000002"/>
    <d v="2025-03-15T00:00:00"/>
    <d v="2025-03-16T00:00:00"/>
    <x v="0"/>
    <s v="Website"/>
    <n v="4"/>
    <s v="California"/>
    <s v="Los Angeles County"/>
    <n v="1"/>
    <n v="11"/>
    <x v="0"/>
  </r>
  <r>
    <x v="2016"/>
    <x v="4"/>
    <n v="2"/>
    <n v="49.3"/>
    <n v="98.6"/>
    <d v="2025-03-16T00:00:00"/>
    <d v="2025-03-18T00:00:00"/>
    <x v="2"/>
    <s v="Partner App"/>
    <n v="5"/>
    <s v="California"/>
    <s v="Los Angeles County"/>
    <n v="2"/>
    <n v="12"/>
    <x v="2"/>
  </r>
  <r>
    <x v="2017"/>
    <x v="2"/>
    <n v="6"/>
    <n v="97"/>
    <n v="582"/>
    <d v="2025-03-16T00:00:00"/>
    <d v="2025-03-19T00:00:00"/>
    <x v="1"/>
    <s v="Target.com"/>
    <n v="5"/>
    <s v="California"/>
    <s v="Los Angeles County"/>
    <n v="3"/>
    <n v="12"/>
    <x v="1"/>
  </r>
  <r>
    <x v="2018"/>
    <x v="0"/>
    <n v="6"/>
    <n v="25.2"/>
    <n v="151.19999999999999"/>
    <d v="2025-03-16T00:00:00"/>
    <d v="2025-03-19T00:00:00"/>
    <x v="2"/>
    <s v="Partner App"/>
    <n v="5"/>
    <s v="California"/>
    <s v="Los Angeles County"/>
    <n v="3"/>
    <n v="12"/>
    <x v="2"/>
  </r>
  <r>
    <x v="2019"/>
    <x v="0"/>
    <n v="11"/>
    <n v="12.2"/>
    <n v="134.19999999999999"/>
    <d v="2025-03-16T00:00:00"/>
    <d v="2025-03-17T00:00:00"/>
    <x v="0"/>
    <s v="App"/>
    <n v="3"/>
    <s v="California"/>
    <s v="Los Angeles County"/>
    <n v="1"/>
    <n v="12"/>
    <x v="0"/>
  </r>
  <r>
    <x v="2020"/>
    <x v="8"/>
    <n v="7"/>
    <n v="38.799999999999997"/>
    <n v="271.59999999999997"/>
    <d v="2025-03-16T00:00:00"/>
    <d v="2025-03-18T00:00:00"/>
    <x v="2"/>
    <s v="Website"/>
    <n v="3"/>
    <s v="California"/>
    <s v="Riverside County"/>
    <n v="2"/>
    <n v="12"/>
    <x v="2"/>
  </r>
  <r>
    <x v="2021"/>
    <x v="2"/>
    <n v="4"/>
    <n v="53.2"/>
    <n v="212.8"/>
    <d v="2025-03-16T00:00:00"/>
    <d v="2025-03-17T00:00:00"/>
    <x v="1"/>
    <s v="App"/>
    <n v="5"/>
    <s v="California"/>
    <s v="San Diego County"/>
    <n v="1"/>
    <n v="12"/>
    <x v="1"/>
  </r>
  <r>
    <x v="2022"/>
    <x v="6"/>
    <n v="7"/>
    <n v="151"/>
    <n v="1057"/>
    <d v="2025-03-16T00:00:00"/>
    <d v="2025-03-17T00:00:00"/>
    <x v="3"/>
    <s v="Website"/>
    <n v="3"/>
    <s v="California"/>
    <s v="San Diego County"/>
    <n v="1"/>
    <n v="12"/>
    <x v="3"/>
  </r>
  <r>
    <x v="2023"/>
    <x v="1"/>
    <n v="2"/>
    <n v="37.1"/>
    <n v="74.2"/>
    <d v="2025-03-16T00:00:00"/>
    <d v="2025-03-17T00:00:00"/>
    <x v="2"/>
    <s v="Partner App"/>
    <n v="4"/>
    <s v="California"/>
    <s v="San Diego County"/>
    <n v="1"/>
    <n v="12"/>
    <x v="2"/>
  </r>
  <r>
    <x v="2024"/>
    <x v="5"/>
    <n v="2"/>
    <n v="38.9"/>
    <n v="77.8"/>
    <d v="2025-03-16T00:00:00"/>
    <d v="2025-03-17T00:00:00"/>
    <x v="1"/>
    <s v="Partner App"/>
    <n v="4"/>
    <s v="California"/>
    <s v="San Diego County"/>
    <n v="1"/>
    <n v="12"/>
    <x v="1"/>
  </r>
  <r>
    <x v="2025"/>
    <x v="10"/>
    <n v="2"/>
    <n v="35.200000000000003"/>
    <n v="70.400000000000006"/>
    <d v="2025-03-16T00:00:00"/>
    <d v="2025-03-17T00:00:00"/>
    <x v="1"/>
    <s v="App"/>
    <n v="5"/>
    <s v="California"/>
    <s v="San Francisco"/>
    <n v="1"/>
    <n v="12"/>
    <x v="1"/>
  </r>
  <r>
    <x v="2026"/>
    <x v="0"/>
    <n v="2"/>
    <n v="22.3"/>
    <n v="44.6"/>
    <d v="2025-03-16T00:00:00"/>
    <d v="2025-03-18T00:00:00"/>
    <x v="2"/>
    <s v="Website"/>
    <n v="4"/>
    <s v="California"/>
    <s v="San Mateo County"/>
    <n v="2"/>
    <n v="12"/>
    <x v="2"/>
  </r>
  <r>
    <x v="2027"/>
    <x v="9"/>
    <n v="1"/>
    <n v="43.3"/>
    <n v="43.3"/>
    <d v="2025-03-16T00:00:00"/>
    <d v="2025-03-19T00:00:00"/>
    <x v="2"/>
    <s v="App"/>
    <n v="5"/>
    <s v="California"/>
    <s v="Santa Clara County"/>
    <n v="3"/>
    <n v="12"/>
    <x v="2"/>
  </r>
  <r>
    <x v="2028"/>
    <x v="6"/>
    <n v="6"/>
    <n v="75.900000000000006"/>
    <n v="455.40000000000003"/>
    <d v="2025-03-16T00:00:00"/>
    <d v="2025-03-22T00:00:00"/>
    <x v="1"/>
    <s v="App"/>
    <n v="4"/>
    <s v="California"/>
    <s v="Santa Clara County"/>
    <n v="6"/>
    <n v="12"/>
    <x v="1"/>
  </r>
  <r>
    <x v="2029"/>
    <x v="6"/>
    <n v="3"/>
    <n v="78.7"/>
    <n v="236.10000000000002"/>
    <d v="2025-03-16T00:00:00"/>
    <d v="2025-03-20T00:00:00"/>
    <x v="2"/>
    <s v="Target.com"/>
    <n v="3"/>
    <s v="California"/>
    <s v="Santa Clara County"/>
    <n v="4"/>
    <n v="12"/>
    <x v="2"/>
  </r>
  <r>
    <x v="2030"/>
    <x v="1"/>
    <n v="1"/>
    <n v="66.3"/>
    <n v="66.3"/>
    <d v="2025-03-16T00:00:00"/>
    <d v="2025-03-20T00:00:00"/>
    <x v="2"/>
    <s v="App"/>
    <n v="5"/>
    <s v="California"/>
    <s v="Stanislaus County"/>
    <n v="4"/>
    <n v="12"/>
    <x v="2"/>
  </r>
  <r>
    <x v="2031"/>
    <x v="8"/>
    <n v="2"/>
    <n v="33.6"/>
    <n v="67.2"/>
    <d v="2025-03-16T00:00:00"/>
    <d v="2025-03-16T00:00:00"/>
    <x v="1"/>
    <s v="App"/>
    <n v="3"/>
    <s v="California"/>
    <s v="Stanislaus County"/>
    <n v="0"/>
    <n v="12"/>
    <x v="1"/>
  </r>
  <r>
    <x v="2032"/>
    <x v="2"/>
    <n v="7"/>
    <n v="61.4"/>
    <n v="429.8"/>
    <d v="2025-03-16T00:00:00"/>
    <d v="2025-03-17T00:00:00"/>
    <x v="1"/>
    <s v="Partner App"/>
    <n v="4"/>
    <s v="California"/>
    <s v="Stanislaus County"/>
    <n v="1"/>
    <n v="12"/>
    <x v="1"/>
  </r>
  <r>
    <x v="2033"/>
    <x v="8"/>
    <n v="2"/>
    <n v="17.5"/>
    <n v="35"/>
    <d v="2025-03-16T00:00:00"/>
    <d v="2025-03-19T00:00:00"/>
    <x v="2"/>
    <s v="App"/>
    <n v="4"/>
    <s v="California"/>
    <s v="Alameda County"/>
    <n v="3"/>
    <n v="12"/>
    <x v="2"/>
  </r>
  <r>
    <x v="2034"/>
    <x v="8"/>
    <n v="2"/>
    <n v="32.5"/>
    <n v="65"/>
    <d v="2025-03-16T00:00:00"/>
    <d v="2025-03-19T00:00:00"/>
    <x v="2"/>
    <s v="Website"/>
    <n v="4"/>
    <s v="California"/>
    <s v="Alameda County"/>
    <n v="3"/>
    <n v="12"/>
    <x v="2"/>
  </r>
  <r>
    <x v="2035"/>
    <x v="4"/>
    <n v="1"/>
    <n v="34.6"/>
    <n v="34.6"/>
    <d v="2025-03-16T00:00:00"/>
    <d v="2025-03-17T00:00:00"/>
    <x v="2"/>
    <s v="Partner App"/>
    <n v="4"/>
    <s v="California"/>
    <s v="Alameda County"/>
    <n v="1"/>
    <n v="12"/>
    <x v="2"/>
  </r>
  <r>
    <x v="2036"/>
    <x v="2"/>
    <n v="1"/>
    <n v="75.900000000000006"/>
    <n v="75.900000000000006"/>
    <d v="2025-03-16T00:00:00"/>
    <d v="2025-03-16T00:00:00"/>
    <x v="1"/>
    <s v="Website"/>
    <n v="5"/>
    <s v="California"/>
    <s v="Alameda County"/>
    <n v="0"/>
    <n v="12"/>
    <x v="1"/>
  </r>
  <r>
    <x v="2037"/>
    <x v="1"/>
    <n v="3"/>
    <n v="42.1"/>
    <n v="126.30000000000001"/>
    <d v="2025-03-16T00:00:00"/>
    <d v="2025-03-19T00:00:00"/>
    <x v="1"/>
    <s v="Website"/>
    <n v="3"/>
    <s v="California"/>
    <s v="Alameda County"/>
    <n v="3"/>
    <n v="12"/>
    <x v="1"/>
  </r>
  <r>
    <x v="2038"/>
    <x v="7"/>
    <n v="3"/>
    <n v="65.3"/>
    <n v="195.89999999999998"/>
    <d v="2025-03-16T00:00:00"/>
    <d v="2025-03-23T00:00:00"/>
    <x v="1"/>
    <s v="App"/>
    <n v="4"/>
    <s v="California"/>
    <s v="Contra Costa County"/>
    <n v="7"/>
    <n v="12"/>
    <x v="1"/>
  </r>
  <r>
    <x v="2039"/>
    <x v="15"/>
    <n v="1"/>
    <n v="20.6"/>
    <n v="20.6"/>
    <d v="2025-03-16T00:00:00"/>
    <d v="2025-03-19T00:00:00"/>
    <x v="1"/>
    <s v="Instagram"/>
    <n v="4"/>
    <s v="California"/>
    <s v="El Dorado County"/>
    <n v="3"/>
    <n v="12"/>
    <x v="1"/>
  </r>
  <r>
    <x v="2040"/>
    <x v="8"/>
    <n v="7"/>
    <n v="16.5"/>
    <n v="115.5"/>
    <d v="2025-03-16T00:00:00"/>
    <d v="2025-03-17T00:00:00"/>
    <x v="1"/>
    <s v="Website"/>
    <n v="3"/>
    <s v="California"/>
    <s v="Fresno County"/>
    <n v="1"/>
    <n v="12"/>
    <x v="1"/>
  </r>
  <r>
    <x v="2041"/>
    <x v="16"/>
    <n v="10"/>
    <n v="36.200000000000003"/>
    <n v="362"/>
    <d v="2025-03-16T00:00:00"/>
    <d v="2025-03-18T00:00:00"/>
    <x v="1"/>
    <s v="App"/>
    <n v="5"/>
    <s v="California"/>
    <s v="Fresno County"/>
    <n v="2"/>
    <n v="12"/>
    <x v="1"/>
  </r>
  <r>
    <x v="2042"/>
    <x v="6"/>
    <n v="1"/>
    <n v="53.2"/>
    <n v="53.2"/>
    <d v="2025-03-16T00:00:00"/>
    <d v="2025-03-17T00:00:00"/>
    <x v="2"/>
    <s v="App"/>
    <n v="3"/>
    <s v="California"/>
    <s v="Kern County"/>
    <n v="1"/>
    <n v="12"/>
    <x v="2"/>
  </r>
  <r>
    <x v="2043"/>
    <x v="2"/>
    <n v="14"/>
    <n v="176"/>
    <n v="2464"/>
    <d v="2025-03-16T00:00:00"/>
    <d v="2025-03-17T00:00:00"/>
    <x v="2"/>
    <s v="App"/>
    <n v="3"/>
    <s v="California"/>
    <s v="Los Angeles County"/>
    <n v="1"/>
    <n v="12"/>
    <x v="2"/>
  </r>
  <r>
    <x v="2044"/>
    <x v="1"/>
    <n v="1"/>
    <n v="52.4"/>
    <n v="52.4"/>
    <d v="2025-03-16T00:00:00"/>
    <d v="2025-03-17T00:00:00"/>
    <x v="1"/>
    <s v="Website"/>
    <n v="4"/>
    <s v="California"/>
    <s v="Los Angeles County"/>
    <n v="1"/>
    <n v="12"/>
    <x v="1"/>
  </r>
  <r>
    <x v="2045"/>
    <x v="10"/>
    <n v="3"/>
    <n v="48.2"/>
    <n v="144.60000000000002"/>
    <d v="2025-03-16T00:00:00"/>
    <d v="2025-03-17T00:00:00"/>
    <x v="2"/>
    <s v="Website"/>
    <n v="5"/>
    <s v="California"/>
    <s v="Los Angeles County"/>
    <n v="1"/>
    <n v="12"/>
    <x v="2"/>
  </r>
  <r>
    <x v="2046"/>
    <x v="15"/>
    <n v="1"/>
    <n v="51.6"/>
    <n v="51.6"/>
    <d v="2025-03-16T00:00:00"/>
    <d v="2025-03-20T00:00:00"/>
    <x v="2"/>
    <s v="Target.com"/>
    <n v="3"/>
    <s v="California"/>
    <s v="Los Angeles County"/>
    <n v="4"/>
    <n v="12"/>
    <x v="2"/>
  </r>
  <r>
    <x v="2047"/>
    <x v="0"/>
    <n v="4"/>
    <n v="33.700000000000003"/>
    <n v="134.80000000000001"/>
    <d v="2025-03-17T00:00:00"/>
    <d v="2025-03-18T00:00:00"/>
    <x v="1"/>
    <s v="App"/>
    <n v="4"/>
    <s v="California"/>
    <s v="Los Angeles County"/>
    <n v="1"/>
    <n v="12"/>
    <x v="1"/>
  </r>
  <r>
    <x v="2048"/>
    <x v="4"/>
    <n v="10"/>
    <n v="36.299999999999997"/>
    <n v="363"/>
    <d v="2025-03-17T00:00:00"/>
    <d v="2025-03-19T00:00:00"/>
    <x v="2"/>
    <s v="Partner App"/>
    <n v="3"/>
    <s v="California"/>
    <s v="Los Angeles County"/>
    <n v="2"/>
    <n v="12"/>
    <x v="2"/>
  </r>
  <r>
    <x v="2049"/>
    <x v="8"/>
    <n v="1"/>
    <n v="23.4"/>
    <n v="23.4"/>
    <d v="2025-03-17T00:00:00"/>
    <d v="2025-03-22T00:00:00"/>
    <x v="2"/>
    <s v="Website"/>
    <n v="5"/>
    <s v="California"/>
    <s v="Los Angeles County"/>
    <n v="5"/>
    <n v="12"/>
    <x v="2"/>
  </r>
  <r>
    <x v="2050"/>
    <x v="15"/>
    <n v="8"/>
    <n v="56.6"/>
    <n v="452.8"/>
    <d v="2025-03-17T00:00:00"/>
    <d v="2025-03-19T00:00:00"/>
    <x v="2"/>
    <s v="Website"/>
    <n v="4"/>
    <s v="California"/>
    <s v="Los Angeles County"/>
    <n v="2"/>
    <n v="12"/>
    <x v="2"/>
  </r>
  <r>
    <x v="2051"/>
    <x v="15"/>
    <n v="2"/>
    <n v="26.8"/>
    <n v="53.6"/>
    <d v="2025-03-17T00:00:00"/>
    <d v="2025-03-18T00:00:00"/>
    <x v="1"/>
    <s v="App"/>
    <n v="4"/>
    <s v="California"/>
    <s v="Nevada County"/>
    <n v="1"/>
    <n v="12"/>
    <x v="1"/>
  </r>
  <r>
    <x v="2052"/>
    <x v="0"/>
    <n v="3"/>
    <n v="11.3"/>
    <n v="33.900000000000006"/>
    <d v="2025-03-17T00:00:00"/>
    <d v="2025-03-19T00:00:00"/>
    <x v="1"/>
    <s v="Target.com"/>
    <n v="4"/>
    <s v="California"/>
    <s v="Orange County"/>
    <n v="2"/>
    <n v="12"/>
    <x v="1"/>
  </r>
  <r>
    <x v="2053"/>
    <x v="6"/>
    <n v="3"/>
    <n v="60.1"/>
    <n v="180.3"/>
    <d v="2025-03-17T00:00:00"/>
    <d v="2025-03-20T00:00:00"/>
    <x v="2"/>
    <s v="App"/>
    <n v="4"/>
    <s v="California"/>
    <s v="San Bernardino County"/>
    <n v="3"/>
    <n v="12"/>
    <x v="2"/>
  </r>
  <r>
    <x v="2054"/>
    <x v="0"/>
    <n v="11"/>
    <n v="27.7"/>
    <n v="304.7"/>
    <d v="2025-03-17T00:00:00"/>
    <d v="2025-03-22T00:00:00"/>
    <x v="2"/>
    <s v="App"/>
    <n v="4"/>
    <s v="California"/>
    <s v="San Diego County"/>
    <n v="5"/>
    <n v="12"/>
    <x v="2"/>
  </r>
  <r>
    <x v="2055"/>
    <x v="15"/>
    <n v="1"/>
    <n v="71.400000000000006"/>
    <n v="71.400000000000006"/>
    <d v="2025-03-17T00:00:00"/>
    <d v="2025-03-20T00:00:00"/>
    <x v="1"/>
    <s v="App"/>
    <n v="5"/>
    <s v="California"/>
    <s v="San Diego County"/>
    <n v="3"/>
    <n v="12"/>
    <x v="1"/>
  </r>
  <r>
    <x v="2056"/>
    <x v="2"/>
    <n v="2"/>
    <n v="66.7"/>
    <n v="133.4"/>
    <d v="2025-03-17T00:00:00"/>
    <d v="2025-03-18T00:00:00"/>
    <x v="2"/>
    <s v="App"/>
    <n v="5"/>
    <s v="California"/>
    <s v="San Diego County"/>
    <n v="1"/>
    <n v="12"/>
    <x v="2"/>
  </r>
  <r>
    <x v="2057"/>
    <x v="13"/>
    <n v="5"/>
    <n v="39.1"/>
    <n v="195.5"/>
    <d v="2025-03-17T00:00:00"/>
    <d v="2025-03-18T00:00:00"/>
    <x v="2"/>
    <s v="App"/>
    <n v="4"/>
    <s v="California"/>
    <s v="San Diego County"/>
    <n v="1"/>
    <n v="12"/>
    <x v="2"/>
  </r>
  <r>
    <x v="2058"/>
    <x v="8"/>
    <n v="4"/>
    <n v="24.9"/>
    <n v="99.6"/>
    <d v="2025-03-17T00:00:00"/>
    <d v="2025-03-22T00:00:00"/>
    <x v="1"/>
    <s v="Website"/>
    <n v="5"/>
    <s v="California"/>
    <s v="San Diego County"/>
    <n v="5"/>
    <n v="12"/>
    <x v="1"/>
  </r>
  <r>
    <x v="2059"/>
    <x v="5"/>
    <n v="5"/>
    <n v="29.2"/>
    <n v="146"/>
    <d v="2025-03-17T00:00:00"/>
    <d v="2025-03-18T00:00:00"/>
    <x v="1"/>
    <s v="App"/>
    <n v="5"/>
    <s v="California"/>
    <s v="San Francisco"/>
    <n v="1"/>
    <n v="12"/>
    <x v="1"/>
  </r>
  <r>
    <x v="2060"/>
    <x v="13"/>
    <n v="14"/>
    <n v="28.3"/>
    <n v="396.2"/>
    <d v="2025-03-17T00:00:00"/>
    <d v="2025-03-19T00:00:00"/>
    <x v="2"/>
    <s v="Website"/>
    <n v="4"/>
    <s v="California"/>
    <s v="Santa Clara County"/>
    <n v="2"/>
    <n v="12"/>
    <x v="2"/>
  </r>
  <r>
    <x v="2061"/>
    <x v="9"/>
    <n v="3"/>
    <n v="37.799999999999997"/>
    <n v="113.39999999999999"/>
    <d v="2025-03-17T00:00:00"/>
    <d v="2025-03-18T00:00:00"/>
    <x v="2"/>
    <s v="App"/>
    <n v="3"/>
    <s v="California"/>
    <s v="Santa Clara County"/>
    <n v="1"/>
    <n v="12"/>
    <x v="2"/>
  </r>
  <r>
    <x v="2062"/>
    <x v="14"/>
    <n v="7"/>
    <n v="28.1"/>
    <n v="196.70000000000002"/>
    <d v="2025-03-17T00:00:00"/>
    <d v="2025-03-23T00:00:00"/>
    <x v="2"/>
    <s v="Target.com"/>
    <n v="4"/>
    <s v="California"/>
    <s v="Santa Clara County"/>
    <n v="6"/>
    <n v="12"/>
    <x v="2"/>
  </r>
  <r>
    <x v="2063"/>
    <x v="1"/>
    <n v="3"/>
    <n v="59.7"/>
    <n v="179.10000000000002"/>
    <d v="2025-03-17T00:00:00"/>
    <d v="2025-03-19T00:00:00"/>
    <x v="2"/>
    <s v="Target.com"/>
    <n v="4"/>
    <s v="California"/>
    <s v="Santa Clara County"/>
    <n v="2"/>
    <n v="12"/>
    <x v="2"/>
  </r>
  <r>
    <x v="2064"/>
    <x v="16"/>
    <n v="1"/>
    <n v="71.900000000000006"/>
    <n v="71.900000000000006"/>
    <d v="2025-03-17T00:00:00"/>
    <d v="2025-03-18T00:00:00"/>
    <x v="1"/>
    <s v="Website"/>
    <n v="3"/>
    <s v="California"/>
    <s v="Santa Clara County"/>
    <n v="1"/>
    <n v="12"/>
    <x v="1"/>
  </r>
  <r>
    <x v="2065"/>
    <x v="1"/>
    <n v="2"/>
    <n v="56.9"/>
    <n v="113.8"/>
    <d v="2025-03-17T00:00:00"/>
    <d v="2025-03-18T00:00:00"/>
    <x v="1"/>
    <s v="Target.com"/>
    <n v="4"/>
    <s v="California"/>
    <s v="Ventura County"/>
    <n v="1"/>
    <n v="12"/>
    <x v="1"/>
  </r>
  <r>
    <x v="2066"/>
    <x v="8"/>
    <n v="2"/>
    <n v="15.8"/>
    <n v="31.6"/>
    <d v="2025-03-17T00:00:00"/>
    <d v="2025-03-20T00:00:00"/>
    <x v="2"/>
    <s v="Target.com"/>
    <n v="3"/>
    <s v="California"/>
    <s v="Contra Costa County"/>
    <n v="3"/>
    <n v="12"/>
    <x v="2"/>
  </r>
  <r>
    <x v="2067"/>
    <x v="11"/>
    <n v="4"/>
    <n v="61.7"/>
    <n v="246.8"/>
    <d v="2025-03-17T00:00:00"/>
    <d v="2025-03-19T00:00:00"/>
    <x v="2"/>
    <s v="Target.com"/>
    <n v="4"/>
    <s v="California"/>
    <s v="Kern County"/>
    <n v="2"/>
    <n v="12"/>
    <x v="2"/>
  </r>
  <r>
    <x v="2068"/>
    <x v="2"/>
    <n v="10"/>
    <n v="105.2"/>
    <n v="1052"/>
    <d v="2025-03-17T00:00:00"/>
    <d v="2025-03-19T00:00:00"/>
    <x v="1"/>
    <s v="Website"/>
    <n v="2"/>
    <s v="California"/>
    <s v="Los Angeles County"/>
    <n v="2"/>
    <n v="12"/>
    <x v="1"/>
  </r>
  <r>
    <x v="2069"/>
    <x v="0"/>
    <n v="2"/>
    <n v="17"/>
    <n v="34"/>
    <d v="2025-03-17T00:00:00"/>
    <d v="2025-03-19T00:00:00"/>
    <x v="2"/>
    <s v="Target.com"/>
    <n v="4"/>
    <s v="California"/>
    <s v="Los Angeles County"/>
    <n v="2"/>
    <n v="12"/>
    <x v="2"/>
  </r>
  <r>
    <x v="2070"/>
    <x v="6"/>
    <n v="3"/>
    <n v="84.1"/>
    <n v="252.29999999999998"/>
    <d v="2025-03-17T00:00:00"/>
    <d v="2025-03-18T00:00:00"/>
    <x v="1"/>
    <s v="Target.com"/>
    <n v="4"/>
    <s v="California"/>
    <s v="Los Angeles County"/>
    <n v="1"/>
    <n v="12"/>
    <x v="1"/>
  </r>
  <r>
    <x v="2071"/>
    <x v="3"/>
    <n v="4"/>
    <n v="59.5"/>
    <n v="238"/>
    <d v="2025-03-17T00:00:00"/>
    <d v="2025-03-22T00:00:00"/>
    <x v="1"/>
    <s v="App"/>
    <n v="5"/>
    <s v="California"/>
    <s v="Los Angeles County"/>
    <n v="5"/>
    <n v="12"/>
    <x v="1"/>
  </r>
  <r>
    <x v="2072"/>
    <x v="8"/>
    <n v="2"/>
    <n v="57.5"/>
    <n v="115"/>
    <d v="2025-03-17T00:00:00"/>
    <d v="2025-03-19T00:00:00"/>
    <x v="1"/>
    <s v="Website"/>
    <n v="5"/>
    <s v="California"/>
    <s v="Los Angeles County"/>
    <n v="2"/>
    <n v="12"/>
    <x v="1"/>
  </r>
  <r>
    <x v="2073"/>
    <x v="8"/>
    <n v="1"/>
    <n v="34.299999999999997"/>
    <n v="34.299999999999997"/>
    <d v="2025-03-17T00:00:00"/>
    <d v="2025-03-18T00:00:00"/>
    <x v="2"/>
    <s v="Partner App"/>
    <n v="5"/>
    <s v="California"/>
    <s v="Los Angeles County"/>
    <n v="1"/>
    <n v="12"/>
    <x v="2"/>
  </r>
  <r>
    <x v="2074"/>
    <x v="5"/>
    <n v="2"/>
    <n v="27.8"/>
    <n v="55.6"/>
    <d v="2025-03-18T00:00:00"/>
    <d v="2025-03-20T00:00:00"/>
    <x v="2"/>
    <s v="App"/>
    <n v="4"/>
    <s v="California"/>
    <s v="Los Angeles County"/>
    <n v="2"/>
    <n v="12"/>
    <x v="2"/>
  </r>
  <r>
    <x v="2075"/>
    <x v="12"/>
    <n v="2"/>
    <n v="85"/>
    <n v="170"/>
    <d v="2025-03-18T00:00:00"/>
    <d v="2025-03-18T00:00:00"/>
    <x v="1"/>
    <s v="Target.com"/>
    <n v="5"/>
    <s v="California"/>
    <s v="Los Angeles County"/>
    <n v="0"/>
    <n v="12"/>
    <x v="1"/>
  </r>
  <r>
    <x v="2076"/>
    <x v="6"/>
    <n v="2"/>
    <n v="95"/>
    <n v="190"/>
    <d v="2025-03-18T00:00:00"/>
    <d v="2025-03-20T00:00:00"/>
    <x v="2"/>
    <s v="App"/>
    <n v="4"/>
    <s v="California"/>
    <s v="Los Angeles County"/>
    <n v="2"/>
    <n v="12"/>
    <x v="2"/>
  </r>
  <r>
    <x v="2077"/>
    <x v="16"/>
    <n v="2"/>
    <n v="32"/>
    <n v="64"/>
    <d v="2025-03-18T00:00:00"/>
    <d v="2025-03-20T00:00:00"/>
    <x v="1"/>
    <s v="App"/>
    <n v="3"/>
    <s v="California"/>
    <s v="Los Angeles County"/>
    <n v="2"/>
    <n v="12"/>
    <x v="1"/>
  </r>
  <r>
    <x v="2078"/>
    <x v="2"/>
    <n v="2"/>
    <n v="65.2"/>
    <n v="130.4"/>
    <d v="2025-03-18T00:00:00"/>
    <d v="2025-03-19T00:00:00"/>
    <x v="2"/>
    <s v="Website"/>
    <n v="4"/>
    <s v="California"/>
    <s v="Los Angeles County"/>
    <n v="1"/>
    <n v="12"/>
    <x v="2"/>
  </r>
  <r>
    <x v="2079"/>
    <x v="17"/>
    <n v="4"/>
    <n v="22"/>
    <n v="88"/>
    <d v="2025-03-18T00:00:00"/>
    <d v="2025-03-19T00:00:00"/>
    <x v="1"/>
    <s v="Website"/>
    <n v="5"/>
    <s v="California"/>
    <s v="Los Angeles County"/>
    <n v="1"/>
    <n v="12"/>
    <x v="1"/>
  </r>
  <r>
    <x v="2080"/>
    <x v="15"/>
    <n v="3"/>
    <n v="69.400000000000006"/>
    <n v="208.20000000000002"/>
    <d v="2025-03-18T00:00:00"/>
    <d v="2025-03-21T00:00:00"/>
    <x v="1"/>
    <s v="Website"/>
    <n v="5"/>
    <s v="California"/>
    <s v="Los Angeles County"/>
    <n v="3"/>
    <n v="12"/>
    <x v="1"/>
  </r>
  <r>
    <x v="2081"/>
    <x v="10"/>
    <n v="6"/>
    <n v="31.5"/>
    <n v="189"/>
    <d v="2025-03-18T00:00:00"/>
    <d v="2025-03-20T00:00:00"/>
    <x v="2"/>
    <s v="App"/>
    <n v="5"/>
    <s v="California"/>
    <s v="Los Angeles County"/>
    <n v="2"/>
    <n v="12"/>
    <x v="2"/>
  </r>
  <r>
    <x v="2082"/>
    <x v="6"/>
    <n v="1"/>
    <n v="45.8"/>
    <n v="45.8"/>
    <d v="2025-03-18T00:00:00"/>
    <d v="2025-03-22T00:00:00"/>
    <x v="3"/>
    <s v="App"/>
    <n v="4"/>
    <s v="California"/>
    <s v="Los Angeles County"/>
    <n v="4"/>
    <n v="12"/>
    <x v="3"/>
  </r>
  <r>
    <x v="2083"/>
    <x v="19"/>
    <n v="4"/>
    <n v="12.8"/>
    <n v="51.2"/>
    <d v="2025-03-18T00:00:00"/>
    <d v="2025-03-25T00:00:00"/>
    <x v="2"/>
    <s v="Website"/>
    <n v="3"/>
    <s v="California"/>
    <s v="Placer County"/>
    <n v="7"/>
    <n v="12"/>
    <x v="2"/>
  </r>
  <r>
    <x v="2084"/>
    <x v="5"/>
    <n v="3"/>
    <n v="115.3"/>
    <n v="345.9"/>
    <d v="2025-03-18T00:00:00"/>
    <d v="2025-03-19T00:00:00"/>
    <x v="2"/>
    <s v="Target.com"/>
    <n v="5"/>
    <s v="California"/>
    <s v="Sacramento County"/>
    <n v="1"/>
    <n v="12"/>
    <x v="2"/>
  </r>
  <r>
    <x v="2085"/>
    <x v="5"/>
    <n v="2"/>
    <n v="85"/>
    <n v="170"/>
    <d v="2025-03-18T00:00:00"/>
    <d v="2025-03-20T00:00:00"/>
    <x v="2"/>
    <s v="Website"/>
    <n v="4"/>
    <s v="California"/>
    <s v="San Bernardino County"/>
    <n v="2"/>
    <n v="12"/>
    <x v="2"/>
  </r>
  <r>
    <x v="2086"/>
    <x v="8"/>
    <n v="3"/>
    <n v="56.6"/>
    <n v="169.8"/>
    <d v="2025-03-18T00:00:00"/>
    <d v="2025-03-19T00:00:00"/>
    <x v="2"/>
    <s v="Website"/>
    <n v="5"/>
    <s v="California"/>
    <s v="San Bernardino County"/>
    <n v="1"/>
    <n v="12"/>
    <x v="2"/>
  </r>
  <r>
    <x v="2087"/>
    <x v="15"/>
    <n v="27"/>
    <n v="46.3"/>
    <n v="1250.0999999999999"/>
    <d v="2025-03-18T00:00:00"/>
    <d v="2025-03-21T00:00:00"/>
    <x v="1"/>
    <s v="App"/>
    <n v="4"/>
    <s v="California"/>
    <s v="San Bernardino County"/>
    <n v="3"/>
    <n v="12"/>
    <x v="1"/>
  </r>
  <r>
    <x v="2088"/>
    <x v="14"/>
    <n v="4"/>
    <n v="23"/>
    <n v="92"/>
    <d v="2025-03-18T00:00:00"/>
    <d v="2025-03-22T00:00:00"/>
    <x v="1"/>
    <s v="Instagram"/>
    <n v="5"/>
    <s v="California"/>
    <s v="San Bernardino County"/>
    <n v="4"/>
    <n v="12"/>
    <x v="1"/>
  </r>
  <r>
    <x v="2089"/>
    <x v="8"/>
    <n v="6"/>
    <n v="42.1"/>
    <n v="252.60000000000002"/>
    <d v="2025-03-18T00:00:00"/>
    <d v="2025-03-20T00:00:00"/>
    <x v="1"/>
    <s v="Partner App"/>
    <n v="4"/>
    <s v="California"/>
    <s v="San Diego County"/>
    <n v="2"/>
    <n v="12"/>
    <x v="1"/>
  </r>
  <r>
    <x v="2090"/>
    <x v="5"/>
    <n v="7"/>
    <n v="57.4"/>
    <n v="401.8"/>
    <d v="2025-03-18T00:00:00"/>
    <d v="2025-03-22T00:00:00"/>
    <x v="2"/>
    <s v="Website"/>
    <n v="2"/>
    <s v="California"/>
    <s v="San Diego County"/>
    <n v="4"/>
    <n v="12"/>
    <x v="2"/>
  </r>
  <r>
    <x v="2091"/>
    <x v="0"/>
    <n v="6"/>
    <n v="13.2"/>
    <n v="79.199999999999989"/>
    <d v="2025-03-18T00:00:00"/>
    <d v="2025-03-22T00:00:00"/>
    <x v="1"/>
    <s v="Target.com"/>
    <n v="4"/>
    <s v="California"/>
    <s v="San Diego County"/>
    <n v="4"/>
    <n v="12"/>
    <x v="1"/>
  </r>
  <r>
    <x v="2092"/>
    <x v="6"/>
    <n v="3"/>
    <n v="52.3"/>
    <n v="156.89999999999998"/>
    <d v="2025-03-18T00:00:00"/>
    <d v="2025-03-19T00:00:00"/>
    <x v="1"/>
    <s v="Website"/>
    <n v="4"/>
    <s v="California"/>
    <s v="San Diego County"/>
    <n v="1"/>
    <n v="12"/>
    <x v="1"/>
  </r>
  <r>
    <x v="2093"/>
    <x v="8"/>
    <n v="2"/>
    <n v="15.7"/>
    <n v="31.4"/>
    <d v="2025-03-18T00:00:00"/>
    <d v="2025-03-21T00:00:00"/>
    <x v="1"/>
    <s v="Website"/>
    <n v="5"/>
    <s v="California"/>
    <s v="San Diego County"/>
    <n v="3"/>
    <n v="12"/>
    <x v="1"/>
  </r>
  <r>
    <x v="2094"/>
    <x v="7"/>
    <n v="3"/>
    <n v="35"/>
    <n v="105"/>
    <d v="2025-03-18T00:00:00"/>
    <d v="2025-03-21T00:00:00"/>
    <x v="2"/>
    <s v="Website"/>
    <n v="5"/>
    <s v="California"/>
    <s v="San Mateo County"/>
    <n v="3"/>
    <n v="12"/>
    <x v="2"/>
  </r>
  <r>
    <x v="2095"/>
    <x v="4"/>
    <n v="3"/>
    <n v="26.6"/>
    <n v="79.800000000000011"/>
    <d v="2025-03-18T00:00:00"/>
    <d v="2025-03-18T00:00:00"/>
    <x v="1"/>
    <s v="Website"/>
    <n v="5"/>
    <s v="California"/>
    <s v="Santa Clara County"/>
    <n v="0"/>
    <n v="12"/>
    <x v="1"/>
  </r>
  <r>
    <x v="2096"/>
    <x v="4"/>
    <n v="8"/>
    <n v="47.9"/>
    <n v="383.2"/>
    <d v="2025-03-19T00:00:00"/>
    <d v="2025-03-20T00:00:00"/>
    <x v="2"/>
    <s v="Instagram"/>
    <n v="5"/>
    <s v="California"/>
    <s v="Tulare County"/>
    <n v="1"/>
    <n v="12"/>
    <x v="2"/>
  </r>
  <r>
    <x v="2097"/>
    <x v="5"/>
    <n v="1"/>
    <n v="80.099999999999994"/>
    <n v="80.099999999999994"/>
    <d v="2025-03-19T00:00:00"/>
    <d v="2025-03-20T00:00:00"/>
    <x v="1"/>
    <s v="Target.com"/>
    <n v="4"/>
    <s v="California"/>
    <s v="Alameda County"/>
    <n v="1"/>
    <n v="12"/>
    <x v="1"/>
  </r>
  <r>
    <x v="2098"/>
    <x v="6"/>
    <n v="5"/>
    <n v="50.4"/>
    <n v="252"/>
    <d v="2025-03-19T00:00:00"/>
    <d v="2025-03-20T00:00:00"/>
    <x v="1"/>
    <s v="Website"/>
    <n v="5"/>
    <s v="California"/>
    <s v="Alameda County"/>
    <n v="1"/>
    <n v="12"/>
    <x v="1"/>
  </r>
  <r>
    <x v="2099"/>
    <x v="10"/>
    <n v="7"/>
    <n v="43.3"/>
    <n v="303.09999999999997"/>
    <d v="2025-03-19T00:00:00"/>
    <d v="2025-03-20T00:00:00"/>
    <x v="1"/>
    <s v="Target.com"/>
    <n v="4"/>
    <s v="California"/>
    <s v="Alameda County"/>
    <n v="1"/>
    <n v="12"/>
    <x v="1"/>
  </r>
  <r>
    <x v="2100"/>
    <x v="10"/>
    <n v="4"/>
    <n v="57.5"/>
    <n v="230"/>
    <d v="2025-03-19T00:00:00"/>
    <d v="2025-03-20T00:00:00"/>
    <x v="2"/>
    <s v="Website"/>
    <n v="5"/>
    <s v="California"/>
    <s v="Contra Costa County"/>
    <n v="1"/>
    <n v="12"/>
    <x v="2"/>
  </r>
  <r>
    <x v="2101"/>
    <x v="9"/>
    <n v="13"/>
    <n v="24.8"/>
    <n v="322.40000000000003"/>
    <d v="2025-03-19T00:00:00"/>
    <d v="2025-03-20T00:00:00"/>
    <x v="1"/>
    <s v="App"/>
    <n v="4"/>
    <s v="California"/>
    <s v="Del Norte County"/>
    <n v="1"/>
    <n v="12"/>
    <x v="1"/>
  </r>
  <r>
    <x v="2102"/>
    <x v="2"/>
    <n v="9"/>
    <n v="85.7"/>
    <n v="771.30000000000007"/>
    <d v="2025-03-19T00:00:00"/>
    <d v="2025-03-20T00:00:00"/>
    <x v="2"/>
    <s v="App"/>
    <n v="4"/>
    <s v="California"/>
    <s v="El Dorado County"/>
    <n v="1"/>
    <n v="12"/>
    <x v="2"/>
  </r>
  <r>
    <x v="2103"/>
    <x v="7"/>
    <n v="1"/>
    <n v="47.1"/>
    <n v="47.1"/>
    <d v="2025-03-19T00:00:00"/>
    <d v="2025-03-21T00:00:00"/>
    <x v="2"/>
    <s v="App"/>
    <n v="4"/>
    <s v="California"/>
    <s v="Fresno County"/>
    <n v="2"/>
    <n v="12"/>
    <x v="2"/>
  </r>
  <r>
    <x v="2104"/>
    <x v="5"/>
    <n v="10"/>
    <n v="83.2"/>
    <n v="832"/>
    <d v="2025-03-19T00:00:00"/>
    <d v="2025-03-23T00:00:00"/>
    <x v="2"/>
    <s v="App"/>
    <n v="4"/>
    <s v="California"/>
    <s v="Imperial County"/>
    <n v="4"/>
    <n v="12"/>
    <x v="2"/>
  </r>
  <r>
    <x v="2105"/>
    <x v="2"/>
    <n v="3"/>
    <n v="157"/>
    <n v="471"/>
    <d v="2025-03-19T00:00:00"/>
    <d v="2025-03-21T00:00:00"/>
    <x v="2"/>
    <s v="App"/>
    <n v="5"/>
    <s v="California"/>
    <s v="Kern County"/>
    <n v="2"/>
    <n v="12"/>
    <x v="2"/>
  </r>
  <r>
    <x v="2106"/>
    <x v="16"/>
    <n v="4"/>
    <n v="33.700000000000003"/>
    <n v="134.80000000000001"/>
    <d v="2025-03-19T00:00:00"/>
    <d v="2025-03-20T00:00:00"/>
    <x v="1"/>
    <s v="Target.com"/>
    <n v="5"/>
    <s v="California"/>
    <s v="Kern County"/>
    <n v="1"/>
    <n v="12"/>
    <x v="1"/>
  </r>
  <r>
    <x v="2107"/>
    <x v="2"/>
    <n v="3"/>
    <n v="60.8"/>
    <n v="182.39999999999998"/>
    <d v="2025-03-19T00:00:00"/>
    <d v="2025-03-23T00:00:00"/>
    <x v="2"/>
    <s v="Website"/>
    <n v="3"/>
    <s v="California"/>
    <s v="Los Angeles County"/>
    <n v="4"/>
    <n v="12"/>
    <x v="2"/>
  </r>
  <r>
    <x v="2108"/>
    <x v="7"/>
    <n v="1"/>
    <n v="57.6"/>
    <n v="57.6"/>
    <d v="2025-03-19T00:00:00"/>
    <d v="2025-03-20T00:00:00"/>
    <x v="1"/>
    <s v="Website"/>
    <n v="2"/>
    <s v="California"/>
    <s v="Los Angeles County"/>
    <n v="1"/>
    <n v="12"/>
    <x v="1"/>
  </r>
  <r>
    <x v="2109"/>
    <x v="10"/>
    <n v="1"/>
    <n v="32"/>
    <n v="32"/>
    <d v="2025-03-19T00:00:00"/>
    <d v="2025-03-21T00:00:00"/>
    <x v="1"/>
    <s v="App"/>
    <n v="4"/>
    <s v="California"/>
    <s v="Los Angeles County"/>
    <n v="2"/>
    <n v="12"/>
    <x v="1"/>
  </r>
  <r>
    <x v="2110"/>
    <x v="10"/>
    <n v="4"/>
    <n v="23.5"/>
    <n v="94"/>
    <d v="2025-03-19T00:00:00"/>
    <d v="2025-03-20T00:00:00"/>
    <x v="2"/>
    <s v="App"/>
    <n v="5"/>
    <s v="California"/>
    <s v="Los Angeles County"/>
    <n v="1"/>
    <n v="12"/>
    <x v="2"/>
  </r>
  <r>
    <x v="2111"/>
    <x v="12"/>
    <n v="3"/>
    <n v="44.8"/>
    <n v="134.39999999999998"/>
    <d v="2025-03-19T00:00:00"/>
    <d v="2025-03-20T00:00:00"/>
    <x v="3"/>
    <s v="Partner App"/>
    <n v="4"/>
    <s v="California"/>
    <s v="Los Angeles County"/>
    <n v="1"/>
    <n v="12"/>
    <x v="3"/>
  </r>
  <r>
    <x v="2112"/>
    <x v="0"/>
    <n v="8"/>
    <n v="11.7"/>
    <n v="93.6"/>
    <d v="2025-03-19T00:00:00"/>
    <d v="2025-03-20T00:00:00"/>
    <x v="1"/>
    <s v="Target.com"/>
    <n v="5"/>
    <s v="California"/>
    <s v="Los Angeles County"/>
    <n v="1"/>
    <n v="12"/>
    <x v="1"/>
  </r>
  <r>
    <x v="2113"/>
    <x v="7"/>
    <n v="2"/>
    <n v="38.799999999999997"/>
    <n v="77.599999999999994"/>
    <d v="2025-03-19T00:00:00"/>
    <d v="2025-03-22T00:00:00"/>
    <x v="2"/>
    <s v="Target.com"/>
    <n v="4"/>
    <s v="California"/>
    <s v="Los Angeles County"/>
    <n v="3"/>
    <n v="12"/>
    <x v="2"/>
  </r>
  <r>
    <x v="2114"/>
    <x v="5"/>
    <n v="14"/>
    <n v="86.9"/>
    <n v="1216.6000000000001"/>
    <d v="2025-03-19T00:00:00"/>
    <d v="2025-03-24T00:00:00"/>
    <x v="2"/>
    <s v="Website"/>
    <n v="4"/>
    <s v="California"/>
    <s v="Los Angeles County"/>
    <n v="5"/>
    <n v="12"/>
    <x v="2"/>
  </r>
  <r>
    <x v="2115"/>
    <x v="8"/>
    <n v="1"/>
    <n v="18.3"/>
    <n v="18.3"/>
    <d v="2025-03-19T00:00:00"/>
    <d v="2025-03-20T00:00:00"/>
    <x v="2"/>
    <s v="App"/>
    <n v="4"/>
    <s v="California"/>
    <s v="Los Angeles County"/>
    <n v="1"/>
    <n v="12"/>
    <x v="2"/>
  </r>
  <r>
    <x v="2116"/>
    <x v="5"/>
    <n v="1"/>
    <n v="47.5"/>
    <n v="47.5"/>
    <d v="2025-03-19T00:00:00"/>
    <d v="2025-03-23T00:00:00"/>
    <x v="1"/>
    <s v="Partner App"/>
    <n v="5"/>
    <s v="California"/>
    <s v="Los Angeles County"/>
    <n v="4"/>
    <n v="12"/>
    <x v="1"/>
  </r>
  <r>
    <x v="2117"/>
    <x v="1"/>
    <n v="2"/>
    <n v="78.599999999999994"/>
    <n v="157.19999999999999"/>
    <d v="2025-03-19T00:00:00"/>
    <d v="2025-03-20T00:00:00"/>
    <x v="1"/>
    <s v="Target.com"/>
    <n v="5"/>
    <s v="California"/>
    <s v="Los Angeles County"/>
    <n v="1"/>
    <n v="12"/>
    <x v="1"/>
  </r>
  <r>
    <x v="2118"/>
    <x v="6"/>
    <n v="4"/>
    <n v="87.3"/>
    <n v="349.2"/>
    <d v="2025-03-19T00:00:00"/>
    <d v="2025-03-20T00:00:00"/>
    <x v="1"/>
    <s v="App"/>
    <n v="4"/>
    <s v="California"/>
    <s v="Los Angeles County"/>
    <n v="1"/>
    <n v="12"/>
    <x v="1"/>
  </r>
  <r>
    <x v="2119"/>
    <x v="9"/>
    <n v="2"/>
    <n v="63.2"/>
    <n v="126.4"/>
    <d v="2025-03-19T00:00:00"/>
    <d v="2025-03-19T00:00:00"/>
    <x v="1"/>
    <s v="Partner App"/>
    <n v="3"/>
    <s v="California"/>
    <s v="Los Angeles County"/>
    <n v="0"/>
    <n v="12"/>
    <x v="1"/>
  </r>
  <r>
    <x v="2120"/>
    <x v="5"/>
    <n v="5"/>
    <n v="33.700000000000003"/>
    <n v="168.5"/>
    <d v="2025-03-19T00:00:00"/>
    <d v="2025-03-20T00:00:00"/>
    <x v="2"/>
    <s v="App"/>
    <n v="4"/>
    <s v="California"/>
    <s v="Los Angeles County"/>
    <n v="1"/>
    <n v="12"/>
    <x v="2"/>
  </r>
  <r>
    <x v="2121"/>
    <x v="2"/>
    <n v="3"/>
    <n v="107.4"/>
    <n v="322.20000000000005"/>
    <d v="2025-03-19T00:00:00"/>
    <d v="2025-04-01T00:00:00"/>
    <x v="2"/>
    <s v="Website"/>
    <n v="5"/>
    <s v="California"/>
    <s v="Los Angeles County"/>
    <n v="13"/>
    <n v="12"/>
    <x v="2"/>
  </r>
  <r>
    <x v="2122"/>
    <x v="4"/>
    <n v="4"/>
    <n v="22.2"/>
    <n v="88.8"/>
    <d v="2025-03-19T00:00:00"/>
    <d v="2025-03-20T00:00:00"/>
    <x v="0"/>
    <s v="Website"/>
    <n v="5"/>
    <s v="California"/>
    <s v="Merced County"/>
    <n v="1"/>
    <n v="12"/>
    <x v="0"/>
  </r>
  <r>
    <x v="2123"/>
    <x v="18"/>
    <n v="3"/>
    <n v="52.8"/>
    <n v="158.39999999999998"/>
    <d v="2025-03-19T00:00:00"/>
    <d v="2025-03-20T00:00:00"/>
    <x v="1"/>
    <s v="Instagram"/>
    <n v="5"/>
    <s v="California"/>
    <s v="Merced County"/>
    <n v="1"/>
    <n v="12"/>
    <x v="1"/>
  </r>
  <r>
    <x v="2124"/>
    <x v="8"/>
    <n v="3"/>
    <n v="41.5"/>
    <n v="124.5"/>
    <d v="2025-03-19T00:00:00"/>
    <d v="2025-03-22T00:00:00"/>
    <x v="2"/>
    <s v="App"/>
    <n v="4"/>
    <s v="California"/>
    <s v="Orange County"/>
    <n v="3"/>
    <n v="12"/>
    <x v="2"/>
  </r>
  <r>
    <x v="2125"/>
    <x v="12"/>
    <n v="8"/>
    <n v="103.5"/>
    <n v="828"/>
    <d v="2025-03-19T00:00:00"/>
    <d v="2025-03-22T00:00:00"/>
    <x v="2"/>
    <s v="App"/>
    <n v="5"/>
    <s v="California"/>
    <s v="Riverside County"/>
    <n v="3"/>
    <n v="12"/>
    <x v="2"/>
  </r>
  <r>
    <x v="2126"/>
    <x v="4"/>
    <n v="14"/>
    <n v="37.5"/>
    <n v="525"/>
    <d v="2025-03-19T00:00:00"/>
    <d v="2025-03-19T00:00:00"/>
    <x v="2"/>
    <s v="Website"/>
    <n v="5"/>
    <s v="California"/>
    <s v="Sacramento County"/>
    <n v="0"/>
    <n v="12"/>
    <x v="2"/>
  </r>
  <r>
    <x v="2127"/>
    <x v="15"/>
    <n v="8"/>
    <n v="44.4"/>
    <n v="355.2"/>
    <d v="2025-03-19T00:00:00"/>
    <d v="2025-03-25T00:00:00"/>
    <x v="2"/>
    <s v="Instagram"/>
    <n v="5"/>
    <s v="California"/>
    <s v="San Bernardino County"/>
    <n v="6"/>
    <n v="12"/>
    <x v="2"/>
  </r>
  <r>
    <x v="2128"/>
    <x v="8"/>
    <n v="3"/>
    <n v="26.2"/>
    <n v="78.599999999999994"/>
    <d v="2025-03-19T00:00:00"/>
    <d v="2025-03-20T00:00:00"/>
    <x v="1"/>
    <s v="App"/>
    <n v="4"/>
    <s v="California"/>
    <s v="San Diego County"/>
    <n v="1"/>
    <n v="12"/>
    <x v="1"/>
  </r>
  <r>
    <x v="2129"/>
    <x v="1"/>
    <n v="7"/>
    <n v="32.200000000000003"/>
    <n v="225.40000000000003"/>
    <d v="2025-03-19T00:00:00"/>
    <d v="2025-03-20T00:00:00"/>
    <x v="2"/>
    <s v="Website"/>
    <n v="5"/>
    <s v="California"/>
    <s v="San Diego County"/>
    <n v="1"/>
    <n v="12"/>
    <x v="2"/>
  </r>
  <r>
    <x v="2130"/>
    <x v="8"/>
    <n v="1"/>
    <n v="17.399999999999999"/>
    <n v="17.399999999999999"/>
    <d v="2025-03-19T00:00:00"/>
    <d v="2025-03-23T00:00:00"/>
    <x v="0"/>
    <s v="Target.com"/>
    <n v="3"/>
    <s v="California"/>
    <s v="San Diego County"/>
    <n v="4"/>
    <n v="12"/>
    <x v="0"/>
  </r>
  <r>
    <x v="2131"/>
    <x v="8"/>
    <n v="6"/>
    <n v="72.3"/>
    <n v="433.79999999999995"/>
    <d v="2025-03-19T00:00:00"/>
    <d v="2025-03-22T00:00:00"/>
    <x v="2"/>
    <s v="App"/>
    <n v="4"/>
    <s v="California"/>
    <s v="San Diego County"/>
    <n v="3"/>
    <n v="12"/>
    <x v="2"/>
  </r>
  <r>
    <x v="2132"/>
    <x v="8"/>
    <n v="11"/>
    <n v="24.3"/>
    <n v="267.3"/>
    <d v="2025-03-19T00:00:00"/>
    <d v="2025-03-20T00:00:00"/>
    <x v="1"/>
    <s v="App"/>
    <n v="4"/>
    <s v="California"/>
    <s v="San Diego County"/>
    <n v="1"/>
    <n v="12"/>
    <x v="1"/>
  </r>
  <r>
    <x v="2133"/>
    <x v="13"/>
    <n v="3"/>
    <n v="49.1"/>
    <n v="147.30000000000001"/>
    <d v="2025-03-19T00:00:00"/>
    <d v="2025-03-25T00:00:00"/>
    <x v="1"/>
    <s v="Target.com"/>
    <n v="2"/>
    <s v="California"/>
    <s v="San Diego County"/>
    <n v="6"/>
    <n v="12"/>
    <x v="1"/>
  </r>
  <r>
    <x v="2134"/>
    <x v="2"/>
    <n v="10"/>
    <n v="234.7"/>
    <n v="2347"/>
    <d v="2025-03-19T00:00:00"/>
    <d v="2025-03-20T00:00:00"/>
    <x v="1"/>
    <s v="Instagram"/>
    <n v="3"/>
    <s v="California"/>
    <s v="San Diego County"/>
    <n v="1"/>
    <n v="12"/>
    <x v="1"/>
  </r>
  <r>
    <x v="2135"/>
    <x v="3"/>
    <n v="5"/>
    <n v="76.099999999999994"/>
    <n v="380.5"/>
    <d v="2025-03-19T00:00:00"/>
    <d v="2025-03-21T00:00:00"/>
    <x v="1"/>
    <s v="Website"/>
    <n v="3"/>
    <s v="California"/>
    <s v="San Francisco"/>
    <n v="2"/>
    <n v="12"/>
    <x v="1"/>
  </r>
  <r>
    <x v="2136"/>
    <x v="1"/>
    <n v="3"/>
    <n v="93.9"/>
    <n v="281.70000000000005"/>
    <d v="2025-03-19T00:00:00"/>
    <d v="2025-03-20T00:00:00"/>
    <x v="1"/>
    <s v="Website"/>
    <n v="2"/>
    <s v="California"/>
    <s v="Santa Clara County"/>
    <n v="1"/>
    <n v="12"/>
    <x v="1"/>
  </r>
  <r>
    <x v="2137"/>
    <x v="2"/>
    <n v="4"/>
    <n v="187"/>
    <n v="748"/>
    <d v="2025-03-20T00:00:00"/>
    <d v="2025-03-23T00:00:00"/>
    <x v="1"/>
    <s v="App"/>
    <n v="4"/>
    <s v="California"/>
    <s v="Santa Clara County"/>
    <n v="3"/>
    <n v="12"/>
    <x v="1"/>
  </r>
  <r>
    <x v="2138"/>
    <x v="8"/>
    <n v="2"/>
    <n v="18"/>
    <n v="36"/>
    <d v="2025-03-20T00:00:00"/>
    <d v="2025-03-21T00:00:00"/>
    <x v="2"/>
    <s v="Website"/>
    <n v="5"/>
    <s v="California"/>
    <s v="Shasta County"/>
    <n v="1"/>
    <n v="12"/>
    <x v="2"/>
  </r>
  <r>
    <x v="2139"/>
    <x v="4"/>
    <n v="1"/>
    <n v="24.4"/>
    <n v="24.4"/>
    <d v="2025-03-20T00:00:00"/>
    <d v="2025-03-21T00:00:00"/>
    <x v="2"/>
    <s v="Partner App"/>
    <n v="5"/>
    <s v="California"/>
    <s v="Alameda County"/>
    <n v="1"/>
    <n v="12"/>
    <x v="2"/>
  </r>
  <r>
    <x v="2140"/>
    <x v="10"/>
    <n v="2"/>
    <n v="38.799999999999997"/>
    <n v="77.599999999999994"/>
    <d v="2025-03-20T00:00:00"/>
    <d v="2025-03-21T00:00:00"/>
    <x v="1"/>
    <s v="Partner App"/>
    <n v="3"/>
    <s v="California"/>
    <s v="Los Angeles County"/>
    <n v="1"/>
    <n v="12"/>
    <x v="1"/>
  </r>
  <r>
    <x v="2141"/>
    <x v="3"/>
    <n v="1"/>
    <n v="59.7"/>
    <n v="59.7"/>
    <d v="2025-03-20T00:00:00"/>
    <d v="2025-03-23T00:00:00"/>
    <x v="1"/>
    <s v="Instagram"/>
    <n v="4"/>
    <s v="California"/>
    <s v="Los Angeles County"/>
    <n v="3"/>
    <n v="12"/>
    <x v="1"/>
  </r>
  <r>
    <x v="2142"/>
    <x v="7"/>
    <n v="1"/>
    <n v="31.2"/>
    <n v="31.2"/>
    <d v="2025-03-20T00:00:00"/>
    <d v="2025-03-21T00:00:00"/>
    <x v="1"/>
    <s v="Website"/>
    <n v="5"/>
    <s v="California"/>
    <s v="Los Angeles County"/>
    <n v="1"/>
    <n v="12"/>
    <x v="1"/>
  </r>
  <r>
    <x v="2143"/>
    <x v="0"/>
    <n v="1"/>
    <n v="16.8"/>
    <n v="16.8"/>
    <d v="2025-03-20T00:00:00"/>
    <d v="2025-03-21T00:00:00"/>
    <x v="2"/>
    <s v="Target.com"/>
    <n v="3"/>
    <s v="California"/>
    <s v="Los Angeles County"/>
    <n v="1"/>
    <n v="12"/>
    <x v="2"/>
  </r>
  <r>
    <x v="2144"/>
    <x v="8"/>
    <n v="1"/>
    <n v="46"/>
    <n v="46"/>
    <d v="2025-03-20T00:00:00"/>
    <d v="2025-03-21T00:00:00"/>
    <x v="1"/>
    <s v="App"/>
    <n v="4"/>
    <s v="California"/>
    <s v="Los Angeles County"/>
    <n v="1"/>
    <n v="12"/>
    <x v="1"/>
  </r>
  <r>
    <x v="2145"/>
    <x v="9"/>
    <n v="8"/>
    <n v="42.2"/>
    <n v="337.6"/>
    <d v="2025-03-20T00:00:00"/>
    <d v="2025-03-23T00:00:00"/>
    <x v="2"/>
    <s v="Instagram"/>
    <n v="5"/>
    <s v="California"/>
    <s v="Los Angeles County"/>
    <n v="3"/>
    <n v="12"/>
    <x v="2"/>
  </r>
  <r>
    <x v="2146"/>
    <x v="1"/>
    <n v="3"/>
    <n v="71.5"/>
    <n v="214.5"/>
    <d v="2025-03-20T00:00:00"/>
    <d v="2025-04-03T00:00:00"/>
    <x v="2"/>
    <s v="App"/>
    <n v="4"/>
    <s v="California"/>
    <s v="Los Angeles County"/>
    <n v="14"/>
    <n v="12"/>
    <x v="2"/>
  </r>
  <r>
    <x v="2147"/>
    <x v="1"/>
    <n v="2"/>
    <n v="76.599999999999994"/>
    <n v="153.19999999999999"/>
    <d v="2025-03-20T00:00:00"/>
    <d v="2025-03-20T00:00:00"/>
    <x v="1"/>
    <s v="App"/>
    <n v="5"/>
    <s v="California"/>
    <s v="Los Angeles County"/>
    <n v="0"/>
    <n v="12"/>
    <x v="1"/>
  </r>
  <r>
    <x v="2148"/>
    <x v="12"/>
    <n v="2"/>
    <n v="87.3"/>
    <n v="174.6"/>
    <d v="2025-03-20T00:00:00"/>
    <d v="2025-03-28T00:00:00"/>
    <x v="2"/>
    <s v="Instagram"/>
    <n v="5"/>
    <s v="California"/>
    <s v="Los Angeles County"/>
    <n v="8"/>
    <n v="12"/>
    <x v="2"/>
  </r>
  <r>
    <x v="2149"/>
    <x v="1"/>
    <n v="1"/>
    <n v="63"/>
    <n v="63"/>
    <d v="2025-03-20T00:00:00"/>
    <d v="2025-03-23T00:00:00"/>
    <x v="1"/>
    <s v="Instagram"/>
    <n v="4"/>
    <s v="California"/>
    <s v="Los Angeles County"/>
    <n v="3"/>
    <n v="12"/>
    <x v="1"/>
  </r>
  <r>
    <x v="2150"/>
    <x v="8"/>
    <n v="2"/>
    <n v="41.7"/>
    <n v="83.4"/>
    <d v="2025-03-20T00:00:00"/>
    <d v="2025-03-21T00:00:00"/>
    <x v="2"/>
    <s v="Partner App"/>
    <n v="3"/>
    <s v="California"/>
    <s v="Marin County"/>
    <n v="1"/>
    <n v="12"/>
    <x v="2"/>
  </r>
  <r>
    <x v="2151"/>
    <x v="6"/>
    <n v="2"/>
    <n v="76.099999999999994"/>
    <n v="152.19999999999999"/>
    <d v="2025-03-20T00:00:00"/>
    <d v="2025-03-20T00:00:00"/>
    <x v="2"/>
    <s v="Partner App"/>
    <n v="5"/>
    <s v="California"/>
    <s v="Napa County"/>
    <n v="0"/>
    <n v="12"/>
    <x v="2"/>
  </r>
  <r>
    <x v="2152"/>
    <x v="13"/>
    <n v="2"/>
    <n v="28.5"/>
    <n v="57"/>
    <d v="2025-03-20T00:00:00"/>
    <d v="2025-03-21T00:00:00"/>
    <x v="2"/>
    <s v="App"/>
    <n v="5"/>
    <s v="California"/>
    <s v="Nevada County"/>
    <n v="1"/>
    <n v="12"/>
    <x v="2"/>
  </r>
  <r>
    <x v="2153"/>
    <x v="0"/>
    <n v="4"/>
    <n v="32.1"/>
    <n v="128.4"/>
    <d v="2025-03-20T00:00:00"/>
    <d v="2025-03-21T00:00:00"/>
    <x v="2"/>
    <s v="Website"/>
    <n v="5"/>
    <s v="California"/>
    <s v="Orange County"/>
    <n v="1"/>
    <n v="12"/>
    <x v="2"/>
  </r>
  <r>
    <x v="2154"/>
    <x v="4"/>
    <n v="3"/>
    <n v="39"/>
    <n v="117"/>
    <d v="2025-03-20T00:00:00"/>
    <d v="2025-03-23T00:00:00"/>
    <x v="1"/>
    <s v="Website"/>
    <n v="5"/>
    <s v="California"/>
    <s v="Orange County"/>
    <n v="3"/>
    <n v="12"/>
    <x v="1"/>
  </r>
  <r>
    <x v="2155"/>
    <x v="6"/>
    <n v="1"/>
    <n v="78.5"/>
    <n v="78.5"/>
    <d v="2025-03-20T00:00:00"/>
    <d v="2025-03-21T00:00:00"/>
    <x v="1"/>
    <s v="Website"/>
    <n v="4"/>
    <s v="California"/>
    <s v="Sacramento County"/>
    <n v="1"/>
    <n v="12"/>
    <x v="1"/>
  </r>
  <r>
    <x v="2156"/>
    <x v="4"/>
    <n v="5"/>
    <n v="49.7"/>
    <n v="248.5"/>
    <d v="2025-03-20T00:00:00"/>
    <d v="2025-03-22T00:00:00"/>
    <x v="2"/>
    <s v="App"/>
    <n v="4"/>
    <s v="California"/>
    <s v="Sacramento County"/>
    <n v="2"/>
    <n v="12"/>
    <x v="2"/>
  </r>
  <r>
    <x v="2157"/>
    <x v="1"/>
    <n v="4"/>
    <n v="68.400000000000006"/>
    <n v="273.60000000000002"/>
    <d v="2025-03-20T00:00:00"/>
    <d v="2025-03-21T00:00:00"/>
    <x v="2"/>
    <s v="Target.com"/>
    <n v="5"/>
    <s v="California"/>
    <s v="San Bernardino County"/>
    <n v="1"/>
    <n v="12"/>
    <x v="2"/>
  </r>
  <r>
    <x v="2158"/>
    <x v="3"/>
    <n v="2"/>
    <n v="72.900000000000006"/>
    <n v="145.80000000000001"/>
    <d v="2025-03-20T00:00:00"/>
    <d v="2025-03-23T00:00:00"/>
    <x v="0"/>
    <s v="App"/>
    <n v="5"/>
    <s v="California"/>
    <s v="San Bernardino County"/>
    <n v="3"/>
    <n v="12"/>
    <x v="0"/>
  </r>
  <r>
    <x v="2159"/>
    <x v="5"/>
    <n v="13"/>
    <n v="30.3"/>
    <n v="393.90000000000003"/>
    <d v="2025-03-20T00:00:00"/>
    <d v="2025-03-21T00:00:00"/>
    <x v="1"/>
    <s v="Partner App"/>
    <n v="4"/>
    <s v="California"/>
    <s v="San Bernardino County"/>
    <n v="1"/>
    <n v="12"/>
    <x v="1"/>
  </r>
  <r>
    <x v="2160"/>
    <x v="6"/>
    <n v="11"/>
    <n v="57.9"/>
    <n v="636.9"/>
    <d v="2025-03-20T00:00:00"/>
    <d v="2025-03-21T00:00:00"/>
    <x v="2"/>
    <s v="App"/>
    <n v="4"/>
    <s v="California"/>
    <s v="San Diego County"/>
    <n v="1"/>
    <n v="12"/>
    <x v="2"/>
  </r>
  <r>
    <x v="2161"/>
    <x v="1"/>
    <n v="1"/>
    <n v="96.7"/>
    <n v="96.7"/>
    <d v="2025-03-20T00:00:00"/>
    <d v="2025-03-21T00:00:00"/>
    <x v="1"/>
    <s v="App"/>
    <n v="4"/>
    <s v="California"/>
    <s v="San Diego County"/>
    <n v="1"/>
    <n v="12"/>
    <x v="1"/>
  </r>
  <r>
    <x v="2162"/>
    <x v="8"/>
    <n v="12"/>
    <n v="27.6"/>
    <n v="331.20000000000005"/>
    <d v="2025-03-20T00:00:00"/>
    <d v="2025-03-22T00:00:00"/>
    <x v="1"/>
    <s v="Target.com"/>
    <n v="5"/>
    <s v="California"/>
    <s v="San Diego County"/>
    <n v="2"/>
    <n v="12"/>
    <x v="1"/>
  </r>
  <r>
    <x v="2163"/>
    <x v="6"/>
    <n v="4"/>
    <n v="64.7"/>
    <n v="258.8"/>
    <d v="2025-03-20T00:00:00"/>
    <d v="2025-03-20T00:00:00"/>
    <x v="1"/>
    <s v="Instagram"/>
    <n v="5"/>
    <s v="California"/>
    <s v="San Diego County"/>
    <n v="0"/>
    <n v="12"/>
    <x v="1"/>
  </r>
  <r>
    <x v="2164"/>
    <x v="10"/>
    <n v="6"/>
    <n v="30.5"/>
    <n v="183"/>
    <d v="2025-03-20T00:00:00"/>
    <d v="2025-03-21T00:00:00"/>
    <x v="1"/>
    <s v="Partner App"/>
    <n v="4"/>
    <s v="California"/>
    <s v="San Diego County"/>
    <n v="1"/>
    <n v="12"/>
    <x v="1"/>
  </r>
  <r>
    <x v="2165"/>
    <x v="6"/>
    <n v="70"/>
    <n v="106"/>
    <n v="7420"/>
    <d v="2025-03-21T00:00:00"/>
    <d v="2025-03-23T00:00:00"/>
    <x v="1"/>
    <s v="Partner App"/>
    <n v="5"/>
    <s v="California"/>
    <s v="San Diego County"/>
    <n v="2"/>
    <n v="12"/>
    <x v="1"/>
  </r>
  <r>
    <x v="2166"/>
    <x v="12"/>
    <n v="5"/>
    <n v="76.8"/>
    <n v="384"/>
    <d v="2025-03-21T00:00:00"/>
    <d v="2025-03-27T00:00:00"/>
    <x v="0"/>
    <s v="Website"/>
    <n v="3"/>
    <s v="California"/>
    <s v="Sonoma County"/>
    <n v="6"/>
    <n v="12"/>
    <x v="0"/>
  </r>
  <r>
    <x v="2167"/>
    <x v="6"/>
    <n v="2"/>
    <n v="80.400000000000006"/>
    <n v="160.80000000000001"/>
    <d v="2025-03-21T00:00:00"/>
    <d v="2025-03-22T00:00:00"/>
    <x v="2"/>
    <s v="Target.com"/>
    <n v="4"/>
    <s v="California"/>
    <s v="Ventura County"/>
    <n v="1"/>
    <n v="12"/>
    <x v="2"/>
  </r>
  <r>
    <x v="2168"/>
    <x v="6"/>
    <n v="4"/>
    <n v="69.099999999999994"/>
    <n v="276.39999999999998"/>
    <d v="2025-03-21T00:00:00"/>
    <d v="2025-03-22T00:00:00"/>
    <x v="1"/>
    <s v="Website"/>
    <n v="5"/>
    <s v="California"/>
    <s v="Alameda County"/>
    <n v="1"/>
    <n v="12"/>
    <x v="1"/>
  </r>
  <r>
    <x v="2169"/>
    <x v="18"/>
    <n v="2"/>
    <n v="76.400000000000006"/>
    <n v="152.80000000000001"/>
    <d v="2025-03-21T00:00:00"/>
    <d v="2025-03-21T00:00:00"/>
    <x v="1"/>
    <s v="Instagram"/>
    <n v="4"/>
    <s v="California"/>
    <s v="Alameda County"/>
    <n v="0"/>
    <n v="12"/>
    <x v="1"/>
  </r>
  <r>
    <x v="2170"/>
    <x v="2"/>
    <n v="2"/>
    <n v="61.3"/>
    <n v="122.6"/>
    <d v="2025-03-21T00:00:00"/>
    <d v="2025-03-22T00:00:00"/>
    <x v="2"/>
    <s v="Website"/>
    <n v="3"/>
    <s v="California"/>
    <s v="Alameda County"/>
    <n v="1"/>
    <n v="12"/>
    <x v="2"/>
  </r>
  <r>
    <x v="2171"/>
    <x v="7"/>
    <n v="1"/>
    <n v="58"/>
    <n v="58"/>
    <d v="2025-03-21T00:00:00"/>
    <d v="2025-03-22T00:00:00"/>
    <x v="1"/>
    <s v="Instagram"/>
    <n v="3"/>
    <s v="California"/>
    <s v="Contra Costa County"/>
    <n v="1"/>
    <n v="12"/>
    <x v="1"/>
  </r>
  <r>
    <x v="2172"/>
    <x v="2"/>
    <n v="8"/>
    <n v="102.3"/>
    <n v="818.4"/>
    <d v="2025-03-21T00:00:00"/>
    <d v="2025-03-23T00:00:00"/>
    <x v="1"/>
    <s v="Target.com"/>
    <n v="4"/>
    <s v="California"/>
    <s v="El Dorado County"/>
    <n v="2"/>
    <n v="12"/>
    <x v="1"/>
  </r>
  <r>
    <x v="2173"/>
    <x v="19"/>
    <n v="2"/>
    <n v="13.8"/>
    <n v="27.6"/>
    <d v="2025-03-21T00:00:00"/>
    <d v="2025-03-22T00:00:00"/>
    <x v="2"/>
    <s v="Partner App"/>
    <n v="5"/>
    <s v="California"/>
    <s v="Fresno County"/>
    <n v="1"/>
    <n v="12"/>
    <x v="2"/>
  </r>
  <r>
    <x v="2174"/>
    <x v="8"/>
    <n v="3"/>
    <n v="33.299999999999997"/>
    <n v="99.899999999999991"/>
    <d v="2025-03-21T00:00:00"/>
    <d v="2025-03-24T00:00:00"/>
    <x v="2"/>
    <s v="Target.com"/>
    <n v="4"/>
    <s v="California"/>
    <s v="Kern County"/>
    <n v="3"/>
    <n v="12"/>
    <x v="2"/>
  </r>
  <r>
    <x v="2175"/>
    <x v="10"/>
    <n v="1"/>
    <n v="27.4"/>
    <n v="27.4"/>
    <d v="2025-03-21T00:00:00"/>
    <d v="2025-03-24T00:00:00"/>
    <x v="1"/>
    <s v="App"/>
    <n v="5"/>
    <s v="California"/>
    <s v="Kern County"/>
    <n v="3"/>
    <n v="12"/>
    <x v="1"/>
  </r>
  <r>
    <x v="2176"/>
    <x v="14"/>
    <n v="2"/>
    <n v="25.6"/>
    <n v="51.2"/>
    <d v="2025-03-21T00:00:00"/>
    <d v="2025-03-22T00:00:00"/>
    <x v="2"/>
    <s v="Website"/>
    <n v="3"/>
    <s v="California"/>
    <s v="Los Angeles County"/>
    <n v="1"/>
    <n v="12"/>
    <x v="2"/>
  </r>
  <r>
    <x v="2177"/>
    <x v="13"/>
    <n v="1"/>
    <n v="58.4"/>
    <n v="58.4"/>
    <d v="2025-03-21T00:00:00"/>
    <d v="2025-03-22T00:00:00"/>
    <x v="2"/>
    <s v="Target.com"/>
    <n v="5"/>
    <s v="California"/>
    <s v="Los Angeles County"/>
    <n v="1"/>
    <n v="12"/>
    <x v="2"/>
  </r>
  <r>
    <x v="2178"/>
    <x v="11"/>
    <n v="30"/>
    <n v="27"/>
    <n v="810"/>
    <d v="2025-03-21T00:00:00"/>
    <d v="2025-03-22T00:00:00"/>
    <x v="2"/>
    <s v="Partner App"/>
    <n v="4"/>
    <s v="California"/>
    <s v="Los Angeles County"/>
    <n v="1"/>
    <n v="12"/>
    <x v="2"/>
  </r>
  <r>
    <x v="2179"/>
    <x v="0"/>
    <n v="4"/>
    <n v="14.2"/>
    <n v="56.8"/>
    <d v="2025-03-21T00:00:00"/>
    <d v="2025-03-22T00:00:00"/>
    <x v="1"/>
    <s v="App"/>
    <n v="5"/>
    <s v="California"/>
    <s v="Los Angeles County"/>
    <n v="1"/>
    <n v="12"/>
    <x v="1"/>
  </r>
  <r>
    <x v="2180"/>
    <x v="7"/>
    <n v="2"/>
    <n v="68"/>
    <n v="136"/>
    <d v="2025-03-21T00:00:00"/>
    <d v="2025-03-31T00:00:00"/>
    <x v="1"/>
    <s v="Target.com"/>
    <n v="3"/>
    <s v="California"/>
    <s v="Los Angeles County"/>
    <n v="10"/>
    <n v="12"/>
    <x v="1"/>
  </r>
  <r>
    <x v="2181"/>
    <x v="8"/>
    <n v="1"/>
    <n v="30.7"/>
    <n v="30.7"/>
    <d v="2025-03-21T00:00:00"/>
    <d v="2025-03-22T00:00:00"/>
    <x v="1"/>
    <s v="App"/>
    <n v="4"/>
    <s v="California"/>
    <s v="Los Angeles County"/>
    <n v="1"/>
    <n v="12"/>
    <x v="1"/>
  </r>
  <r>
    <x v="2182"/>
    <x v="17"/>
    <n v="13"/>
    <n v="51.6"/>
    <n v="670.80000000000007"/>
    <d v="2025-03-21T00:00:00"/>
    <d v="2025-03-24T00:00:00"/>
    <x v="3"/>
    <s v="Website"/>
    <n v="5"/>
    <s v="California"/>
    <s v="Los Angeles County"/>
    <n v="3"/>
    <n v="12"/>
    <x v="3"/>
  </r>
  <r>
    <x v="2183"/>
    <x v="8"/>
    <n v="3"/>
    <n v="20.6"/>
    <n v="61.800000000000004"/>
    <d v="2025-03-21T00:00:00"/>
    <d v="2025-03-25T00:00:00"/>
    <x v="2"/>
    <s v="Partner App"/>
    <n v="5"/>
    <s v="California"/>
    <s v="Los Angeles County"/>
    <n v="4"/>
    <n v="12"/>
    <x v="2"/>
  </r>
  <r>
    <x v="2184"/>
    <x v="8"/>
    <n v="1"/>
    <n v="24.8"/>
    <n v="24.8"/>
    <d v="2025-03-21T00:00:00"/>
    <d v="2025-03-22T00:00:00"/>
    <x v="1"/>
    <s v="Partner App"/>
    <n v="4"/>
    <s v="California"/>
    <s v="Los Angeles County"/>
    <n v="1"/>
    <n v="12"/>
    <x v="1"/>
  </r>
  <r>
    <x v="2185"/>
    <x v="0"/>
    <n v="7"/>
    <n v="11.2"/>
    <n v="78.399999999999991"/>
    <d v="2025-03-21T00:00:00"/>
    <d v="2025-03-24T00:00:00"/>
    <x v="1"/>
    <s v="Website"/>
    <n v="4"/>
    <s v="California"/>
    <s v="Los Angeles County"/>
    <n v="3"/>
    <n v="12"/>
    <x v="1"/>
  </r>
  <r>
    <x v="2186"/>
    <x v="11"/>
    <n v="2"/>
    <n v="51.2"/>
    <n v="102.4"/>
    <d v="2025-03-21T00:00:00"/>
    <d v="2025-03-22T00:00:00"/>
    <x v="2"/>
    <s v="Website"/>
    <n v="5"/>
    <s v="California"/>
    <s v="Los Angeles County"/>
    <n v="1"/>
    <n v="12"/>
    <x v="2"/>
  </r>
  <r>
    <x v="2187"/>
    <x v="7"/>
    <n v="6"/>
    <n v="90.5"/>
    <n v="543"/>
    <d v="2025-03-21T00:00:00"/>
    <d v="2025-03-22T00:00:00"/>
    <x v="2"/>
    <s v="Website"/>
    <n v="2"/>
    <s v="California"/>
    <s v="Los Angeles County"/>
    <n v="1"/>
    <n v="12"/>
    <x v="2"/>
  </r>
  <r>
    <x v="2188"/>
    <x v="1"/>
    <n v="2"/>
    <n v="42.4"/>
    <n v="84.8"/>
    <d v="2025-03-21T00:00:00"/>
    <d v="2025-03-22T00:00:00"/>
    <x v="1"/>
    <s v="Website"/>
    <n v="5"/>
    <s v="California"/>
    <s v="Nevada County"/>
    <n v="1"/>
    <n v="12"/>
    <x v="1"/>
  </r>
  <r>
    <x v="2189"/>
    <x v="1"/>
    <n v="2"/>
    <n v="38.200000000000003"/>
    <n v="76.400000000000006"/>
    <d v="2025-03-21T00:00:00"/>
    <d v="2025-03-22T00:00:00"/>
    <x v="1"/>
    <s v="App"/>
    <n v="4"/>
    <s v="California"/>
    <s v="Placer County"/>
    <n v="1"/>
    <n v="12"/>
    <x v="1"/>
  </r>
  <r>
    <x v="2190"/>
    <x v="2"/>
    <n v="9"/>
    <n v="121.3"/>
    <n v="1091.7"/>
    <d v="2025-03-21T00:00:00"/>
    <d v="2025-03-26T00:00:00"/>
    <x v="1"/>
    <s v="App"/>
    <n v="4"/>
    <s v="California"/>
    <s v="Sacramento County"/>
    <n v="5"/>
    <n v="12"/>
    <x v="1"/>
  </r>
  <r>
    <x v="2191"/>
    <x v="6"/>
    <n v="2"/>
    <n v="46.9"/>
    <n v="93.8"/>
    <d v="2025-03-21T00:00:00"/>
    <d v="2025-03-28T00:00:00"/>
    <x v="1"/>
    <s v="App"/>
    <n v="4"/>
    <s v="California"/>
    <s v="San Diego County"/>
    <n v="7"/>
    <n v="12"/>
    <x v="1"/>
  </r>
  <r>
    <x v="2192"/>
    <x v="10"/>
    <n v="1"/>
    <n v="55.3"/>
    <n v="55.3"/>
    <d v="2025-03-21T00:00:00"/>
    <d v="2025-03-23T00:00:00"/>
    <x v="1"/>
    <s v="App"/>
    <n v="4"/>
    <s v="California"/>
    <s v="San Diego County"/>
    <n v="2"/>
    <n v="12"/>
    <x v="1"/>
  </r>
  <r>
    <x v="2193"/>
    <x v="2"/>
    <n v="3"/>
    <n v="70.599999999999994"/>
    <n v="211.79999999999998"/>
    <d v="2025-03-22T00:00:00"/>
    <d v="2025-03-22T00:00:00"/>
    <x v="2"/>
    <s v="App"/>
    <n v="3"/>
    <s v="California"/>
    <s v="San Diego County"/>
    <n v="0"/>
    <n v="12"/>
    <x v="2"/>
  </r>
  <r>
    <x v="2194"/>
    <x v="14"/>
    <n v="4"/>
    <n v="26.1"/>
    <n v="104.4"/>
    <d v="2025-03-22T00:00:00"/>
    <d v="2025-03-24T00:00:00"/>
    <x v="1"/>
    <s v="App"/>
    <n v="4"/>
    <s v="California"/>
    <s v="San Diego County"/>
    <n v="2"/>
    <n v="12"/>
    <x v="1"/>
  </r>
  <r>
    <x v="2195"/>
    <x v="9"/>
    <n v="11"/>
    <n v="34.5"/>
    <n v="379.5"/>
    <d v="2025-03-22T00:00:00"/>
    <d v="2025-03-26T00:00:00"/>
    <x v="1"/>
    <s v="Target.com"/>
    <n v="4"/>
    <s v="California"/>
    <s v="San Francisco"/>
    <n v="4"/>
    <n v="12"/>
    <x v="1"/>
  </r>
  <r>
    <x v="2196"/>
    <x v="1"/>
    <n v="2"/>
    <n v="64.2"/>
    <n v="128.4"/>
    <d v="2025-03-22T00:00:00"/>
    <d v="2025-03-23T00:00:00"/>
    <x v="2"/>
    <s v="App"/>
    <n v="3"/>
    <s v="California"/>
    <s v="San Francisco"/>
    <n v="1"/>
    <n v="12"/>
    <x v="2"/>
  </r>
  <r>
    <x v="2197"/>
    <x v="2"/>
    <n v="4"/>
    <n v="145.69999999999999"/>
    <n v="582.79999999999995"/>
    <d v="2025-03-22T00:00:00"/>
    <d v="2025-03-23T00:00:00"/>
    <x v="2"/>
    <s v="App"/>
    <n v="2"/>
    <s v="California"/>
    <s v="San Francisco"/>
    <n v="1"/>
    <n v="12"/>
    <x v="2"/>
  </r>
  <r>
    <x v="2198"/>
    <x v="12"/>
    <n v="2"/>
    <n v="78.5"/>
    <n v="157"/>
    <d v="2025-03-22T00:00:00"/>
    <d v="2025-03-23T00:00:00"/>
    <x v="1"/>
    <s v="Target.com"/>
    <n v="4"/>
    <s v="California"/>
    <s v="San Joaquin County"/>
    <n v="1"/>
    <n v="12"/>
    <x v="1"/>
  </r>
  <r>
    <x v="2199"/>
    <x v="1"/>
    <n v="1"/>
    <n v="34.200000000000003"/>
    <n v="34.200000000000003"/>
    <d v="2025-03-22T00:00:00"/>
    <d v="2025-03-24T00:00:00"/>
    <x v="1"/>
    <s v="App"/>
    <n v="4"/>
    <s v="California"/>
    <s v="San Mateo County"/>
    <n v="2"/>
    <n v="12"/>
    <x v="1"/>
  </r>
  <r>
    <x v="2200"/>
    <x v="19"/>
    <n v="1"/>
    <n v="26.2"/>
    <n v="26.2"/>
    <d v="2025-03-22T00:00:00"/>
    <d v="2025-03-23T00:00:00"/>
    <x v="1"/>
    <s v="Target.com"/>
    <n v="4"/>
    <s v="California"/>
    <s v="San Mateo County"/>
    <n v="1"/>
    <n v="12"/>
    <x v="1"/>
  </r>
  <r>
    <x v="2201"/>
    <x v="6"/>
    <n v="4"/>
    <n v="53.2"/>
    <n v="212.8"/>
    <d v="2025-03-22T00:00:00"/>
    <d v="2025-03-23T00:00:00"/>
    <x v="1"/>
    <s v="Website"/>
    <n v="3"/>
    <s v="California"/>
    <s v="Santa Clara County"/>
    <n v="1"/>
    <n v="12"/>
    <x v="1"/>
  </r>
  <r>
    <x v="2202"/>
    <x v="1"/>
    <n v="1"/>
    <n v="35.4"/>
    <n v="35.4"/>
    <d v="2025-03-22T00:00:00"/>
    <d v="2025-03-26T00:00:00"/>
    <x v="1"/>
    <s v="Website"/>
    <n v="2"/>
    <s v="California"/>
    <s v="Sonoma County"/>
    <n v="4"/>
    <n v="12"/>
    <x v="1"/>
  </r>
  <r>
    <x v="2203"/>
    <x v="14"/>
    <n v="2"/>
    <n v="21.3"/>
    <n v="42.6"/>
    <d v="2025-03-22T00:00:00"/>
    <d v="2025-03-23T00:00:00"/>
    <x v="1"/>
    <s v="Target.com"/>
    <n v="4"/>
    <s v="California"/>
    <s v="Tulare County"/>
    <n v="1"/>
    <n v="12"/>
    <x v="1"/>
  </r>
  <r>
    <x v="2204"/>
    <x v="8"/>
    <n v="4"/>
    <n v="32.9"/>
    <n v="131.6"/>
    <d v="2025-03-22T00:00:00"/>
    <d v="2025-03-25T00:00:00"/>
    <x v="2"/>
    <s v="Partner App"/>
    <n v="5"/>
    <s v="California"/>
    <s v="Alameda County"/>
    <n v="3"/>
    <n v="12"/>
    <x v="2"/>
  </r>
  <r>
    <x v="2205"/>
    <x v="5"/>
    <n v="15"/>
    <n v="85.5"/>
    <n v="1282.5"/>
    <d v="2025-03-22T00:00:00"/>
    <d v="2025-03-24T00:00:00"/>
    <x v="2"/>
    <s v="Instagram"/>
    <n v="3"/>
    <s v="California"/>
    <s v="Alameda County"/>
    <n v="2"/>
    <n v="12"/>
    <x v="2"/>
  </r>
  <r>
    <x v="2206"/>
    <x v="4"/>
    <n v="1"/>
    <n v="26.8"/>
    <n v="26.8"/>
    <d v="2025-03-22T00:00:00"/>
    <d v="2025-03-23T00:00:00"/>
    <x v="2"/>
    <s v="App"/>
    <n v="3"/>
    <s v="California"/>
    <s v="Fresno County"/>
    <n v="1"/>
    <n v="12"/>
    <x v="2"/>
  </r>
  <r>
    <x v="2207"/>
    <x v="9"/>
    <n v="26"/>
    <n v="31.7"/>
    <n v="824.19999999999993"/>
    <d v="2025-03-22T00:00:00"/>
    <d v="2025-03-22T00:00:00"/>
    <x v="2"/>
    <s v="Instagram"/>
    <n v="4"/>
    <s v="California"/>
    <s v="Fresno County"/>
    <n v="0"/>
    <n v="12"/>
    <x v="2"/>
  </r>
  <r>
    <x v="2208"/>
    <x v="1"/>
    <n v="2"/>
    <n v="78.3"/>
    <n v="156.6"/>
    <d v="2025-03-22T00:00:00"/>
    <d v="2025-03-24T00:00:00"/>
    <x v="2"/>
    <s v="Website"/>
    <n v="3"/>
    <s v="California"/>
    <s v="Los Angeles County"/>
    <n v="2"/>
    <n v="12"/>
    <x v="2"/>
  </r>
  <r>
    <x v="2209"/>
    <x v="6"/>
    <n v="1"/>
    <n v="43.9"/>
    <n v="43.9"/>
    <d v="2025-03-22T00:00:00"/>
    <d v="2025-03-23T00:00:00"/>
    <x v="1"/>
    <s v="App"/>
    <n v="4"/>
    <s v="California"/>
    <s v="Los Angeles County"/>
    <n v="1"/>
    <n v="12"/>
    <x v="1"/>
  </r>
  <r>
    <x v="2210"/>
    <x v="18"/>
    <n v="3"/>
    <n v="84"/>
    <n v="252"/>
    <d v="2025-03-22T00:00:00"/>
    <d v="2025-03-24T00:00:00"/>
    <x v="0"/>
    <s v="Instagram"/>
    <n v="5"/>
    <s v="California"/>
    <s v="Los Angeles County"/>
    <n v="2"/>
    <n v="12"/>
    <x v="0"/>
  </r>
  <r>
    <x v="2211"/>
    <x v="0"/>
    <n v="3"/>
    <n v="11.4"/>
    <n v="34.200000000000003"/>
    <d v="2025-03-22T00:00:00"/>
    <d v="2025-03-23T00:00:00"/>
    <x v="1"/>
    <s v="Partner App"/>
    <n v="4"/>
    <s v="California"/>
    <s v="Los Angeles County"/>
    <n v="1"/>
    <n v="12"/>
    <x v="1"/>
  </r>
  <r>
    <x v="2212"/>
    <x v="12"/>
    <n v="8"/>
    <n v="47.5"/>
    <n v="380"/>
    <d v="2025-03-22T00:00:00"/>
    <d v="2025-03-30T00:00:00"/>
    <x v="2"/>
    <s v="App"/>
    <n v="4"/>
    <s v="California"/>
    <s v="Los Angeles County"/>
    <n v="8"/>
    <n v="12"/>
    <x v="2"/>
  </r>
  <r>
    <x v="2213"/>
    <x v="9"/>
    <n v="11"/>
    <n v="50.5"/>
    <n v="555.5"/>
    <d v="2025-03-22T00:00:00"/>
    <d v="2025-03-24T00:00:00"/>
    <x v="1"/>
    <s v="Target.com"/>
    <n v="4"/>
    <s v="California"/>
    <s v="Los Angeles County"/>
    <n v="2"/>
    <n v="12"/>
    <x v="1"/>
  </r>
  <r>
    <x v="2214"/>
    <x v="15"/>
    <n v="1"/>
    <n v="36.299999999999997"/>
    <n v="36.299999999999997"/>
    <d v="2025-03-22T00:00:00"/>
    <d v="2025-03-25T00:00:00"/>
    <x v="3"/>
    <s v="App"/>
    <n v="3"/>
    <s v="California"/>
    <s v="San Diego County"/>
    <n v="3"/>
    <n v="12"/>
    <x v="3"/>
  </r>
  <r>
    <x v="2215"/>
    <x v="8"/>
    <n v="2"/>
    <n v="35.4"/>
    <n v="70.8"/>
    <d v="2025-03-22T00:00:00"/>
    <d v="2025-03-23T00:00:00"/>
    <x v="2"/>
    <s v="App"/>
    <n v="4"/>
    <s v="California"/>
    <s v="San Francisco"/>
    <n v="1"/>
    <n v="12"/>
    <x v="2"/>
  </r>
  <r>
    <x v="2216"/>
    <x v="1"/>
    <n v="3"/>
    <n v="45.9"/>
    <n v="137.69999999999999"/>
    <d v="2025-03-23T00:00:00"/>
    <d v="2025-03-24T00:00:00"/>
    <x v="1"/>
    <s v="Instagram"/>
    <n v="4"/>
    <s v="California"/>
    <s v="San Mateo County"/>
    <n v="1"/>
    <n v="13"/>
    <x v="1"/>
  </r>
  <r>
    <x v="2217"/>
    <x v="6"/>
    <n v="10"/>
    <n v="41.2"/>
    <n v="412"/>
    <d v="2025-03-23T00:00:00"/>
    <d v="2025-03-27T00:00:00"/>
    <x v="1"/>
    <s v="App"/>
    <n v="4"/>
    <s v="California"/>
    <s v="Santa Clara County"/>
    <n v="4"/>
    <n v="13"/>
    <x v="1"/>
  </r>
  <r>
    <x v="2218"/>
    <x v="17"/>
    <n v="2"/>
    <n v="45.1"/>
    <n v="90.2"/>
    <d v="2025-03-23T00:00:00"/>
    <d v="2025-03-24T00:00:00"/>
    <x v="1"/>
    <s v="Website"/>
    <n v="3"/>
    <s v="California"/>
    <s v="Alameda County"/>
    <n v="1"/>
    <n v="13"/>
    <x v="1"/>
  </r>
  <r>
    <x v="2219"/>
    <x v="6"/>
    <n v="10"/>
    <n v="63.6"/>
    <n v="636"/>
    <d v="2025-03-23T00:00:00"/>
    <d v="2025-03-23T00:00:00"/>
    <x v="1"/>
    <s v="Target.com"/>
    <n v="4"/>
    <s v="California"/>
    <s v="Contra Costa County"/>
    <n v="0"/>
    <n v="13"/>
    <x v="1"/>
  </r>
  <r>
    <x v="2220"/>
    <x v="8"/>
    <n v="1"/>
    <n v="70.5"/>
    <n v="70.5"/>
    <d v="2025-03-23T00:00:00"/>
    <d v="2025-03-24T00:00:00"/>
    <x v="1"/>
    <s v="App"/>
    <n v="4"/>
    <s v="California"/>
    <s v="Los Angeles County"/>
    <n v="1"/>
    <n v="13"/>
    <x v="1"/>
  </r>
  <r>
    <x v="2221"/>
    <x v="6"/>
    <n v="1"/>
    <n v="41.3"/>
    <n v="41.3"/>
    <d v="2025-03-23T00:00:00"/>
    <d v="2025-03-23T00:00:00"/>
    <x v="1"/>
    <s v="Partner App"/>
    <n v="4"/>
    <s v="California"/>
    <s v="Los Angeles County"/>
    <n v="0"/>
    <n v="13"/>
    <x v="1"/>
  </r>
  <r>
    <x v="2222"/>
    <x v="4"/>
    <n v="1"/>
    <n v="35.299999999999997"/>
    <n v="35.299999999999997"/>
    <d v="2025-03-23T00:00:00"/>
    <d v="2025-03-26T00:00:00"/>
    <x v="2"/>
    <s v="Partner App"/>
    <n v="5"/>
    <s v="California"/>
    <s v="Los Angeles County"/>
    <n v="3"/>
    <n v="13"/>
    <x v="2"/>
  </r>
  <r>
    <x v="2223"/>
    <x v="8"/>
    <n v="5"/>
    <n v="34.700000000000003"/>
    <n v="173.5"/>
    <d v="2025-03-23T00:00:00"/>
    <d v="2025-03-24T00:00:00"/>
    <x v="2"/>
    <s v="App"/>
    <n v="5"/>
    <s v="California"/>
    <s v="Los Angeles County"/>
    <n v="1"/>
    <n v="13"/>
    <x v="2"/>
  </r>
  <r>
    <x v="2224"/>
    <x v="8"/>
    <n v="3"/>
    <n v="26.1"/>
    <n v="78.300000000000011"/>
    <d v="2025-03-23T00:00:00"/>
    <d v="2025-03-24T00:00:00"/>
    <x v="2"/>
    <s v="App"/>
    <n v="4"/>
    <s v="California"/>
    <s v="Los Angeles County"/>
    <n v="1"/>
    <n v="13"/>
    <x v="2"/>
  </r>
  <r>
    <x v="2225"/>
    <x v="9"/>
    <n v="5"/>
    <n v="22.6"/>
    <n v="113"/>
    <d v="2025-03-23T00:00:00"/>
    <d v="2025-03-23T00:00:00"/>
    <x v="2"/>
    <s v="Website"/>
    <n v="5"/>
    <s v="California"/>
    <s v="Los Angeles County"/>
    <n v="0"/>
    <n v="13"/>
    <x v="2"/>
  </r>
  <r>
    <x v="2226"/>
    <x v="2"/>
    <n v="2"/>
    <n v="154.4"/>
    <n v="308.8"/>
    <d v="2025-03-23T00:00:00"/>
    <d v="2025-03-26T00:00:00"/>
    <x v="1"/>
    <s v="Website"/>
    <n v="3"/>
    <s v="California"/>
    <s v="Los Angeles County"/>
    <n v="3"/>
    <n v="13"/>
    <x v="1"/>
  </r>
  <r>
    <x v="2227"/>
    <x v="8"/>
    <n v="2"/>
    <n v="18.399999999999999"/>
    <n v="36.799999999999997"/>
    <d v="2025-03-23T00:00:00"/>
    <d v="2025-03-24T00:00:00"/>
    <x v="1"/>
    <s v="App"/>
    <n v="4"/>
    <s v="California"/>
    <s v="Los Angeles County"/>
    <n v="1"/>
    <n v="13"/>
    <x v="1"/>
  </r>
  <r>
    <x v="2228"/>
    <x v="14"/>
    <n v="1"/>
    <n v="25"/>
    <n v="25"/>
    <d v="2025-03-23T00:00:00"/>
    <d v="2025-03-26T00:00:00"/>
    <x v="2"/>
    <s v="App"/>
    <n v="4"/>
    <s v="California"/>
    <s v="Los Angeles County"/>
    <n v="3"/>
    <n v="13"/>
    <x v="2"/>
  </r>
  <r>
    <x v="2229"/>
    <x v="2"/>
    <n v="6"/>
    <n v="105.6"/>
    <n v="633.59999999999991"/>
    <d v="2025-03-23T00:00:00"/>
    <d v="2025-03-23T00:00:00"/>
    <x v="2"/>
    <s v="App"/>
    <n v="4"/>
    <s v="California"/>
    <s v="Los Angeles County"/>
    <n v="0"/>
    <n v="13"/>
    <x v="2"/>
  </r>
  <r>
    <x v="2230"/>
    <x v="18"/>
    <n v="8"/>
    <n v="59.6"/>
    <n v="476.8"/>
    <d v="2025-03-23T00:00:00"/>
    <d v="2025-03-23T00:00:00"/>
    <x v="2"/>
    <s v="App"/>
    <n v="5"/>
    <s v="California"/>
    <s v="Riverside County"/>
    <n v="0"/>
    <n v="13"/>
    <x v="2"/>
  </r>
  <r>
    <x v="2231"/>
    <x v="15"/>
    <n v="3"/>
    <n v="75.400000000000006"/>
    <n v="226.20000000000002"/>
    <d v="2025-03-23T00:00:00"/>
    <d v="2025-03-28T00:00:00"/>
    <x v="1"/>
    <s v="App"/>
    <n v="3"/>
    <s v="California"/>
    <s v="San Bernardino County"/>
    <n v="5"/>
    <n v="13"/>
    <x v="1"/>
  </r>
  <r>
    <x v="2232"/>
    <x v="7"/>
    <n v="1"/>
    <n v="104.4"/>
    <n v="104.4"/>
    <d v="2025-03-23T00:00:00"/>
    <d v="2025-03-24T00:00:00"/>
    <x v="2"/>
    <s v="App"/>
    <n v="4"/>
    <s v="California"/>
    <s v="San Diego County"/>
    <n v="1"/>
    <n v="13"/>
    <x v="2"/>
  </r>
  <r>
    <x v="2233"/>
    <x v="2"/>
    <n v="10"/>
    <n v="208.2"/>
    <n v="2082"/>
    <d v="2025-03-23T00:00:00"/>
    <d v="2025-03-24T00:00:00"/>
    <x v="1"/>
    <s v="App"/>
    <n v="5"/>
    <s v="California"/>
    <s v="San Diego County"/>
    <n v="1"/>
    <n v="13"/>
    <x v="1"/>
  </r>
  <r>
    <x v="2234"/>
    <x v="6"/>
    <n v="2"/>
    <n v="45"/>
    <n v="90"/>
    <d v="2025-03-23T00:00:00"/>
    <d v="2025-03-26T00:00:00"/>
    <x v="2"/>
    <s v="App"/>
    <n v="4"/>
    <s v="California"/>
    <s v="Santa Barbara County"/>
    <n v="3"/>
    <n v="13"/>
    <x v="2"/>
  </r>
  <r>
    <x v="2235"/>
    <x v="15"/>
    <n v="2"/>
    <n v="20.3"/>
    <n v="40.6"/>
    <d v="2025-03-24T00:00:00"/>
    <d v="2025-03-26T00:00:00"/>
    <x v="0"/>
    <s v="Website"/>
    <n v="4"/>
    <s v="California"/>
    <s v="Santa Clara County"/>
    <n v="2"/>
    <n v="13"/>
    <x v="0"/>
  </r>
  <r>
    <x v="2236"/>
    <x v="2"/>
    <n v="3"/>
    <n v="94.4"/>
    <n v="283.20000000000005"/>
    <d v="2025-03-24T00:00:00"/>
    <d v="2025-03-25T00:00:00"/>
    <x v="2"/>
    <s v="App"/>
    <n v="5"/>
    <s v="California"/>
    <s v="Santa Clara County"/>
    <n v="1"/>
    <n v="13"/>
    <x v="2"/>
  </r>
  <r>
    <x v="2237"/>
    <x v="9"/>
    <n v="1"/>
    <n v="49"/>
    <n v="49"/>
    <d v="2025-03-24T00:00:00"/>
    <d v="2025-03-26T00:00:00"/>
    <x v="2"/>
    <s v="App"/>
    <n v="5"/>
    <s v="California"/>
    <s v="Tulare County"/>
    <n v="2"/>
    <n v="13"/>
    <x v="2"/>
  </r>
  <r>
    <x v="2238"/>
    <x v="4"/>
    <n v="2"/>
    <n v="27.2"/>
    <n v="54.4"/>
    <d v="2025-03-24T00:00:00"/>
    <d v="2025-03-26T00:00:00"/>
    <x v="1"/>
    <s v="App"/>
    <n v="5"/>
    <s v="California"/>
    <s v="Contra Costa County"/>
    <n v="2"/>
    <n v="13"/>
    <x v="1"/>
  </r>
  <r>
    <x v="2239"/>
    <x v="2"/>
    <n v="6"/>
    <n v="72.599999999999994"/>
    <n v="435.59999999999997"/>
    <d v="2025-03-24T00:00:00"/>
    <d v="2025-03-25T00:00:00"/>
    <x v="2"/>
    <s v="App"/>
    <n v="5"/>
    <s v="California"/>
    <s v="Fresno County"/>
    <n v="1"/>
    <n v="13"/>
    <x v="2"/>
  </r>
  <r>
    <x v="2240"/>
    <x v="15"/>
    <n v="4"/>
    <n v="62.4"/>
    <n v="249.6"/>
    <d v="2025-03-24T00:00:00"/>
    <d v="2025-03-25T00:00:00"/>
    <x v="2"/>
    <s v="App"/>
    <n v="4"/>
    <s v="California"/>
    <s v="Los Angeles County"/>
    <n v="1"/>
    <n v="13"/>
    <x v="2"/>
  </r>
  <r>
    <x v="2241"/>
    <x v="8"/>
    <n v="3"/>
    <n v="19.100000000000001"/>
    <n v="57.300000000000004"/>
    <d v="2025-03-24T00:00:00"/>
    <d v="2025-03-26T00:00:00"/>
    <x v="1"/>
    <s v="App"/>
    <n v="3"/>
    <s v="California"/>
    <s v="Los Angeles County"/>
    <n v="2"/>
    <n v="13"/>
    <x v="1"/>
  </r>
  <r>
    <x v="2242"/>
    <x v="10"/>
    <n v="1"/>
    <n v="29.6"/>
    <n v="29.6"/>
    <d v="2025-03-24T00:00:00"/>
    <d v="2025-03-28T00:00:00"/>
    <x v="1"/>
    <s v="App"/>
    <n v="2"/>
    <s v="California"/>
    <s v="Los Angeles County"/>
    <n v="4"/>
    <n v="13"/>
    <x v="1"/>
  </r>
  <r>
    <x v="2243"/>
    <x v="8"/>
    <n v="2"/>
    <n v="18.899999999999999"/>
    <n v="37.799999999999997"/>
    <d v="2025-03-24T00:00:00"/>
    <d v="2025-03-26T00:00:00"/>
    <x v="2"/>
    <s v="Partner App"/>
    <n v="5"/>
    <s v="California"/>
    <s v="Los Angeles County"/>
    <n v="2"/>
    <n v="13"/>
    <x v="2"/>
  </r>
  <r>
    <x v="2244"/>
    <x v="10"/>
    <n v="5"/>
    <n v="41.4"/>
    <n v="207"/>
    <d v="2025-03-24T00:00:00"/>
    <d v="2025-03-25T00:00:00"/>
    <x v="1"/>
    <s v="Instagram"/>
    <n v="4"/>
    <s v="California"/>
    <s v="Los Angeles County"/>
    <n v="1"/>
    <n v="13"/>
    <x v="1"/>
  </r>
  <r>
    <x v="2245"/>
    <x v="2"/>
    <n v="1"/>
    <n v="118.4"/>
    <n v="118.4"/>
    <d v="2025-03-24T00:00:00"/>
    <d v="2025-03-25T00:00:00"/>
    <x v="2"/>
    <s v="App"/>
    <n v="5"/>
    <s v="California"/>
    <s v="Los Angeles County"/>
    <n v="1"/>
    <n v="13"/>
    <x v="2"/>
  </r>
  <r>
    <x v="2246"/>
    <x v="2"/>
    <n v="2"/>
    <n v="125.3"/>
    <n v="250.6"/>
    <d v="2025-03-24T00:00:00"/>
    <d v="2025-03-27T00:00:00"/>
    <x v="2"/>
    <s v="App"/>
    <n v="5"/>
    <s v="California"/>
    <s v="Los Angeles County"/>
    <n v="3"/>
    <n v="13"/>
    <x v="2"/>
  </r>
  <r>
    <x v="2247"/>
    <x v="3"/>
    <n v="2"/>
    <n v="85.8"/>
    <n v="171.6"/>
    <d v="2025-03-24T00:00:00"/>
    <d v="2025-03-25T00:00:00"/>
    <x v="2"/>
    <s v="Website"/>
    <n v="2"/>
    <s v="California"/>
    <s v="Los Angeles County"/>
    <n v="1"/>
    <n v="13"/>
    <x v="2"/>
  </r>
  <r>
    <x v="2248"/>
    <x v="6"/>
    <n v="1"/>
    <n v="44.2"/>
    <n v="44.2"/>
    <d v="2025-03-24T00:00:00"/>
    <d v="2025-03-27T00:00:00"/>
    <x v="1"/>
    <s v="Website"/>
    <n v="4"/>
    <s v="California"/>
    <s v="Los Angeles County"/>
    <n v="3"/>
    <n v="13"/>
    <x v="1"/>
  </r>
  <r>
    <x v="2249"/>
    <x v="5"/>
    <n v="4"/>
    <n v="74.099999999999994"/>
    <n v="296.39999999999998"/>
    <d v="2025-03-24T00:00:00"/>
    <d v="2025-03-26T00:00:00"/>
    <x v="2"/>
    <s v="App"/>
    <n v="4"/>
    <s v="California"/>
    <s v="Los Angeles County"/>
    <n v="2"/>
    <n v="13"/>
    <x v="2"/>
  </r>
  <r>
    <x v="2250"/>
    <x v="8"/>
    <n v="1"/>
    <n v="33.799999999999997"/>
    <n v="33.799999999999997"/>
    <d v="2025-03-24T00:00:00"/>
    <d v="2025-03-25T00:00:00"/>
    <x v="2"/>
    <s v="Target.com"/>
    <n v="5"/>
    <s v="California"/>
    <s v="Merced County"/>
    <n v="1"/>
    <n v="13"/>
    <x v="2"/>
  </r>
  <r>
    <x v="2251"/>
    <x v="1"/>
    <n v="2"/>
    <n v="39.1"/>
    <n v="78.2"/>
    <d v="2025-03-24T00:00:00"/>
    <d v="2025-03-25T00:00:00"/>
    <x v="1"/>
    <s v="App"/>
    <n v="3"/>
    <s v="California"/>
    <s v="Merced County"/>
    <n v="1"/>
    <n v="13"/>
    <x v="1"/>
  </r>
  <r>
    <x v="2252"/>
    <x v="0"/>
    <n v="1"/>
    <n v="37.200000000000003"/>
    <n v="37.200000000000003"/>
    <d v="2025-03-24T00:00:00"/>
    <d v="2025-03-25T00:00:00"/>
    <x v="1"/>
    <s v="App"/>
    <n v="3"/>
    <s v="California"/>
    <s v="Napa County"/>
    <n v="1"/>
    <n v="13"/>
    <x v="1"/>
  </r>
  <r>
    <x v="2253"/>
    <x v="15"/>
    <n v="3"/>
    <n v="33.9"/>
    <n v="101.69999999999999"/>
    <d v="2025-03-24T00:00:00"/>
    <d v="2025-03-26T00:00:00"/>
    <x v="1"/>
    <s v="Target.com"/>
    <n v="4"/>
    <s v="California"/>
    <s v="Sacramento County"/>
    <n v="2"/>
    <n v="13"/>
    <x v="1"/>
  </r>
  <r>
    <x v="2254"/>
    <x v="7"/>
    <n v="15"/>
    <n v="73.3"/>
    <n v="1099.5"/>
    <d v="2025-03-24T00:00:00"/>
    <d v="2025-03-27T00:00:00"/>
    <x v="2"/>
    <s v="Target.com"/>
    <n v="3"/>
    <s v="California"/>
    <s v="San Diego County"/>
    <n v="3"/>
    <n v="13"/>
    <x v="2"/>
  </r>
  <r>
    <x v="2255"/>
    <x v="8"/>
    <n v="4"/>
    <n v="35"/>
    <n v="140"/>
    <d v="2025-03-24T00:00:00"/>
    <d v="2025-03-26T00:00:00"/>
    <x v="2"/>
    <s v="Website"/>
    <n v="4"/>
    <s v="California"/>
    <s v="San Diego County"/>
    <n v="2"/>
    <n v="13"/>
    <x v="2"/>
  </r>
  <r>
    <x v="2256"/>
    <x v="0"/>
    <n v="3"/>
    <n v="22.2"/>
    <n v="66.599999999999994"/>
    <d v="2025-03-24T00:00:00"/>
    <d v="2025-03-25T00:00:00"/>
    <x v="1"/>
    <s v="Website"/>
    <n v="4"/>
    <s v="California"/>
    <s v="San Francisco"/>
    <n v="1"/>
    <n v="13"/>
    <x v="1"/>
  </r>
  <r>
    <x v="2257"/>
    <x v="10"/>
    <n v="1"/>
    <n v="32.4"/>
    <n v="32.4"/>
    <d v="2025-03-24T00:00:00"/>
    <d v="2025-03-25T00:00:00"/>
    <x v="2"/>
    <s v="App"/>
    <n v="4"/>
    <s v="California"/>
    <s v="Santa Clara County"/>
    <n v="1"/>
    <n v="13"/>
    <x v="2"/>
  </r>
  <r>
    <x v="2258"/>
    <x v="5"/>
    <n v="3"/>
    <n v="88.4"/>
    <n v="265.20000000000005"/>
    <d v="2025-03-25T00:00:00"/>
    <d v="2025-03-27T00:00:00"/>
    <x v="2"/>
    <s v="Website"/>
    <n v="3"/>
    <s v="California"/>
    <s v="Santa Clara County"/>
    <n v="2"/>
    <n v="13"/>
    <x v="2"/>
  </r>
  <r>
    <x v="2259"/>
    <x v="5"/>
    <n v="16"/>
    <n v="30.5"/>
    <n v="488"/>
    <d v="2025-03-25T00:00:00"/>
    <d v="2025-03-26T00:00:00"/>
    <x v="2"/>
    <s v="Target.com"/>
    <n v="4"/>
    <s v="California"/>
    <s v="Santa Clara County"/>
    <n v="1"/>
    <n v="13"/>
    <x v="2"/>
  </r>
  <r>
    <x v="2260"/>
    <x v="1"/>
    <n v="6"/>
    <n v="38.1"/>
    <n v="228.60000000000002"/>
    <d v="2025-03-25T00:00:00"/>
    <d v="2025-03-27T00:00:00"/>
    <x v="2"/>
    <s v="App"/>
    <n v="3"/>
    <s v="California"/>
    <s v="Santa Clara County"/>
    <n v="2"/>
    <n v="13"/>
    <x v="2"/>
  </r>
  <r>
    <x v="2261"/>
    <x v="10"/>
    <n v="5"/>
    <n v="37.6"/>
    <n v="188"/>
    <d v="2025-03-25T00:00:00"/>
    <d v="2025-03-29T00:00:00"/>
    <x v="1"/>
    <s v="App"/>
    <n v="4"/>
    <s v="California"/>
    <s v="Santa Clara County"/>
    <n v="4"/>
    <n v="13"/>
    <x v="1"/>
  </r>
  <r>
    <x v="2262"/>
    <x v="15"/>
    <n v="2"/>
    <n v="31.4"/>
    <n v="62.8"/>
    <d v="2025-03-25T00:00:00"/>
    <d v="2025-03-26T00:00:00"/>
    <x v="1"/>
    <s v="App"/>
    <n v="5"/>
    <s v="California"/>
    <s v="Santa Clara County"/>
    <n v="1"/>
    <n v="13"/>
    <x v="1"/>
  </r>
  <r>
    <x v="2263"/>
    <x v="6"/>
    <n v="2"/>
    <n v="61.5"/>
    <n v="123"/>
    <d v="2025-03-25T00:00:00"/>
    <d v="2025-03-26T00:00:00"/>
    <x v="1"/>
    <s v="Instagram"/>
    <n v="4"/>
    <s v="California"/>
    <s v="Sutter County"/>
    <n v="1"/>
    <n v="13"/>
    <x v="1"/>
  </r>
  <r>
    <x v="2264"/>
    <x v="6"/>
    <n v="1"/>
    <n v="72.599999999999994"/>
    <n v="72.599999999999994"/>
    <d v="2025-03-25T00:00:00"/>
    <d v="2025-03-26T00:00:00"/>
    <x v="1"/>
    <s v="App"/>
    <n v="3"/>
    <s v="California"/>
    <s v="Alameda County"/>
    <n v="1"/>
    <n v="13"/>
    <x v="1"/>
  </r>
  <r>
    <x v="2265"/>
    <x v="9"/>
    <n v="3"/>
    <n v="26.9"/>
    <n v="80.699999999999989"/>
    <d v="2025-03-25T00:00:00"/>
    <d v="2025-03-30T00:00:00"/>
    <x v="3"/>
    <s v="Partner App"/>
    <n v="3"/>
    <s v="California"/>
    <s v="Amador County"/>
    <n v="5"/>
    <n v="13"/>
    <x v="3"/>
  </r>
  <r>
    <x v="2266"/>
    <x v="17"/>
    <n v="12"/>
    <n v="29.4"/>
    <n v="352.79999999999995"/>
    <d v="2025-03-25T00:00:00"/>
    <d v="2025-03-26T00:00:00"/>
    <x v="2"/>
    <s v="Website"/>
    <n v="4"/>
    <s v="California"/>
    <s v="Butte County"/>
    <n v="1"/>
    <n v="13"/>
    <x v="2"/>
  </r>
  <r>
    <x v="2267"/>
    <x v="17"/>
    <n v="2"/>
    <n v="42.1"/>
    <n v="84.2"/>
    <d v="2025-03-25T00:00:00"/>
    <d v="2025-03-26T00:00:00"/>
    <x v="2"/>
    <s v="Instagram"/>
    <n v="3"/>
    <s v="California"/>
    <s v="Contra Costa County"/>
    <n v="1"/>
    <n v="13"/>
    <x v="2"/>
  </r>
  <r>
    <x v="2268"/>
    <x v="5"/>
    <n v="1"/>
    <n v="40.5"/>
    <n v="40.5"/>
    <d v="2025-03-25T00:00:00"/>
    <d v="2025-03-26T00:00:00"/>
    <x v="2"/>
    <s v="Target.com"/>
    <n v="3"/>
    <s v="California"/>
    <s v="Contra Costa County"/>
    <n v="1"/>
    <n v="13"/>
    <x v="2"/>
  </r>
  <r>
    <x v="2269"/>
    <x v="2"/>
    <n v="4"/>
    <n v="182.3"/>
    <n v="729.2"/>
    <d v="2025-03-25T00:00:00"/>
    <d v="2025-03-26T00:00:00"/>
    <x v="2"/>
    <s v="Website"/>
    <n v="4"/>
    <s v="California"/>
    <s v="Contra Costa County"/>
    <n v="1"/>
    <n v="13"/>
    <x v="2"/>
  </r>
  <r>
    <x v="2270"/>
    <x v="2"/>
    <n v="5"/>
    <n v="157"/>
    <n v="785"/>
    <d v="2025-03-25T00:00:00"/>
    <d v="2025-03-28T00:00:00"/>
    <x v="2"/>
    <s v="Website"/>
    <n v="5"/>
    <s v="California"/>
    <s v="Fresno County"/>
    <n v="3"/>
    <n v="13"/>
    <x v="2"/>
  </r>
  <r>
    <x v="2271"/>
    <x v="17"/>
    <n v="5"/>
    <n v="45.2"/>
    <n v="226"/>
    <d v="2025-03-25T00:00:00"/>
    <d v="2025-03-28T00:00:00"/>
    <x v="2"/>
    <s v="Website"/>
    <n v="4"/>
    <s v="California"/>
    <s v="Kern County"/>
    <n v="3"/>
    <n v="13"/>
    <x v="2"/>
  </r>
  <r>
    <x v="2272"/>
    <x v="15"/>
    <n v="4"/>
    <n v="27.4"/>
    <n v="109.6"/>
    <d v="2025-03-25T00:00:00"/>
    <d v="2025-03-27T00:00:00"/>
    <x v="2"/>
    <s v="App"/>
    <n v="4"/>
    <s v="California"/>
    <s v="Los Angeles County"/>
    <n v="2"/>
    <n v="13"/>
    <x v="2"/>
  </r>
  <r>
    <x v="2273"/>
    <x v="5"/>
    <n v="5"/>
    <n v="34.1"/>
    <n v="170.5"/>
    <d v="2025-03-25T00:00:00"/>
    <d v="2025-03-27T00:00:00"/>
    <x v="1"/>
    <s v="App"/>
    <n v="5"/>
    <s v="California"/>
    <s v="Los Angeles County"/>
    <n v="2"/>
    <n v="13"/>
    <x v="1"/>
  </r>
  <r>
    <x v="2274"/>
    <x v="0"/>
    <n v="2"/>
    <n v="26"/>
    <n v="52"/>
    <d v="2025-03-25T00:00:00"/>
    <d v="2025-03-27T00:00:00"/>
    <x v="1"/>
    <s v="Target.com"/>
    <n v="3"/>
    <s v="California"/>
    <s v="Los Angeles County"/>
    <n v="2"/>
    <n v="13"/>
    <x v="1"/>
  </r>
  <r>
    <x v="2275"/>
    <x v="8"/>
    <n v="7"/>
    <n v="19.399999999999999"/>
    <n v="135.79999999999998"/>
    <d v="2025-03-25T00:00:00"/>
    <d v="2025-03-27T00:00:00"/>
    <x v="0"/>
    <s v="Website"/>
    <n v="3"/>
    <s v="California"/>
    <s v="Los Angeles County"/>
    <n v="2"/>
    <n v="13"/>
    <x v="0"/>
  </r>
  <r>
    <x v="2276"/>
    <x v="16"/>
    <n v="3"/>
    <n v="30.3"/>
    <n v="90.9"/>
    <d v="2025-03-25T00:00:00"/>
    <d v="2025-03-28T00:00:00"/>
    <x v="2"/>
    <s v="Website"/>
    <n v="5"/>
    <s v="California"/>
    <s v="Los Angeles County"/>
    <n v="3"/>
    <n v="13"/>
    <x v="2"/>
  </r>
  <r>
    <x v="2277"/>
    <x v="2"/>
    <n v="3"/>
    <n v="101.4"/>
    <n v="304.20000000000005"/>
    <d v="2025-03-25T00:00:00"/>
    <d v="2025-03-26T00:00:00"/>
    <x v="1"/>
    <s v="App"/>
    <n v="4"/>
    <s v="California"/>
    <s v="Los Angeles County"/>
    <n v="1"/>
    <n v="13"/>
    <x v="1"/>
  </r>
  <r>
    <x v="2278"/>
    <x v="3"/>
    <n v="5"/>
    <n v="55.5"/>
    <n v="277.5"/>
    <d v="2025-03-25T00:00:00"/>
    <d v="2025-03-28T00:00:00"/>
    <x v="1"/>
    <s v="Website"/>
    <n v="4"/>
    <s v="California"/>
    <s v="Merced County"/>
    <n v="3"/>
    <n v="13"/>
    <x v="1"/>
  </r>
  <r>
    <x v="2279"/>
    <x v="8"/>
    <n v="1"/>
    <n v="23.1"/>
    <n v="23.1"/>
    <d v="2025-03-25T00:00:00"/>
    <d v="2025-03-26T00:00:00"/>
    <x v="1"/>
    <s v="App"/>
    <n v="4"/>
    <s v="California"/>
    <s v="Orange County"/>
    <n v="1"/>
    <n v="13"/>
    <x v="1"/>
  </r>
  <r>
    <x v="2280"/>
    <x v="18"/>
    <n v="2"/>
    <n v="38.9"/>
    <n v="77.8"/>
    <d v="2025-03-25T00:00:00"/>
    <d v="2025-03-26T00:00:00"/>
    <x v="1"/>
    <s v="Target.com"/>
    <n v="4"/>
    <s v="California"/>
    <s v="Orange County"/>
    <n v="1"/>
    <n v="13"/>
    <x v="1"/>
  </r>
  <r>
    <x v="2281"/>
    <x v="6"/>
    <n v="9"/>
    <n v="116.3"/>
    <n v="1046.7"/>
    <d v="2025-03-25T00:00:00"/>
    <d v="2025-03-29T00:00:00"/>
    <x v="2"/>
    <s v="App"/>
    <n v="4"/>
    <s v="California"/>
    <s v="Placer County"/>
    <n v="4"/>
    <n v="13"/>
    <x v="2"/>
  </r>
  <r>
    <x v="2282"/>
    <x v="16"/>
    <n v="9"/>
    <n v="64.099999999999994"/>
    <n v="576.9"/>
    <d v="2025-03-25T00:00:00"/>
    <d v="2025-03-25T00:00:00"/>
    <x v="2"/>
    <s v="App"/>
    <n v="5"/>
    <s v="California"/>
    <s v="Sacramento County"/>
    <n v="0"/>
    <n v="13"/>
    <x v="2"/>
  </r>
  <r>
    <x v="2283"/>
    <x v="2"/>
    <n v="6"/>
    <n v="109.2"/>
    <n v="655.20000000000005"/>
    <d v="2025-03-25T00:00:00"/>
    <d v="2025-03-27T00:00:00"/>
    <x v="1"/>
    <s v="App"/>
    <n v="3"/>
    <s v="California"/>
    <s v="San Diego County"/>
    <n v="2"/>
    <n v="13"/>
    <x v="1"/>
  </r>
  <r>
    <x v="2284"/>
    <x v="10"/>
    <n v="5"/>
    <n v="23.2"/>
    <n v="116"/>
    <d v="2025-03-26T00:00:00"/>
    <d v="2025-03-27T00:00:00"/>
    <x v="1"/>
    <s v="App"/>
    <n v="3"/>
    <s v="California"/>
    <s v="San Diego County"/>
    <n v="1"/>
    <n v="13"/>
    <x v="1"/>
  </r>
  <r>
    <x v="2285"/>
    <x v="18"/>
    <n v="6"/>
    <n v="81.2"/>
    <n v="487.20000000000005"/>
    <d v="2025-03-26T00:00:00"/>
    <d v="2025-03-28T00:00:00"/>
    <x v="1"/>
    <s v="Target.com"/>
    <n v="5"/>
    <s v="California"/>
    <s v="San Diego County"/>
    <n v="2"/>
    <n v="13"/>
    <x v="1"/>
  </r>
  <r>
    <x v="2286"/>
    <x v="1"/>
    <n v="14"/>
    <n v="35.700000000000003"/>
    <n v="499.80000000000007"/>
    <d v="2025-03-26T00:00:00"/>
    <d v="2025-03-27T00:00:00"/>
    <x v="1"/>
    <s v="Instagram"/>
    <n v="4"/>
    <s v="California"/>
    <s v="San Diego County"/>
    <n v="1"/>
    <n v="13"/>
    <x v="1"/>
  </r>
  <r>
    <x v="2287"/>
    <x v="7"/>
    <n v="2"/>
    <n v="44.5"/>
    <n v="89"/>
    <d v="2025-03-26T00:00:00"/>
    <d v="2025-03-29T00:00:00"/>
    <x v="1"/>
    <s v="Partner App"/>
    <n v="4"/>
    <s v="California"/>
    <s v="San Mateo County"/>
    <n v="3"/>
    <n v="13"/>
    <x v="1"/>
  </r>
  <r>
    <x v="2288"/>
    <x v="1"/>
    <n v="5"/>
    <n v="32"/>
    <n v="160"/>
    <d v="2025-03-26T00:00:00"/>
    <d v="2025-03-28T00:00:00"/>
    <x v="3"/>
    <s v="Website"/>
    <n v="3"/>
    <s v="California"/>
    <s v="San Mateo County"/>
    <n v="2"/>
    <n v="13"/>
    <x v="3"/>
  </r>
  <r>
    <x v="2289"/>
    <x v="8"/>
    <n v="1"/>
    <n v="25.7"/>
    <n v="25.7"/>
    <d v="2025-03-26T00:00:00"/>
    <d v="2025-03-27T00:00:00"/>
    <x v="1"/>
    <s v="App"/>
    <n v="4"/>
    <s v="California"/>
    <s v="Santa Barbara County"/>
    <n v="1"/>
    <n v="13"/>
    <x v="1"/>
  </r>
  <r>
    <x v="2290"/>
    <x v="16"/>
    <n v="3"/>
    <n v="65.599999999999994"/>
    <n v="196.79999999999998"/>
    <d v="2025-03-26T00:00:00"/>
    <d v="2025-04-01T00:00:00"/>
    <x v="1"/>
    <s v="App"/>
    <n v="4"/>
    <s v="California"/>
    <s v="Santa Clara County"/>
    <n v="6"/>
    <n v="13"/>
    <x v="1"/>
  </r>
  <r>
    <x v="2291"/>
    <x v="1"/>
    <n v="4"/>
    <n v="52.1"/>
    <n v="208.4"/>
    <d v="2025-03-26T00:00:00"/>
    <d v="2025-03-27T00:00:00"/>
    <x v="2"/>
    <s v="App"/>
    <n v="5"/>
    <s v="California"/>
    <s v="Santa Clara County"/>
    <n v="1"/>
    <n v="13"/>
    <x v="2"/>
  </r>
  <r>
    <x v="2292"/>
    <x v="8"/>
    <n v="1"/>
    <n v="31"/>
    <n v="31"/>
    <d v="2025-03-26T00:00:00"/>
    <d v="2025-03-27T00:00:00"/>
    <x v="1"/>
    <s v="App"/>
    <n v="3"/>
    <s v="California"/>
    <s v="Stanislaus County"/>
    <n v="1"/>
    <n v="13"/>
    <x v="1"/>
  </r>
  <r>
    <x v="2293"/>
    <x v="8"/>
    <n v="1"/>
    <n v="32"/>
    <n v="32"/>
    <d v="2025-03-26T00:00:00"/>
    <d v="2025-03-28T00:00:00"/>
    <x v="3"/>
    <s v="Instagram"/>
    <n v="3"/>
    <s v="California"/>
    <s v="Sutter County"/>
    <n v="2"/>
    <n v="13"/>
    <x v="3"/>
  </r>
  <r>
    <x v="2294"/>
    <x v="16"/>
    <n v="4"/>
    <n v="58.3"/>
    <n v="233.2"/>
    <d v="2025-03-26T00:00:00"/>
    <d v="2025-03-30T00:00:00"/>
    <x v="1"/>
    <s v="Website"/>
    <n v="2"/>
    <s v="California"/>
    <s v="Tulare County"/>
    <n v="4"/>
    <n v="13"/>
    <x v="1"/>
  </r>
  <r>
    <x v="2295"/>
    <x v="8"/>
    <n v="3"/>
    <n v="31"/>
    <n v="93"/>
    <d v="2025-03-26T00:00:00"/>
    <d v="2025-03-28T00:00:00"/>
    <x v="2"/>
    <s v="Target.com"/>
    <n v="2"/>
    <s v="California"/>
    <s v="Ventura County"/>
    <n v="2"/>
    <n v="13"/>
    <x v="2"/>
  </r>
  <r>
    <x v="2296"/>
    <x v="3"/>
    <n v="1"/>
    <n v="40.299999999999997"/>
    <n v="40.299999999999997"/>
    <d v="2025-03-26T00:00:00"/>
    <d v="2025-03-27T00:00:00"/>
    <x v="1"/>
    <s v="Website"/>
    <n v="5"/>
    <s v="California"/>
    <s v="Colusa County"/>
    <n v="1"/>
    <n v="13"/>
    <x v="1"/>
  </r>
  <r>
    <x v="2297"/>
    <x v="6"/>
    <n v="3"/>
    <n v="47.3"/>
    <n v="141.89999999999998"/>
    <d v="2025-03-26T00:00:00"/>
    <d v="2025-03-28T00:00:00"/>
    <x v="1"/>
    <s v="Partner App"/>
    <n v="5"/>
    <s v="California"/>
    <s v="Fresno County"/>
    <n v="2"/>
    <n v="13"/>
    <x v="1"/>
  </r>
  <r>
    <x v="2298"/>
    <x v="2"/>
    <n v="1"/>
    <n v="82.8"/>
    <n v="82.8"/>
    <d v="2025-03-26T00:00:00"/>
    <d v="2025-03-27T00:00:00"/>
    <x v="1"/>
    <s v="App"/>
    <n v="4"/>
    <s v="California"/>
    <s v="Fresno County"/>
    <n v="1"/>
    <n v="13"/>
    <x v="1"/>
  </r>
  <r>
    <x v="2299"/>
    <x v="8"/>
    <n v="1"/>
    <n v="18.5"/>
    <n v="18.5"/>
    <d v="2025-03-26T00:00:00"/>
    <d v="2025-04-09T00:00:00"/>
    <x v="2"/>
    <s v="App"/>
    <n v="4"/>
    <s v="California"/>
    <s v="Humboldt County"/>
    <n v="14"/>
    <n v="13"/>
    <x v="2"/>
  </r>
  <r>
    <x v="2300"/>
    <x v="3"/>
    <n v="2"/>
    <n v="60.4"/>
    <n v="120.8"/>
    <d v="2025-03-26T00:00:00"/>
    <d v="2025-03-27T00:00:00"/>
    <x v="1"/>
    <s v="Target.com"/>
    <n v="4"/>
    <s v="California"/>
    <s v="Kern County"/>
    <n v="1"/>
    <n v="13"/>
    <x v="1"/>
  </r>
  <r>
    <x v="2301"/>
    <x v="6"/>
    <n v="5"/>
    <n v="80.2"/>
    <n v="401"/>
    <d v="2025-03-26T00:00:00"/>
    <d v="2025-04-02T00:00:00"/>
    <x v="1"/>
    <s v="Website"/>
    <n v="3"/>
    <s v="California"/>
    <s v="Lake County"/>
    <n v="7"/>
    <n v="13"/>
    <x v="1"/>
  </r>
  <r>
    <x v="2302"/>
    <x v="4"/>
    <n v="1"/>
    <n v="41.5"/>
    <n v="41.5"/>
    <d v="2025-03-26T00:00:00"/>
    <d v="2025-03-28T00:00:00"/>
    <x v="1"/>
    <s v="Target.com"/>
    <n v="4"/>
    <s v="California"/>
    <s v="Los Angeles County"/>
    <n v="2"/>
    <n v="13"/>
    <x v="1"/>
  </r>
  <r>
    <x v="2303"/>
    <x v="2"/>
    <n v="2"/>
    <n v="83.9"/>
    <n v="167.8"/>
    <d v="2025-03-26T00:00:00"/>
    <d v="2025-03-29T00:00:00"/>
    <x v="2"/>
    <s v="App"/>
    <n v="4"/>
    <s v="California"/>
    <s v="Los Angeles County"/>
    <n v="3"/>
    <n v="13"/>
    <x v="2"/>
  </r>
  <r>
    <x v="2304"/>
    <x v="8"/>
    <n v="2"/>
    <n v="16.7"/>
    <n v="33.4"/>
    <d v="2025-03-26T00:00:00"/>
    <d v="2025-03-30T00:00:00"/>
    <x v="2"/>
    <s v="App"/>
    <n v="3"/>
    <s v="California"/>
    <s v="Los Angeles County"/>
    <n v="4"/>
    <n v="13"/>
    <x v="2"/>
  </r>
  <r>
    <x v="2305"/>
    <x v="9"/>
    <n v="2"/>
    <n v="72.900000000000006"/>
    <n v="145.80000000000001"/>
    <d v="2025-03-26T00:00:00"/>
    <d v="2025-03-27T00:00:00"/>
    <x v="1"/>
    <s v="Target.com"/>
    <n v="3"/>
    <s v="California"/>
    <s v="Los Angeles County"/>
    <n v="1"/>
    <n v="13"/>
    <x v="1"/>
  </r>
  <r>
    <x v="2306"/>
    <x v="5"/>
    <n v="2"/>
    <n v="50.2"/>
    <n v="100.4"/>
    <d v="2025-03-26T00:00:00"/>
    <d v="2025-03-28T00:00:00"/>
    <x v="2"/>
    <s v="Website"/>
    <n v="5"/>
    <s v="California"/>
    <s v="Los Angeles County"/>
    <n v="2"/>
    <n v="13"/>
    <x v="2"/>
  </r>
  <r>
    <x v="2307"/>
    <x v="3"/>
    <n v="2"/>
    <n v="34.200000000000003"/>
    <n v="68.400000000000006"/>
    <d v="2025-03-26T00:00:00"/>
    <d v="2025-04-05T00:00:00"/>
    <x v="0"/>
    <s v="Website"/>
    <n v="4"/>
    <s v="California"/>
    <s v="Los Angeles County"/>
    <n v="10"/>
    <n v="13"/>
    <x v="0"/>
  </r>
  <r>
    <x v="2308"/>
    <x v="5"/>
    <n v="2"/>
    <n v="107.9"/>
    <n v="215.8"/>
    <d v="2025-03-26T00:00:00"/>
    <d v="2025-03-26T00:00:00"/>
    <x v="1"/>
    <s v="Website"/>
    <n v="2"/>
    <s v="California"/>
    <s v="Los Angeles County"/>
    <n v="0"/>
    <n v="13"/>
    <x v="1"/>
  </r>
  <r>
    <x v="2309"/>
    <x v="0"/>
    <n v="3"/>
    <n v="17.5"/>
    <n v="52.5"/>
    <d v="2025-03-26T00:00:00"/>
    <d v="2025-03-28T00:00:00"/>
    <x v="1"/>
    <s v="Partner App"/>
    <n v="4"/>
    <s v="California"/>
    <s v="Los Angeles County"/>
    <n v="2"/>
    <n v="13"/>
    <x v="1"/>
  </r>
  <r>
    <x v="2310"/>
    <x v="13"/>
    <n v="15"/>
    <n v="44.7"/>
    <n v="670.5"/>
    <d v="2025-03-26T00:00:00"/>
    <d v="2025-03-27T00:00:00"/>
    <x v="1"/>
    <s v="App"/>
    <n v="3"/>
    <s v="California"/>
    <s v="Los Angeles County"/>
    <n v="1"/>
    <n v="13"/>
    <x v="1"/>
  </r>
  <r>
    <x v="2311"/>
    <x v="12"/>
    <n v="6"/>
    <n v="92.7"/>
    <n v="556.20000000000005"/>
    <d v="2025-03-26T00:00:00"/>
    <d v="2025-03-28T00:00:00"/>
    <x v="2"/>
    <s v="Target.com"/>
    <n v="3"/>
    <s v="California"/>
    <s v="Los Angeles County"/>
    <n v="2"/>
    <n v="13"/>
    <x v="2"/>
  </r>
  <r>
    <x v="2312"/>
    <x v="7"/>
    <n v="3"/>
    <n v="48.8"/>
    <n v="146.39999999999998"/>
    <d v="2025-03-26T00:00:00"/>
    <d v="2025-03-28T00:00:00"/>
    <x v="2"/>
    <s v="Target.com"/>
    <n v="4"/>
    <s v="California"/>
    <s v="Los Angeles County"/>
    <n v="2"/>
    <n v="13"/>
    <x v="2"/>
  </r>
  <r>
    <x v="2313"/>
    <x v="4"/>
    <n v="16"/>
    <n v="21.3"/>
    <n v="340.8"/>
    <d v="2025-03-26T00:00:00"/>
    <d v="2025-03-30T00:00:00"/>
    <x v="2"/>
    <s v="Instagram"/>
    <n v="1"/>
    <s v="California"/>
    <s v="Los Angeles County"/>
    <n v="4"/>
    <n v="13"/>
    <x v="2"/>
  </r>
  <r>
    <x v="2314"/>
    <x v="16"/>
    <n v="1"/>
    <n v="52.5"/>
    <n v="52.5"/>
    <d v="2025-03-26T00:00:00"/>
    <d v="2025-03-27T00:00:00"/>
    <x v="2"/>
    <s v="App"/>
    <n v="4"/>
    <s v="California"/>
    <s v="Los Angeles County"/>
    <n v="1"/>
    <n v="13"/>
    <x v="2"/>
  </r>
  <r>
    <x v="2315"/>
    <x v="1"/>
    <n v="2"/>
    <n v="92.4"/>
    <n v="184.8"/>
    <d v="2025-03-26T00:00:00"/>
    <d v="2025-04-01T00:00:00"/>
    <x v="2"/>
    <s v="App"/>
    <n v="5"/>
    <s v="California"/>
    <s v="Los Angeles County"/>
    <n v="6"/>
    <n v="13"/>
    <x v="2"/>
  </r>
  <r>
    <x v="2316"/>
    <x v="4"/>
    <n v="11"/>
    <n v="58.3"/>
    <n v="641.29999999999995"/>
    <d v="2025-03-26T00:00:00"/>
    <d v="2025-03-28T00:00:00"/>
    <x v="1"/>
    <s v="Website"/>
    <n v="5"/>
    <s v="California"/>
    <s v="Los Angeles County"/>
    <n v="2"/>
    <n v="13"/>
    <x v="1"/>
  </r>
  <r>
    <x v="2317"/>
    <x v="6"/>
    <n v="23"/>
    <n v="152.6"/>
    <n v="3509.7999999999997"/>
    <d v="2025-03-27T00:00:00"/>
    <d v="2025-03-29T00:00:00"/>
    <x v="0"/>
    <s v="App"/>
    <n v="4"/>
    <s v="California"/>
    <s v="Los Angeles County"/>
    <n v="2"/>
    <n v="13"/>
    <x v="0"/>
  </r>
  <r>
    <x v="2318"/>
    <x v="8"/>
    <n v="2"/>
    <n v="26"/>
    <n v="52"/>
    <d v="2025-03-27T00:00:00"/>
    <d v="2025-03-27T00:00:00"/>
    <x v="0"/>
    <s v="App"/>
    <n v="3"/>
    <s v="California"/>
    <s v="Los Angeles County"/>
    <n v="0"/>
    <n v="13"/>
    <x v="0"/>
  </r>
  <r>
    <x v="2319"/>
    <x v="1"/>
    <n v="4"/>
    <n v="33.1"/>
    <n v="132.4"/>
    <d v="2025-03-27T00:00:00"/>
    <d v="2025-03-27T00:00:00"/>
    <x v="1"/>
    <s v="Target.com"/>
    <n v="2"/>
    <s v="California"/>
    <s v="Placer County"/>
    <n v="0"/>
    <n v="13"/>
    <x v="1"/>
  </r>
  <r>
    <x v="2320"/>
    <x v="18"/>
    <n v="1"/>
    <n v="51.4"/>
    <n v="51.4"/>
    <d v="2025-03-27T00:00:00"/>
    <d v="2025-03-29T00:00:00"/>
    <x v="2"/>
    <s v="Website"/>
    <n v="3"/>
    <s v="California"/>
    <s v="Placer County"/>
    <n v="2"/>
    <n v="13"/>
    <x v="2"/>
  </r>
  <r>
    <x v="2321"/>
    <x v="8"/>
    <n v="2"/>
    <n v="30.2"/>
    <n v="60.4"/>
    <d v="2025-03-27T00:00:00"/>
    <d v="2025-03-28T00:00:00"/>
    <x v="2"/>
    <s v="Target.com"/>
    <n v="5"/>
    <s v="California"/>
    <s v="Sacramento County"/>
    <n v="1"/>
    <n v="13"/>
    <x v="2"/>
  </r>
  <r>
    <x v="2322"/>
    <x v="2"/>
    <n v="6"/>
    <n v="97"/>
    <n v="582"/>
    <d v="2025-03-27T00:00:00"/>
    <d v="2025-03-31T00:00:00"/>
    <x v="2"/>
    <s v="App"/>
    <n v="5"/>
    <s v="California"/>
    <s v="San Bernardino County"/>
    <n v="4"/>
    <n v="13"/>
    <x v="2"/>
  </r>
  <r>
    <x v="2323"/>
    <x v="2"/>
    <n v="1"/>
    <n v="76.900000000000006"/>
    <n v="76.900000000000006"/>
    <d v="2025-03-27T00:00:00"/>
    <d v="2025-03-28T00:00:00"/>
    <x v="1"/>
    <s v="Website"/>
    <n v="5"/>
    <s v="California"/>
    <s v="San Diego County"/>
    <n v="1"/>
    <n v="13"/>
    <x v="1"/>
  </r>
  <r>
    <x v="2324"/>
    <x v="7"/>
    <n v="6"/>
    <n v="36.1"/>
    <n v="216.60000000000002"/>
    <d v="2025-03-27T00:00:00"/>
    <d v="2025-03-31T00:00:00"/>
    <x v="2"/>
    <s v="App"/>
    <n v="4"/>
    <s v="California"/>
    <s v="San Diego County"/>
    <n v="4"/>
    <n v="13"/>
    <x v="2"/>
  </r>
  <r>
    <x v="2325"/>
    <x v="1"/>
    <n v="7"/>
    <n v="34.4"/>
    <n v="240.79999999999998"/>
    <d v="2025-03-27T00:00:00"/>
    <d v="2025-03-27T00:00:00"/>
    <x v="2"/>
    <s v="Target.com"/>
    <n v="3"/>
    <s v="California"/>
    <s v="Santa Clara County"/>
    <n v="0"/>
    <n v="13"/>
    <x v="2"/>
  </r>
  <r>
    <x v="2326"/>
    <x v="1"/>
    <n v="28"/>
    <n v="53.4"/>
    <n v="1495.2"/>
    <d v="2025-03-27T00:00:00"/>
    <d v="2025-03-29T00:00:00"/>
    <x v="2"/>
    <s v="Website"/>
    <n v="4"/>
    <s v="California"/>
    <s v="Sonoma County"/>
    <n v="2"/>
    <n v="13"/>
    <x v="2"/>
  </r>
  <r>
    <x v="2327"/>
    <x v="2"/>
    <n v="1"/>
    <n v="77.599999999999994"/>
    <n v="77.599999999999994"/>
    <d v="2025-03-27T00:00:00"/>
    <d v="2025-03-28T00:00:00"/>
    <x v="2"/>
    <s v="App"/>
    <n v="3"/>
    <s v="California"/>
    <s v="Stanislaus County"/>
    <n v="1"/>
    <n v="13"/>
    <x v="2"/>
  </r>
  <r>
    <x v="2328"/>
    <x v="1"/>
    <n v="3"/>
    <n v="71.7"/>
    <n v="215.10000000000002"/>
    <d v="2025-03-27T00:00:00"/>
    <d v="2025-03-30T00:00:00"/>
    <x v="2"/>
    <s v="Website"/>
    <n v="4"/>
    <s v="California"/>
    <s v="Stanislaus County"/>
    <n v="3"/>
    <n v="13"/>
    <x v="2"/>
  </r>
  <r>
    <x v="2329"/>
    <x v="3"/>
    <n v="3"/>
    <n v="80.599999999999994"/>
    <n v="241.79999999999998"/>
    <d v="2025-03-27T00:00:00"/>
    <d v="2025-03-28T00:00:00"/>
    <x v="1"/>
    <s v="Partner App"/>
    <n v="3"/>
    <s v="California"/>
    <s v="Stanislaus County"/>
    <n v="1"/>
    <n v="13"/>
    <x v="1"/>
  </r>
  <r>
    <x v="2330"/>
    <x v="1"/>
    <n v="15"/>
    <n v="70"/>
    <n v="1050"/>
    <d v="2025-03-27T00:00:00"/>
    <d v="2025-03-29T00:00:00"/>
    <x v="1"/>
    <s v="App"/>
    <n v="4"/>
    <s v="California"/>
    <s v="Tulare County"/>
    <n v="2"/>
    <n v="13"/>
    <x v="1"/>
  </r>
  <r>
    <x v="2331"/>
    <x v="4"/>
    <n v="6"/>
    <n v="27.3"/>
    <n v="163.80000000000001"/>
    <d v="2025-03-27T00:00:00"/>
    <d v="2025-03-29T00:00:00"/>
    <x v="2"/>
    <s v="Website"/>
    <n v="3"/>
    <s v="California"/>
    <s v="Fresno County"/>
    <n v="2"/>
    <n v="13"/>
    <x v="2"/>
  </r>
  <r>
    <x v="2332"/>
    <x v="8"/>
    <n v="14"/>
    <n v="37.6"/>
    <n v="526.4"/>
    <d v="2025-03-27T00:00:00"/>
    <d v="2025-03-29T00:00:00"/>
    <x v="1"/>
    <s v="Website"/>
    <n v="4"/>
    <s v="California"/>
    <s v="Los Angeles County"/>
    <n v="2"/>
    <n v="13"/>
    <x v="1"/>
  </r>
  <r>
    <x v="2333"/>
    <x v="5"/>
    <n v="3"/>
    <n v="36.6"/>
    <n v="109.80000000000001"/>
    <d v="2025-03-27T00:00:00"/>
    <d v="2025-03-29T00:00:00"/>
    <x v="2"/>
    <s v="Partner App"/>
    <n v="4"/>
    <s v="California"/>
    <s v="Los Angeles County"/>
    <n v="2"/>
    <n v="13"/>
    <x v="2"/>
  </r>
  <r>
    <x v="2334"/>
    <x v="13"/>
    <n v="1"/>
    <n v="55.2"/>
    <n v="55.2"/>
    <d v="2025-03-27T00:00:00"/>
    <d v="2025-03-29T00:00:00"/>
    <x v="1"/>
    <s v="Instagram"/>
    <n v="4"/>
    <s v="California"/>
    <s v="Los Angeles County"/>
    <n v="2"/>
    <n v="13"/>
    <x v="1"/>
  </r>
  <r>
    <x v="2335"/>
    <x v="6"/>
    <n v="5"/>
    <n v="59.9"/>
    <n v="299.5"/>
    <d v="2025-03-27T00:00:00"/>
    <d v="2025-03-29T00:00:00"/>
    <x v="1"/>
    <s v="App"/>
    <n v="4"/>
    <s v="California"/>
    <s v="Los Angeles County"/>
    <n v="2"/>
    <n v="13"/>
    <x v="1"/>
  </r>
  <r>
    <x v="2336"/>
    <x v="6"/>
    <n v="1"/>
    <n v="44"/>
    <n v="44"/>
    <d v="2025-03-27T00:00:00"/>
    <d v="2025-03-28T00:00:00"/>
    <x v="2"/>
    <s v="Target.com"/>
    <n v="5"/>
    <s v="California"/>
    <s v="Los Angeles County"/>
    <n v="1"/>
    <n v="13"/>
    <x v="2"/>
  </r>
  <r>
    <x v="2337"/>
    <x v="9"/>
    <n v="2"/>
    <n v="68.7"/>
    <n v="137.4"/>
    <d v="2025-03-27T00:00:00"/>
    <d v="2025-03-27T00:00:00"/>
    <x v="1"/>
    <s v="App"/>
    <n v="4"/>
    <s v="California"/>
    <s v="Los Angeles County"/>
    <n v="0"/>
    <n v="13"/>
    <x v="1"/>
  </r>
  <r>
    <x v="2338"/>
    <x v="5"/>
    <n v="2"/>
    <n v="61.6"/>
    <n v="123.2"/>
    <d v="2025-03-27T00:00:00"/>
    <d v="2025-03-31T00:00:00"/>
    <x v="1"/>
    <s v="Instagram"/>
    <n v="3"/>
    <s v="California"/>
    <s v="Los Angeles County"/>
    <n v="4"/>
    <n v="13"/>
    <x v="1"/>
  </r>
  <r>
    <x v="2339"/>
    <x v="7"/>
    <n v="7"/>
    <n v="51.8"/>
    <n v="362.59999999999997"/>
    <d v="2025-03-27T00:00:00"/>
    <d v="2025-03-28T00:00:00"/>
    <x v="1"/>
    <s v="App"/>
    <n v="4"/>
    <s v="California"/>
    <s v="Los Angeles County"/>
    <n v="1"/>
    <n v="13"/>
    <x v="1"/>
  </r>
  <r>
    <x v="2340"/>
    <x v="8"/>
    <n v="10"/>
    <n v="46.2"/>
    <n v="462"/>
    <d v="2025-03-27T00:00:00"/>
    <d v="2025-03-29T00:00:00"/>
    <x v="1"/>
    <s v="Website"/>
    <n v="5"/>
    <s v="California"/>
    <s v="Los Angeles County"/>
    <n v="2"/>
    <n v="13"/>
    <x v="1"/>
  </r>
  <r>
    <x v="2341"/>
    <x v="0"/>
    <n v="2"/>
    <n v="19.399999999999999"/>
    <n v="38.799999999999997"/>
    <d v="2025-03-27T00:00:00"/>
    <d v="2025-03-29T00:00:00"/>
    <x v="2"/>
    <s v="Website"/>
    <n v="5"/>
    <s v="California"/>
    <s v="Sacramento County"/>
    <n v="2"/>
    <n v="13"/>
    <x v="2"/>
  </r>
  <r>
    <x v="2342"/>
    <x v="11"/>
    <n v="3"/>
    <n v="52.1"/>
    <n v="156.30000000000001"/>
    <d v="2025-03-27T00:00:00"/>
    <d v="2025-03-30T00:00:00"/>
    <x v="1"/>
    <s v="Instagram"/>
    <n v="1"/>
    <s v="California"/>
    <s v="Sacramento County"/>
    <n v="3"/>
    <n v="13"/>
    <x v="1"/>
  </r>
  <r>
    <x v="2343"/>
    <x v="6"/>
    <n v="1"/>
    <n v="74.900000000000006"/>
    <n v="74.900000000000006"/>
    <d v="2025-03-27T00:00:00"/>
    <d v="2025-03-29T00:00:00"/>
    <x v="3"/>
    <s v="App"/>
    <n v="4"/>
    <s v="California"/>
    <s v="San Bernardino County"/>
    <n v="2"/>
    <n v="13"/>
    <x v="3"/>
  </r>
  <r>
    <x v="2344"/>
    <x v="9"/>
    <n v="7"/>
    <n v="49.6"/>
    <n v="347.2"/>
    <d v="2025-03-27T00:00:00"/>
    <d v="2025-03-30T00:00:00"/>
    <x v="2"/>
    <s v="Partner App"/>
    <n v="4"/>
    <s v="California"/>
    <s v="San Diego County"/>
    <n v="3"/>
    <n v="13"/>
    <x v="2"/>
  </r>
  <r>
    <x v="2345"/>
    <x v="16"/>
    <n v="4"/>
    <n v="82.8"/>
    <n v="331.2"/>
    <d v="2025-03-28T00:00:00"/>
    <d v="2025-03-31T00:00:00"/>
    <x v="2"/>
    <s v="Partner App"/>
    <n v="4"/>
    <s v="California"/>
    <s v="San Diego County"/>
    <n v="3"/>
    <n v="13"/>
    <x v="2"/>
  </r>
  <r>
    <x v="2346"/>
    <x v="2"/>
    <n v="1"/>
    <n v="97.7"/>
    <n v="97.7"/>
    <d v="2025-03-28T00:00:00"/>
    <d v="2025-03-29T00:00:00"/>
    <x v="2"/>
    <s v="Website"/>
    <n v="4"/>
    <s v="California"/>
    <s v="San Diego County"/>
    <n v="1"/>
    <n v="13"/>
    <x v="2"/>
  </r>
  <r>
    <x v="2347"/>
    <x v="6"/>
    <n v="5"/>
    <n v="83.6"/>
    <n v="418"/>
    <d v="2025-03-28T00:00:00"/>
    <d v="2025-03-29T00:00:00"/>
    <x v="2"/>
    <s v="Partner App"/>
    <n v="4"/>
    <s v="California"/>
    <s v="San Diego County"/>
    <n v="1"/>
    <n v="13"/>
    <x v="2"/>
  </r>
  <r>
    <x v="2348"/>
    <x v="8"/>
    <n v="5"/>
    <n v="23.5"/>
    <n v="117.5"/>
    <d v="2025-03-28T00:00:00"/>
    <d v="2025-04-01T00:00:00"/>
    <x v="3"/>
    <s v="App"/>
    <n v="4"/>
    <s v="California"/>
    <s v="San Diego County"/>
    <n v="4"/>
    <n v="13"/>
    <x v="3"/>
  </r>
  <r>
    <x v="2349"/>
    <x v="9"/>
    <n v="3"/>
    <n v="44.6"/>
    <n v="133.80000000000001"/>
    <d v="2025-03-28T00:00:00"/>
    <d v="2025-03-31T00:00:00"/>
    <x v="2"/>
    <s v="Partner App"/>
    <n v="3"/>
    <s v="California"/>
    <s v="San Joaquin County"/>
    <n v="3"/>
    <n v="13"/>
    <x v="2"/>
  </r>
  <r>
    <x v="2350"/>
    <x v="0"/>
    <n v="3"/>
    <n v="20.100000000000001"/>
    <n v="60.300000000000004"/>
    <d v="2025-03-28T00:00:00"/>
    <d v="2025-03-30T00:00:00"/>
    <x v="2"/>
    <s v="Instagram"/>
    <n v="2"/>
    <s v="California"/>
    <s v="Santa Clara County"/>
    <n v="2"/>
    <n v="13"/>
    <x v="2"/>
  </r>
  <r>
    <x v="2351"/>
    <x v="2"/>
    <n v="5"/>
    <n v="153.6"/>
    <n v="768"/>
    <d v="2025-03-28T00:00:00"/>
    <d v="2025-03-29T00:00:00"/>
    <x v="2"/>
    <s v="Website"/>
    <n v="5"/>
    <s v="California"/>
    <s v="Shasta County"/>
    <n v="1"/>
    <n v="13"/>
    <x v="2"/>
  </r>
  <r>
    <x v="2352"/>
    <x v="1"/>
    <n v="2"/>
    <n v="71.8"/>
    <n v="143.6"/>
    <d v="2025-03-28T00:00:00"/>
    <d v="2025-04-01T00:00:00"/>
    <x v="2"/>
    <s v="Website"/>
    <n v="4"/>
    <s v="California"/>
    <s v="Contra Costa County"/>
    <n v="4"/>
    <n v="13"/>
    <x v="2"/>
  </r>
  <r>
    <x v="2353"/>
    <x v="10"/>
    <n v="1"/>
    <n v="64.7"/>
    <n v="64.7"/>
    <d v="2025-03-28T00:00:00"/>
    <d v="2025-03-30T00:00:00"/>
    <x v="0"/>
    <s v="App"/>
    <n v="3"/>
    <s v="California"/>
    <s v="Contra Costa County"/>
    <n v="2"/>
    <n v="13"/>
    <x v="0"/>
  </r>
  <r>
    <x v="2354"/>
    <x v="9"/>
    <n v="8"/>
    <n v="60.4"/>
    <n v="483.2"/>
    <d v="2025-03-28T00:00:00"/>
    <d v="2025-03-30T00:00:00"/>
    <x v="2"/>
    <s v="Instagram"/>
    <n v="5"/>
    <s v="California"/>
    <s v="Fresno County"/>
    <n v="2"/>
    <n v="13"/>
    <x v="2"/>
  </r>
  <r>
    <x v="2355"/>
    <x v="6"/>
    <n v="4"/>
    <n v="86"/>
    <n v="344"/>
    <d v="2025-03-28T00:00:00"/>
    <d v="2025-03-31T00:00:00"/>
    <x v="2"/>
    <s v="Target.com"/>
    <n v="5"/>
    <s v="California"/>
    <s v="Kern County"/>
    <n v="3"/>
    <n v="13"/>
    <x v="2"/>
  </r>
  <r>
    <x v="2356"/>
    <x v="12"/>
    <n v="2"/>
    <n v="42.1"/>
    <n v="84.2"/>
    <d v="2025-03-28T00:00:00"/>
    <d v="2025-03-29T00:00:00"/>
    <x v="2"/>
    <s v="Partner App"/>
    <n v="3"/>
    <s v="California"/>
    <s v="Kings County"/>
    <n v="1"/>
    <n v="13"/>
    <x v="2"/>
  </r>
  <r>
    <x v="2357"/>
    <x v="16"/>
    <n v="9"/>
    <n v="51.1"/>
    <n v="459.90000000000003"/>
    <d v="2025-03-28T00:00:00"/>
    <d v="2025-03-29T00:00:00"/>
    <x v="1"/>
    <s v="Target.com"/>
    <n v="3"/>
    <s v="California"/>
    <s v="Los Angeles County"/>
    <n v="1"/>
    <n v="13"/>
    <x v="1"/>
  </r>
  <r>
    <x v="2358"/>
    <x v="9"/>
    <n v="4"/>
    <n v="73.8"/>
    <n v="295.2"/>
    <d v="2025-03-28T00:00:00"/>
    <d v="2025-03-29T00:00:00"/>
    <x v="1"/>
    <s v="Partner App"/>
    <n v="4"/>
    <s v="California"/>
    <s v="Los Angeles County"/>
    <n v="1"/>
    <n v="13"/>
    <x v="1"/>
  </r>
  <r>
    <x v="2359"/>
    <x v="8"/>
    <n v="5"/>
    <n v="27"/>
    <n v="135"/>
    <d v="2025-03-28T00:00:00"/>
    <d v="2025-03-31T00:00:00"/>
    <x v="2"/>
    <s v="Target.com"/>
    <n v="5"/>
    <s v="California"/>
    <s v="Los Angeles County"/>
    <n v="3"/>
    <n v="13"/>
    <x v="2"/>
  </r>
  <r>
    <x v="2360"/>
    <x v="8"/>
    <n v="6"/>
    <n v="60.1"/>
    <n v="360.6"/>
    <d v="2025-03-28T00:00:00"/>
    <d v="2025-03-29T00:00:00"/>
    <x v="1"/>
    <s v="Instagram"/>
    <n v="4"/>
    <s v="California"/>
    <s v="Los Angeles County"/>
    <n v="1"/>
    <n v="13"/>
    <x v="1"/>
  </r>
  <r>
    <x v="2361"/>
    <x v="2"/>
    <n v="7"/>
    <n v="94.1"/>
    <n v="658.69999999999993"/>
    <d v="2025-03-28T00:00:00"/>
    <d v="2025-03-30T00:00:00"/>
    <x v="2"/>
    <s v="Partner App"/>
    <n v="3"/>
    <s v="California"/>
    <s v="Los Angeles County"/>
    <n v="2"/>
    <n v="13"/>
    <x v="2"/>
  </r>
  <r>
    <x v="2362"/>
    <x v="2"/>
    <n v="2"/>
    <n v="124.1"/>
    <n v="248.2"/>
    <d v="2025-03-28T00:00:00"/>
    <d v="2025-03-28T00:00:00"/>
    <x v="2"/>
    <s v="Target.com"/>
    <n v="1"/>
    <s v="California"/>
    <s v="Marin County"/>
    <n v="0"/>
    <n v="13"/>
    <x v="2"/>
  </r>
  <r>
    <x v="2363"/>
    <x v="8"/>
    <n v="4"/>
    <n v="16.899999999999999"/>
    <n v="67.599999999999994"/>
    <d v="2025-03-28T00:00:00"/>
    <d v="2025-03-31T00:00:00"/>
    <x v="1"/>
    <s v="Instagram"/>
    <n v="4"/>
    <s v="California"/>
    <s v="Sacramento County"/>
    <n v="3"/>
    <n v="13"/>
    <x v="1"/>
  </r>
  <r>
    <x v="2364"/>
    <x v="1"/>
    <n v="1"/>
    <n v="36.9"/>
    <n v="36.9"/>
    <d v="2025-03-28T00:00:00"/>
    <d v="2025-03-29T00:00:00"/>
    <x v="1"/>
    <s v="App"/>
    <n v="4"/>
    <s v="California"/>
    <s v="Sacramento County"/>
    <n v="1"/>
    <n v="13"/>
    <x v="1"/>
  </r>
  <r>
    <x v="2365"/>
    <x v="9"/>
    <n v="2"/>
    <n v="22.6"/>
    <n v="45.2"/>
    <d v="2025-03-28T00:00:00"/>
    <d v="2025-04-10T00:00:00"/>
    <x v="2"/>
    <s v="Target.com"/>
    <n v="3"/>
    <s v="California"/>
    <s v="San Diego County"/>
    <n v="13"/>
    <n v="13"/>
    <x v="2"/>
  </r>
  <r>
    <x v="2366"/>
    <x v="7"/>
    <n v="4"/>
    <n v="35"/>
    <n v="140"/>
    <d v="2025-03-28T00:00:00"/>
    <d v="2025-04-02T00:00:00"/>
    <x v="1"/>
    <s v="Instagram"/>
    <n v="3"/>
    <s v="California"/>
    <s v="San Diego County"/>
    <n v="5"/>
    <n v="13"/>
    <x v="1"/>
  </r>
  <r>
    <x v="2367"/>
    <x v="9"/>
    <n v="6"/>
    <n v="63.6"/>
    <n v="381.6"/>
    <d v="2025-03-28T00:00:00"/>
    <d v="2025-04-04T00:00:00"/>
    <x v="0"/>
    <s v="Website"/>
    <n v="5"/>
    <s v="California"/>
    <s v="San Diego County"/>
    <n v="7"/>
    <n v="13"/>
    <x v="0"/>
  </r>
  <r>
    <x v="2368"/>
    <x v="15"/>
    <n v="4"/>
    <n v="78.599999999999994"/>
    <n v="314.39999999999998"/>
    <d v="2025-03-28T00:00:00"/>
    <d v="2025-03-29T00:00:00"/>
    <x v="1"/>
    <s v="Partner App"/>
    <n v="3"/>
    <s v="California"/>
    <s v="San Diego County"/>
    <n v="1"/>
    <n v="13"/>
    <x v="1"/>
  </r>
  <r>
    <x v="2369"/>
    <x v="3"/>
    <n v="2"/>
    <n v="38.5"/>
    <n v="77"/>
    <d v="2025-03-28T00:00:00"/>
    <d v="2025-03-29T00:00:00"/>
    <x v="1"/>
    <s v="App"/>
    <n v="5"/>
    <s v="California"/>
    <s v="San Diego County"/>
    <n v="1"/>
    <n v="13"/>
    <x v="1"/>
  </r>
  <r>
    <x v="2370"/>
    <x v="8"/>
    <n v="11"/>
    <n v="71.5"/>
    <n v="786.5"/>
    <d v="2025-03-28T00:00:00"/>
    <d v="2025-03-29T00:00:00"/>
    <x v="2"/>
    <s v="Website"/>
    <n v="2"/>
    <s v="California"/>
    <s v="San Diego County"/>
    <n v="1"/>
    <n v="13"/>
    <x v="2"/>
  </r>
  <r>
    <x v="2371"/>
    <x v="6"/>
    <n v="4"/>
    <n v="121.4"/>
    <n v="485.6"/>
    <d v="2025-03-28T00:00:00"/>
    <d v="2025-04-01T00:00:00"/>
    <x v="1"/>
    <s v="Website"/>
    <n v="5"/>
    <s v="California"/>
    <s v="San Francisco"/>
    <n v="4"/>
    <n v="13"/>
    <x v="1"/>
  </r>
  <r>
    <x v="2372"/>
    <x v="11"/>
    <n v="1"/>
    <n v="40.200000000000003"/>
    <n v="40.200000000000003"/>
    <d v="2025-03-28T00:00:00"/>
    <d v="2025-03-31T00:00:00"/>
    <x v="2"/>
    <s v="App"/>
    <n v="5"/>
    <s v="California"/>
    <s v="Santa Clara County"/>
    <n v="3"/>
    <n v="13"/>
    <x v="2"/>
  </r>
  <r>
    <x v="2373"/>
    <x v="5"/>
    <n v="5"/>
    <n v="31.9"/>
    <n v="159.5"/>
    <d v="2025-03-28T00:00:00"/>
    <d v="2025-03-30T00:00:00"/>
    <x v="2"/>
    <s v="Target.com"/>
    <n v="5"/>
    <s v="California"/>
    <s v="Yolo County"/>
    <n v="2"/>
    <n v="13"/>
    <x v="2"/>
  </r>
  <r>
    <x v="2374"/>
    <x v="14"/>
    <n v="5"/>
    <n v="15.8"/>
    <n v="79"/>
    <d v="2025-03-29T00:00:00"/>
    <d v="2025-03-30T00:00:00"/>
    <x v="1"/>
    <s v="Instagram"/>
    <n v="5"/>
    <s v="California"/>
    <s v="Alameda County"/>
    <n v="1"/>
    <n v="13"/>
    <x v="1"/>
  </r>
  <r>
    <x v="2375"/>
    <x v="10"/>
    <n v="2"/>
    <n v="25.1"/>
    <n v="50.2"/>
    <d v="2025-03-29T00:00:00"/>
    <d v="2025-03-31T00:00:00"/>
    <x v="0"/>
    <s v="Website"/>
    <n v="4"/>
    <s v="California"/>
    <s v="Alameda County"/>
    <n v="2"/>
    <n v="13"/>
    <x v="0"/>
  </r>
  <r>
    <x v="2376"/>
    <x v="1"/>
    <n v="23"/>
    <n v="38.1"/>
    <n v="876.30000000000007"/>
    <d v="2025-03-29T00:00:00"/>
    <d v="2025-03-30T00:00:00"/>
    <x v="2"/>
    <s v="Partner App"/>
    <n v="4"/>
    <s v="California"/>
    <s v="Contra Costa County"/>
    <n v="1"/>
    <n v="13"/>
    <x v="2"/>
  </r>
  <r>
    <x v="2377"/>
    <x v="3"/>
    <n v="2"/>
    <n v="42.2"/>
    <n v="84.4"/>
    <d v="2025-03-29T00:00:00"/>
    <d v="2025-03-31T00:00:00"/>
    <x v="2"/>
    <s v="App"/>
    <n v="5"/>
    <s v="California"/>
    <s v="Contra Costa County"/>
    <n v="2"/>
    <n v="13"/>
    <x v="2"/>
  </r>
  <r>
    <x v="2378"/>
    <x v="0"/>
    <n v="10"/>
    <n v="12.3"/>
    <n v="123"/>
    <d v="2025-03-29T00:00:00"/>
    <d v="2025-03-30T00:00:00"/>
    <x v="2"/>
    <s v="Partner App"/>
    <n v="4"/>
    <s v="California"/>
    <s v="Fresno County"/>
    <n v="1"/>
    <n v="13"/>
    <x v="2"/>
  </r>
  <r>
    <x v="2379"/>
    <x v="7"/>
    <n v="1"/>
    <n v="30.2"/>
    <n v="30.2"/>
    <d v="2025-03-29T00:00:00"/>
    <d v="2025-03-31T00:00:00"/>
    <x v="2"/>
    <s v="Website"/>
    <n v="5"/>
    <s v="California"/>
    <s v="Kings County"/>
    <n v="2"/>
    <n v="13"/>
    <x v="2"/>
  </r>
  <r>
    <x v="2380"/>
    <x v="5"/>
    <n v="3"/>
    <n v="25.3"/>
    <n v="75.900000000000006"/>
    <d v="2025-03-29T00:00:00"/>
    <d v="2025-04-01T00:00:00"/>
    <x v="2"/>
    <s v="Target.com"/>
    <n v="4"/>
    <s v="California"/>
    <s v="Los Angeles County"/>
    <n v="3"/>
    <n v="13"/>
    <x v="2"/>
  </r>
  <r>
    <x v="2381"/>
    <x v="8"/>
    <n v="5"/>
    <n v="29.7"/>
    <n v="148.5"/>
    <d v="2025-03-29T00:00:00"/>
    <d v="2025-03-31T00:00:00"/>
    <x v="1"/>
    <s v="Instagram"/>
    <n v="4"/>
    <s v="California"/>
    <s v="Los Angeles County"/>
    <n v="2"/>
    <n v="13"/>
    <x v="1"/>
  </r>
  <r>
    <x v="2382"/>
    <x v="9"/>
    <n v="8"/>
    <n v="32.9"/>
    <n v="263.2"/>
    <d v="2025-03-29T00:00:00"/>
    <d v="2025-03-30T00:00:00"/>
    <x v="0"/>
    <s v="Instagram"/>
    <n v="5"/>
    <s v="California"/>
    <s v="Los Angeles County"/>
    <n v="1"/>
    <n v="13"/>
    <x v="0"/>
  </r>
  <r>
    <x v="2383"/>
    <x v="10"/>
    <n v="2"/>
    <n v="43.6"/>
    <n v="87.2"/>
    <d v="2025-03-29T00:00:00"/>
    <d v="2025-03-30T00:00:00"/>
    <x v="1"/>
    <s v="Website"/>
    <n v="5"/>
    <s v="California"/>
    <s v="Los Angeles County"/>
    <n v="1"/>
    <n v="13"/>
    <x v="1"/>
  </r>
  <r>
    <x v="2384"/>
    <x v="15"/>
    <n v="4"/>
    <n v="78.400000000000006"/>
    <n v="313.60000000000002"/>
    <d v="2025-03-29T00:00:00"/>
    <d v="2025-03-30T00:00:00"/>
    <x v="1"/>
    <s v="Target.com"/>
    <n v="4"/>
    <s v="California"/>
    <s v="Los Angeles County"/>
    <n v="1"/>
    <n v="13"/>
    <x v="1"/>
  </r>
  <r>
    <x v="2385"/>
    <x v="6"/>
    <n v="2"/>
    <n v="56.5"/>
    <n v="113"/>
    <d v="2025-03-29T00:00:00"/>
    <d v="2025-04-02T00:00:00"/>
    <x v="1"/>
    <s v="Website"/>
    <n v="3"/>
    <s v="California"/>
    <s v="Los Angeles County"/>
    <n v="4"/>
    <n v="13"/>
    <x v="1"/>
  </r>
  <r>
    <x v="2386"/>
    <x v="16"/>
    <n v="1"/>
    <n v="36.700000000000003"/>
    <n v="36.700000000000003"/>
    <d v="2025-03-29T00:00:00"/>
    <d v="2025-03-30T00:00:00"/>
    <x v="2"/>
    <s v="App"/>
    <n v="5"/>
    <s v="California"/>
    <s v="Los Angeles County"/>
    <n v="1"/>
    <n v="13"/>
    <x v="2"/>
  </r>
  <r>
    <x v="2387"/>
    <x v="2"/>
    <n v="4"/>
    <n v="103.6"/>
    <n v="414.4"/>
    <d v="2025-03-29T00:00:00"/>
    <d v="2025-04-09T00:00:00"/>
    <x v="1"/>
    <s v="Partner App"/>
    <n v="5"/>
    <s v="California"/>
    <s v="Los Angeles County"/>
    <n v="11"/>
    <n v="13"/>
    <x v="1"/>
  </r>
  <r>
    <x v="2388"/>
    <x v="8"/>
    <n v="6"/>
    <n v="16.2"/>
    <n v="97.199999999999989"/>
    <d v="2025-03-29T00:00:00"/>
    <d v="2025-04-02T00:00:00"/>
    <x v="1"/>
    <s v="Website"/>
    <n v="5"/>
    <s v="California"/>
    <s v="Sacramento County"/>
    <n v="4"/>
    <n v="13"/>
    <x v="1"/>
  </r>
  <r>
    <x v="2389"/>
    <x v="8"/>
    <n v="2"/>
    <n v="20.2"/>
    <n v="40.4"/>
    <d v="2025-03-29T00:00:00"/>
    <d v="2025-03-30T00:00:00"/>
    <x v="2"/>
    <s v="App"/>
    <n v="4"/>
    <s v="California"/>
    <s v="Sacramento County"/>
    <n v="1"/>
    <n v="13"/>
    <x v="2"/>
  </r>
  <r>
    <x v="2390"/>
    <x v="11"/>
    <n v="2"/>
    <n v="26.9"/>
    <n v="53.8"/>
    <d v="2025-03-29T00:00:00"/>
    <d v="2025-03-31T00:00:00"/>
    <x v="2"/>
    <s v="Target.com"/>
    <n v="4"/>
    <s v="California"/>
    <s v="Sacramento County"/>
    <n v="2"/>
    <n v="13"/>
    <x v="2"/>
  </r>
  <r>
    <x v="2391"/>
    <x v="1"/>
    <n v="2"/>
    <n v="82.4"/>
    <n v="164.8"/>
    <d v="2025-03-29T00:00:00"/>
    <d v="2025-04-01T00:00:00"/>
    <x v="0"/>
    <s v="App"/>
    <n v="4"/>
    <s v="California"/>
    <s v="San Bernardino County"/>
    <n v="3"/>
    <n v="13"/>
    <x v="0"/>
  </r>
  <r>
    <x v="2392"/>
    <x v="2"/>
    <n v="2"/>
    <n v="117.8"/>
    <n v="235.6"/>
    <d v="2025-03-29T00:00:00"/>
    <d v="2025-03-31T00:00:00"/>
    <x v="1"/>
    <s v="Website"/>
    <n v="5"/>
    <s v="California"/>
    <s v="San Diego County"/>
    <n v="2"/>
    <n v="13"/>
    <x v="1"/>
  </r>
  <r>
    <x v="2393"/>
    <x v="11"/>
    <n v="4"/>
    <n v="36.700000000000003"/>
    <n v="146.80000000000001"/>
    <d v="2025-03-29T00:00:00"/>
    <d v="2025-03-30T00:00:00"/>
    <x v="1"/>
    <s v="Website"/>
    <n v="4"/>
    <s v="California"/>
    <s v="San Diego County"/>
    <n v="1"/>
    <n v="13"/>
    <x v="1"/>
  </r>
  <r>
    <x v="2394"/>
    <x v="17"/>
    <n v="3"/>
    <n v="46.8"/>
    <n v="140.39999999999998"/>
    <d v="2025-03-29T00:00:00"/>
    <d v="2025-03-30T00:00:00"/>
    <x v="1"/>
    <s v="Partner App"/>
    <n v="5"/>
    <s v="California"/>
    <s v="Santa Barbara County"/>
    <n v="1"/>
    <n v="13"/>
    <x v="1"/>
  </r>
  <r>
    <x v="2395"/>
    <x v="3"/>
    <n v="1"/>
    <n v="61.4"/>
    <n v="61.4"/>
    <d v="2025-03-29T00:00:00"/>
    <d v="2025-03-30T00:00:00"/>
    <x v="1"/>
    <s v="Website"/>
    <n v="4"/>
    <s v="California"/>
    <s v="Santa Barbara County"/>
    <n v="1"/>
    <n v="13"/>
    <x v="1"/>
  </r>
  <r>
    <x v="2396"/>
    <x v="15"/>
    <n v="2"/>
    <n v="22.9"/>
    <n v="45.8"/>
    <d v="2025-03-29T00:00:00"/>
    <d v="2025-03-30T00:00:00"/>
    <x v="1"/>
    <s v="App"/>
    <n v="4"/>
    <s v="California"/>
    <s v="Santa Clara County"/>
    <n v="1"/>
    <n v="13"/>
    <x v="1"/>
  </r>
  <r>
    <x v="2397"/>
    <x v="10"/>
    <n v="2"/>
    <n v="22.1"/>
    <n v="44.2"/>
    <d v="2025-03-29T00:00:00"/>
    <d v="2025-03-30T00:00:00"/>
    <x v="2"/>
    <s v="Partner App"/>
    <n v="4"/>
    <s v="California"/>
    <s v="Santa Clara County"/>
    <n v="1"/>
    <n v="13"/>
    <x v="2"/>
  </r>
  <r>
    <x v="2398"/>
    <x v="12"/>
    <n v="2"/>
    <n v="31"/>
    <n v="62"/>
    <d v="2025-03-29T00:00:00"/>
    <d v="2025-03-31T00:00:00"/>
    <x v="2"/>
    <s v="Target.com"/>
    <n v="4"/>
    <s v="California"/>
    <s v="Sonoma County"/>
    <n v="2"/>
    <n v="13"/>
    <x v="2"/>
  </r>
  <r>
    <x v="2399"/>
    <x v="18"/>
    <n v="2"/>
    <n v="84.2"/>
    <n v="168.4"/>
    <d v="2025-03-29T00:00:00"/>
    <d v="2025-03-31T00:00:00"/>
    <x v="1"/>
    <s v="Target.com"/>
    <n v="5"/>
    <s v="California"/>
    <s v="Ventura County"/>
    <n v="2"/>
    <n v="13"/>
    <x v="1"/>
  </r>
  <r>
    <x v="2400"/>
    <x v="20"/>
    <m/>
    <m/>
    <m/>
    <m/>
    <m/>
    <x v="4"/>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2BFBEF-1235-46C9-97E4-18F07E32F7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1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colFields count="1">
    <field x="-2"/>
  </colFields>
  <dataFields count="2">
    <dataField name="Sum of Quantity" fld="2" baseField="0" baseItem="0"/>
    <dataField name="Sum of Amount" fld="4"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34FAA-2EED-468C-BAFA-4E0D761A2F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4" firstHeaderRow="0" firstDataRow="1" firstDataCol="0"/>
  <pivotFields count="15">
    <pivotField dataField="1" showAll="0">
      <items count="24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t="default"/>
      </items>
    </pivotField>
    <pivotField showAll="0"/>
    <pivotField dataField="1" showAll="0"/>
    <pivotField showAll="0"/>
    <pivotField dataField="1" showAll="0"/>
    <pivotField showAll="0"/>
    <pivotField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32E32-E1D4-4C9A-8959-C58786BCD7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 firstHeaderRow="1" firstDataRow="2"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4">
        <item x="2"/>
        <item x="1"/>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colFields count="1">
    <field x="14"/>
  </colFields>
  <dataFields count="1">
    <dataField name="Sum of Quantity" fld="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C4BEC1-9E6B-41FA-8995-45F7C92A0FF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25" firstHeaderRow="1" firstDataRow="2" firstDataCol="1"/>
  <pivotFields count="18">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Col" showAll="0">
      <items count="4">
        <item x="2"/>
        <item x="1"/>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14"/>
  </colFields>
  <colItems count="4">
    <i>
      <x/>
    </i>
    <i>
      <x v="1"/>
    </i>
    <i>
      <x v="2"/>
    </i>
    <i t="grand">
      <x/>
    </i>
  </colItems>
  <dataFields count="1">
    <dataField name="Sum of Quantity" fld="2" baseField="0"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4" count="1" selected="0">
            <x v="1"/>
          </reference>
        </references>
      </pivotArea>
    </chartFormat>
    <chartFormat chart="0" format="21" series="1">
      <pivotArea type="data" outline="0" fieldPosition="0">
        <references count="2">
          <reference field="4294967294" count="1" selected="0">
            <x v="0"/>
          </reference>
          <reference field="14" count="1" selected="0">
            <x v="2"/>
          </reference>
        </references>
      </pivotArea>
    </chartFormat>
    <chartFormat chart="0" format="22"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6E921E-733F-4F1A-B8C8-26BD8DDE11E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7"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A3CC4F-EDAC-4D6B-A4E1-F3C6E2FC6A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848396-4A91-45C8-8548-D2A6236982D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axis="axisCol" showAll="0">
      <items count="6">
        <item x="3"/>
        <item x="4"/>
        <item x="1"/>
        <item x="0"/>
        <item x="2"/>
        <item t="default"/>
      </items>
    </pivotField>
    <pivotField showAll="0"/>
    <pivotField showAll="0"/>
    <pivotField showAll="0"/>
    <pivotField showAll="0"/>
    <pivotField showAll="0"/>
    <pivotField showAll="0" defaultSubtotal="0">
      <items count="7">
        <item x="0"/>
        <item x="1"/>
        <item x="2"/>
        <item x="3"/>
        <item x="4"/>
        <item x="5"/>
        <item x="6"/>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0"/>
          </reference>
          <reference field="9" count="1" selected="0">
            <x v="2"/>
          </reference>
        </references>
      </pivotArea>
    </chartFormat>
    <chartFormat chart="0" format="4"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4"/>
          </reference>
        </references>
      </pivotArea>
    </chartFormat>
    <chartFormat chart="0" format="6"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4627AB-08A5-4E6F-BC61-65B78B74B67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4" firstHeaderRow="1" firstDataRow="1" firstDataCol="1"/>
  <pivotFields count="18">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30F55C-C84F-4AC3-A3E7-3E7796F931C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0"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Quantit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2FC365-11B2-453B-BEAA-86F832D4933F}" name="How many they bu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1:B3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2"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154F24-1EC3-4734-97F9-8814DCC4EA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73:B77"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4">
        <item x="2"/>
        <item x="1"/>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Quantity" fld="2" baseField="0" baseItem="0"/>
  </dataFields>
  <chartFormats count="18">
    <chartFormat chart="27" format="0" series="1">
      <pivotArea type="data" outline="0" fieldPosition="0">
        <references count="2">
          <reference field="4294967294" count="1" selected="0">
            <x v="0"/>
          </reference>
          <reference field="14" count="1" selected="0">
            <x v="0"/>
          </reference>
        </references>
      </pivotArea>
    </chartFormat>
    <chartFormat chart="27" format="1" series="1">
      <pivotArea type="data" outline="0" fieldPosition="0">
        <references count="2">
          <reference field="4294967294" count="1" selected="0">
            <x v="0"/>
          </reference>
          <reference field="14" count="1" selected="0">
            <x v="1"/>
          </reference>
        </references>
      </pivotArea>
    </chartFormat>
    <chartFormat chart="27" format="2" series="1">
      <pivotArea type="data" outline="0" fieldPosition="0">
        <references count="2">
          <reference field="4294967294" count="1" selected="0">
            <x v="0"/>
          </reference>
          <reference field="14" count="1" selected="0">
            <x v="2"/>
          </reference>
        </references>
      </pivotArea>
    </chartFormat>
    <chartFormat chart="30" format="6" series="1">
      <pivotArea type="data" outline="0" fieldPosition="0">
        <references count="2">
          <reference field="4294967294" count="1" selected="0">
            <x v="0"/>
          </reference>
          <reference field="14" count="1" selected="0">
            <x v="0"/>
          </reference>
        </references>
      </pivotArea>
    </chartFormat>
    <chartFormat chart="30" format="7" series="1">
      <pivotArea type="data" outline="0" fieldPosition="0">
        <references count="2">
          <reference field="4294967294" count="1" selected="0">
            <x v="0"/>
          </reference>
          <reference field="14" count="1" selected="0">
            <x v="1"/>
          </reference>
        </references>
      </pivotArea>
    </chartFormat>
    <chartFormat chart="30" format="8" series="1">
      <pivotArea type="data" outline="0" fieldPosition="0">
        <references count="2">
          <reference field="4294967294" count="1" selected="0">
            <x v="0"/>
          </reference>
          <reference field="14" count="1" selected="0">
            <x v="2"/>
          </reference>
        </references>
      </pivotArea>
    </chartFormat>
    <chartFormat chart="36"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8" format="2">
      <pivotArea type="data" outline="0" fieldPosition="0">
        <references count="2">
          <reference field="4294967294" count="1" selected="0">
            <x v="0"/>
          </reference>
          <reference field="14" count="1" selected="0">
            <x v="0"/>
          </reference>
        </references>
      </pivotArea>
    </chartFormat>
    <chartFormat chart="38" format="3">
      <pivotArea type="data" outline="0" fieldPosition="0">
        <references count="2">
          <reference field="4294967294" count="1" selected="0">
            <x v="0"/>
          </reference>
          <reference field="14" count="1" selected="0">
            <x v="1"/>
          </reference>
        </references>
      </pivotArea>
    </chartFormat>
    <chartFormat chart="38" format="4">
      <pivotArea type="data" outline="0" fieldPosition="0">
        <references count="2">
          <reference field="4294967294" count="1" selected="0">
            <x v="0"/>
          </reference>
          <reference field="14" count="1" selected="0">
            <x v="2"/>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14" count="1" selected="0">
            <x v="0"/>
          </reference>
        </references>
      </pivotArea>
    </chartFormat>
    <chartFormat chart="40" format="7">
      <pivotArea type="data" outline="0" fieldPosition="0">
        <references count="2">
          <reference field="4294967294" count="1" selected="0">
            <x v="0"/>
          </reference>
          <reference field="14" count="1" selected="0">
            <x v="1"/>
          </reference>
        </references>
      </pivotArea>
    </chartFormat>
    <chartFormat chart="40" format="8">
      <pivotArea type="data" outline="0" fieldPosition="0">
        <references count="2">
          <reference field="4294967294" count="1" selected="0">
            <x v="0"/>
          </reference>
          <reference field="14" count="1" selected="0">
            <x v="2"/>
          </reference>
        </references>
      </pivotArea>
    </chartFormat>
    <chartFormat chart="36" format="1">
      <pivotArea type="data" outline="0" fieldPosition="0">
        <references count="2">
          <reference field="4294967294" count="1" selected="0">
            <x v="0"/>
          </reference>
          <reference field="14" count="1" selected="0">
            <x v="0"/>
          </reference>
        </references>
      </pivotArea>
    </chartFormat>
    <chartFormat chart="36" format="2">
      <pivotArea type="data" outline="0" fieldPosition="0">
        <references count="2">
          <reference field="4294967294" count="1" selected="0">
            <x v="0"/>
          </reference>
          <reference field="14" count="1" selected="0">
            <x v="1"/>
          </reference>
        </references>
      </pivotArea>
    </chartFormat>
    <chartFormat chart="36"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610C34-4F4D-4AF0-84C6-D60436B9D2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C67BF2-8634-4204-999A-244B30983272}" name="Trend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C27"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74F7E6-9C4B-4C96-AFAC-457A43ACCA61}" name="How long to 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49:B16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4">
        <item x="2"/>
        <item x="1"/>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F141F0-436D-4F0E-8F6F-C6CB8F352AF9}" name="Popular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48:E70"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4">
        <item x="2"/>
        <item x="1"/>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Fields count="1">
    <field x="14"/>
  </colFields>
  <colItems count="4">
    <i>
      <x/>
    </i>
    <i>
      <x v="1"/>
    </i>
    <i>
      <x v="2"/>
    </i>
    <i t="grand">
      <x/>
    </i>
  </colItems>
  <dataFields count="1">
    <dataField name="Sum of Quantity" fld="2" baseField="0" baseItem="0"/>
  </dataFields>
  <chartFormats count="6">
    <chartFormat chart="27" format="0" series="1">
      <pivotArea type="data" outline="0" fieldPosition="0">
        <references count="2">
          <reference field="4294967294" count="1" selected="0">
            <x v="0"/>
          </reference>
          <reference field="14" count="1" selected="0">
            <x v="0"/>
          </reference>
        </references>
      </pivotArea>
    </chartFormat>
    <chartFormat chart="27" format="1" series="1">
      <pivotArea type="data" outline="0" fieldPosition="0">
        <references count="2">
          <reference field="4294967294" count="1" selected="0">
            <x v="0"/>
          </reference>
          <reference field="14" count="1" selected="0">
            <x v="1"/>
          </reference>
        </references>
      </pivotArea>
    </chartFormat>
    <chartFormat chart="27" format="2" series="1">
      <pivotArea type="data" outline="0" fieldPosition="0">
        <references count="2">
          <reference field="4294967294" count="1" selected="0">
            <x v="0"/>
          </reference>
          <reference field="14" count="1" selected="0">
            <x v="2"/>
          </reference>
        </references>
      </pivotArea>
    </chartFormat>
    <chartFormat chart="30" format="6" series="1">
      <pivotArea type="data" outline="0" fieldPosition="0">
        <references count="2">
          <reference field="4294967294" count="1" selected="0">
            <x v="0"/>
          </reference>
          <reference field="14" count="1" selected="0">
            <x v="0"/>
          </reference>
        </references>
      </pivotArea>
    </chartFormat>
    <chartFormat chart="30" format="7" series="1">
      <pivotArea type="data" outline="0" fieldPosition="0">
        <references count="2">
          <reference field="4294967294" count="1" selected="0">
            <x v="0"/>
          </reference>
          <reference field="14" count="1" selected="0">
            <x v="1"/>
          </reference>
        </references>
      </pivotArea>
    </chartFormat>
    <chartFormat chart="30"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5CB2B4-BE0E-422D-90DE-032C64052A59}" name="Geographical 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2">
  <location ref="A87:D137" firstHeaderRow="0" firstDataRow="1" firstDataCol="2"/>
  <pivotFields count="18">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764">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s>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0">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D07B4A-90E4-4B15-BB8A-32DF1A2EAD3B}"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169:G17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4">
        <item x="2"/>
        <item x="1"/>
        <item x="0"/>
        <item t="default"/>
      </items>
    </pivotField>
    <pivotField showAll="0">
      <items count="8">
        <item x="0"/>
        <item x="1"/>
        <item x="2"/>
        <item x="4"/>
        <item x="3"/>
        <item n="6-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7">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8" format="0" series="1">
      <pivotArea type="data" outline="0" fieldPosition="0">
        <references count="2">
          <reference field="4294967294" count="1" selected="0">
            <x v="0"/>
          </reference>
          <reference field="9" count="1" selected="0">
            <x v="0"/>
          </reference>
        </references>
      </pivotArea>
    </chartFormat>
    <chartFormat chart="48" format="1" series="1">
      <pivotArea type="data" outline="0" fieldPosition="0">
        <references count="2">
          <reference field="4294967294" count="1" selected="0">
            <x v="0"/>
          </reference>
          <reference field="9" count="1" selected="0">
            <x v="1"/>
          </reference>
        </references>
      </pivotArea>
    </chartFormat>
    <chartFormat chart="48" format="2" series="1">
      <pivotArea type="data" outline="0" fieldPosition="0">
        <references count="2">
          <reference field="4294967294" count="1" selected="0">
            <x v="0"/>
          </reference>
          <reference field="9" count="1" selected="0">
            <x v="2"/>
          </reference>
        </references>
      </pivotArea>
    </chartFormat>
    <chartFormat chart="48" format="3" series="1">
      <pivotArea type="data" outline="0" fieldPosition="0">
        <references count="2">
          <reference field="4294967294" count="1" selected="0">
            <x v="0"/>
          </reference>
          <reference field="9" count="1" selected="0">
            <x v="3"/>
          </reference>
        </references>
      </pivotArea>
    </chartFormat>
    <chartFormat chart="48" format="4" series="1">
      <pivotArea type="data" outline="0" fieldPosition="0">
        <references count="2">
          <reference field="4294967294" count="1" selected="0">
            <x v="0"/>
          </reference>
          <reference field="9" count="1" selected="0">
            <x v="4"/>
          </reference>
        </references>
      </pivotArea>
    </chartFormat>
    <chartFormat chart="50" format="10" series="1">
      <pivotArea type="data" outline="0" fieldPosition="0">
        <references count="2">
          <reference field="4294967294" count="1" selected="0">
            <x v="0"/>
          </reference>
          <reference field="9" count="1" selected="0">
            <x v="0"/>
          </reference>
        </references>
      </pivotArea>
    </chartFormat>
    <chartFormat chart="50" format="11" series="1">
      <pivotArea type="data" outline="0" fieldPosition="0">
        <references count="2">
          <reference field="4294967294" count="1" selected="0">
            <x v="0"/>
          </reference>
          <reference field="9" count="1" selected="0">
            <x v="1"/>
          </reference>
        </references>
      </pivotArea>
    </chartFormat>
    <chartFormat chart="50" format="12" series="1">
      <pivotArea type="data" outline="0" fieldPosition="0">
        <references count="2">
          <reference field="4294967294" count="1" selected="0">
            <x v="0"/>
          </reference>
          <reference field="9" count="1" selected="0">
            <x v="2"/>
          </reference>
        </references>
      </pivotArea>
    </chartFormat>
    <chartFormat chart="50" format="13" series="1">
      <pivotArea type="data" outline="0" fieldPosition="0">
        <references count="2">
          <reference field="4294967294" count="1" selected="0">
            <x v="0"/>
          </reference>
          <reference field="9" count="1" selected="0">
            <x v="3"/>
          </reference>
        </references>
      </pivotArea>
    </chartFormat>
    <chartFormat chart="50" format="14" series="1">
      <pivotArea type="data" outline="0" fieldPosition="0">
        <references count="2">
          <reference field="4294967294" count="1" selected="0">
            <x v="0"/>
          </reference>
          <reference field="9" count="1" selected="0">
            <x v="4"/>
          </reference>
        </references>
      </pivotArea>
    </chartFormat>
    <chartFormat chart="53" format="10" series="1">
      <pivotArea type="data" outline="0" fieldPosition="0">
        <references count="2">
          <reference field="4294967294" count="1" selected="0">
            <x v="0"/>
          </reference>
          <reference field="9" count="1" selected="0">
            <x v="0"/>
          </reference>
        </references>
      </pivotArea>
    </chartFormat>
    <chartFormat chart="53" format="11" series="1">
      <pivotArea type="data" outline="0" fieldPosition="0">
        <references count="2">
          <reference field="4294967294" count="1" selected="0">
            <x v="0"/>
          </reference>
          <reference field="9" count="1" selected="0">
            <x v="1"/>
          </reference>
        </references>
      </pivotArea>
    </chartFormat>
    <chartFormat chart="53" format="12" series="1">
      <pivotArea type="data" outline="0" fieldPosition="0">
        <references count="2">
          <reference field="4294967294" count="1" selected="0">
            <x v="0"/>
          </reference>
          <reference field="9" count="1" selected="0">
            <x v="2"/>
          </reference>
        </references>
      </pivotArea>
    </chartFormat>
    <chartFormat chart="53" format="13" series="1">
      <pivotArea type="data" outline="0" fieldPosition="0">
        <references count="2">
          <reference field="4294967294" count="1" selected="0">
            <x v="0"/>
          </reference>
          <reference field="9" count="1" selected="0">
            <x v="3"/>
          </reference>
        </references>
      </pivotArea>
    </chartFormat>
    <chartFormat chart="5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50B543-6874-4973-B699-566691F133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E5"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h="1" x="3"/>
        <item h="1" x="4"/>
        <item h="1" x="2"/>
        <item h="1" x="1"/>
        <item t="default"/>
      </items>
    </pivotField>
    <pivotField showAll="0"/>
    <pivotField showAll="0"/>
    <pivotField showAll="0"/>
    <pivotField showAll="0"/>
    <pivotField showAll="0"/>
    <pivotField axis="axisCol" showAll="0">
      <items count="4">
        <item x="2"/>
        <item x="1"/>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i>
    <i t="grand">
      <x/>
    </i>
  </rowItems>
  <colFields count="1">
    <field x="14"/>
  </colFields>
  <colItems count="4">
    <i>
      <x/>
    </i>
    <i>
      <x v="1"/>
    </i>
    <i>
      <x v="2"/>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6AC475B-6BE1-4DD1-83F9-8552E6682BF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C60"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2"/>
  </colFields>
  <colItems count="2">
    <i>
      <x/>
    </i>
    <i i="1">
      <x v="1"/>
    </i>
  </colItems>
  <dataFields count="2">
    <dataField name="Sum of Quantity" fld="2" baseField="0" baseItem="0"/>
    <dataField name="Sum of Amou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C341CF6-EAB6-495D-8290-03D1DD7674E7}" sourceName="Gender Value">
  <pivotTables>
    <pivotTable tabId="6" name="Rating"/>
  </pivotTables>
  <data>
    <tabular pivotCacheId="15674036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9659A96-070A-419C-BC48-817395256A05}" sourceName="Order Mode">
  <pivotTables>
    <pivotTable tabId="6" name="Rating"/>
    <pivotTable tabId="9" name="PivotTable4"/>
    <pivotTable tabId="6" name="Geographical Analysis"/>
    <pivotTable tabId="6" name="How long to deliver"/>
    <pivotTable tabId="6" name="How many they buy?"/>
    <pivotTable tabId="6" name="PivotTable1"/>
    <pivotTable tabId="6" name="PivotTable4"/>
    <pivotTable tabId="6" name="Popular Product"/>
    <pivotTable tabId="6" name="Trend Analysis"/>
  </pivotTables>
  <data>
    <tabular pivotCacheId="1567403663">
      <items count="5">
        <i x="0" s="1"/>
        <i x="3"/>
        <i x="4"/>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1" xr10:uid="{742D0FF0-3D28-44C1-B244-59D596309FB5}" sourceName="Order Mode">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1" xr10:uid="{7EA1D014-019E-4317-8325-51AAAA3EC69E}" sourceName="Gender Value">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B16DCCE5-B24E-4361-B63D-FA80589C72E1}" cache="Slicer_Gender_Value" caption="Gender Value" rowHeight="257175"/>
  <slicer name="Order Mode" xr10:uid="{8AACDF0C-AEBB-4B37-8403-23BD7E1735E1}" cache="Slicer_Order_Mode" caption="Order Mod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3" xr10:uid="{FBB4E3DF-9F0E-4216-9D3B-140C6E9CA139}" cache="Slicer_Order_Mode1" caption="Order Mode" rowHeight="251883"/>
  <slicer name="Gender Value 2" xr10:uid="{3E4E11EC-FE2D-44E4-825E-3D9D3DBF1304}" cache="Slicer_Gender_Value1" caption="Gender Valu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00E245F0-094C-4C1F-BEBA-0A746172DA9E}" cache="Slicer_Gender_Value" caption="Gender Value" rowHeight="257175"/>
  <slicer name="Order Mode 2" xr10:uid="{2054ADDC-30DD-409E-BC95-23A812A66B7D}" cache="Slicer_Order_Mode" caption="Order 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filterColumn colId="14">
      <filters>
        <filter val="Female"/>
      </filters>
    </filterColumn>
  </autoFilter>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IF(orders[[#This Row],[Customer Gender]] = "M", "Male", IF(orders[[#This Row],[Customer Gender]] = "F", "Female", IF(orders[[#This Row],[Customer Gender]] = "O", "Other",  "Unkown")))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microsoft.com/office/2007/relationships/slicer" Target="../slicers/slicer1.xml"/><Relationship Id="rId4" Type="http://schemas.openxmlformats.org/officeDocument/2006/relationships/pivotTable" Target="../pivotTables/pivotTable13.xml"/><Relationship Id="rId9"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2.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BC2B-AF26-483D-A792-1832C3BF3CB7}">
  <dimension ref="A3:E29"/>
  <sheetViews>
    <sheetView topLeftCell="A10" workbookViewId="0">
      <selection activeCell="A13" sqref="A13"/>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6" max="2401" width="15.6328125" bestFit="1" customWidth="1"/>
    <col min="2402" max="2402" width="10.36328125" bestFit="1" customWidth="1"/>
  </cols>
  <sheetData>
    <row r="3" spans="1:5" x14ac:dyDescent="0.35">
      <c r="A3" t="s">
        <v>2520</v>
      </c>
      <c r="B3" t="s">
        <v>2521</v>
      </c>
      <c r="C3" t="s">
        <v>2522</v>
      </c>
      <c r="D3" t="s">
        <v>2523</v>
      </c>
      <c r="E3" t="s">
        <v>2524</v>
      </c>
    </row>
    <row r="4" spans="1:5" x14ac:dyDescent="0.35">
      <c r="A4">
        <v>2400</v>
      </c>
      <c r="B4">
        <v>11997</v>
      </c>
      <c r="C4">
        <v>649019.80000000144</v>
      </c>
      <c r="D4">
        <v>3.9620833333333332</v>
      </c>
      <c r="E4">
        <v>2.3424999999999998</v>
      </c>
    </row>
    <row r="7" spans="1:5" x14ac:dyDescent="0.35">
      <c r="A7" t="str">
        <f>TEXT(GETPIVOTDATA("Count of TX ID",$A$3),"#,##")</f>
        <v>2,400</v>
      </c>
      <c r="B7" t="str">
        <f>TEXT(GETPIVOTDATA("Sum of Quantity",$A$3),"#,##")</f>
        <v>11,997</v>
      </c>
      <c r="C7" t="str">
        <f>TEXT(GETPIVOTDATA("Sum of Amount",$A$3),"$##,.0k")</f>
        <v>$649.0k</v>
      </c>
      <c r="D7" t="str">
        <f>TEXT(GETPIVOTDATA("Average of Rating C",$A$3),"0.0")</f>
        <v>4.0</v>
      </c>
      <c r="E7" t="str">
        <f>TEXT(GETPIVOTDATA("Average of Days to Deliver",$A$3),"0.0")</f>
        <v>2.3</v>
      </c>
    </row>
    <row r="13" spans="1:5" x14ac:dyDescent="0.35">
      <c r="A13" s="5" t="s">
        <v>2518</v>
      </c>
    </row>
    <row r="29" spans="1:1" x14ac:dyDescent="0.35">
      <c r="A29" t="s">
        <v>2549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2053-0D60-4ABD-98D7-7CEE180BDFF8}">
  <dimension ref="A2:I18"/>
  <sheetViews>
    <sheetView workbookViewId="0"/>
  </sheetViews>
  <sheetFormatPr defaultRowHeight="14.5" x14ac:dyDescent="0.35"/>
  <cols>
    <col min="1" max="1" width="14.26953125" bestFit="1" customWidth="1"/>
    <col min="2" max="2" width="15.6328125" bestFit="1" customWidth="1"/>
    <col min="3" max="3" width="6.90625" bestFit="1" customWidth="1"/>
    <col min="4" max="4" width="12.1796875" customWidth="1"/>
    <col min="5" max="5" width="10.36328125" bestFit="1" customWidth="1"/>
    <col min="8" max="8" width="18.90625" customWidth="1"/>
  </cols>
  <sheetData>
    <row r="2" spans="1:9" x14ac:dyDescent="0.35">
      <c r="A2" s="17" t="s">
        <v>2534</v>
      </c>
      <c r="B2" s="17"/>
      <c r="C2" s="17"/>
      <c r="D2" s="17"/>
      <c r="E2" s="17"/>
    </row>
    <row r="3" spans="1:9" x14ac:dyDescent="0.35">
      <c r="A3" s="5" t="s">
        <v>2521</v>
      </c>
      <c r="B3" s="5" t="s">
        <v>2533</v>
      </c>
      <c r="H3" t="s">
        <v>2552</v>
      </c>
    </row>
    <row r="4" spans="1:9" x14ac:dyDescent="0.35">
      <c r="A4" s="5" t="s">
        <v>2518</v>
      </c>
      <c r="H4" t="s">
        <v>2553</v>
      </c>
    </row>
    <row r="5" spans="1:9" x14ac:dyDescent="0.35">
      <c r="H5" t="s">
        <v>2554</v>
      </c>
    </row>
    <row r="6" spans="1:9" x14ac:dyDescent="0.35">
      <c r="H6" t="s">
        <v>2555</v>
      </c>
    </row>
    <row r="12" spans="1:9" x14ac:dyDescent="0.35">
      <c r="A12" s="17" t="s">
        <v>2535</v>
      </c>
      <c r="B12" s="17"/>
      <c r="C12" s="17"/>
      <c r="D12" s="17"/>
      <c r="E12" s="17"/>
    </row>
    <row r="13" spans="1:9" x14ac:dyDescent="0.35">
      <c r="B13" t="s">
        <v>2530</v>
      </c>
      <c r="C13" t="s">
        <v>2531</v>
      </c>
      <c r="D13" t="s">
        <v>2551</v>
      </c>
    </row>
    <row r="14" spans="1:9" x14ac:dyDescent="0.35">
      <c r="A14">
        <f>A5</f>
        <v>0</v>
      </c>
      <c r="B14" s="16">
        <f>B5</f>
        <v>0</v>
      </c>
      <c r="C14" s="16">
        <f t="shared" ref="C14:D14" si="0">C5</f>
        <v>0</v>
      </c>
      <c r="D14" s="16">
        <f t="shared" si="0"/>
        <v>0</v>
      </c>
      <c r="E14" s="16"/>
    </row>
    <row r="15" spans="1:9" x14ac:dyDescent="0.35">
      <c r="A15">
        <f t="shared" ref="A15:D18" si="1">A6</f>
        <v>0</v>
      </c>
      <c r="B15" s="16">
        <f t="shared" si="1"/>
        <v>0</v>
      </c>
      <c r="C15" s="16">
        <f t="shared" si="1"/>
        <v>0</v>
      </c>
      <c r="D15" s="16">
        <f t="shared" si="1"/>
        <v>0</v>
      </c>
      <c r="E15" s="16"/>
    </row>
    <row r="16" spans="1:9" x14ac:dyDescent="0.35">
      <c r="A16">
        <f t="shared" si="1"/>
        <v>0</v>
      </c>
      <c r="B16" s="16">
        <f t="shared" si="1"/>
        <v>0</v>
      </c>
      <c r="C16" s="16">
        <f t="shared" si="1"/>
        <v>0</v>
      </c>
      <c r="D16" s="16">
        <f t="shared" si="1"/>
        <v>0</v>
      </c>
      <c r="E16" s="16"/>
      <c r="H16" t="s">
        <v>2556</v>
      </c>
      <c r="I16" t="s">
        <v>2558</v>
      </c>
    </row>
    <row r="17" spans="1:9" x14ac:dyDescent="0.35">
      <c r="A17">
        <f t="shared" si="1"/>
        <v>0</v>
      </c>
      <c r="B17" s="16">
        <f t="shared" si="1"/>
        <v>0</v>
      </c>
      <c r="C17" s="16">
        <f t="shared" si="1"/>
        <v>0</v>
      </c>
      <c r="D17" s="16">
        <f t="shared" si="1"/>
        <v>0</v>
      </c>
      <c r="E17" s="16"/>
      <c r="H17" t="s">
        <v>2557</v>
      </c>
      <c r="I17" t="s">
        <v>2559</v>
      </c>
    </row>
    <row r="18" spans="1:9" x14ac:dyDescent="0.35">
      <c r="A18">
        <f t="shared" si="1"/>
        <v>0</v>
      </c>
      <c r="B18" s="16">
        <f t="shared" si="1"/>
        <v>0</v>
      </c>
      <c r="C18" s="16">
        <f t="shared" si="1"/>
        <v>0</v>
      </c>
      <c r="D18" s="16">
        <f t="shared" si="1"/>
        <v>0</v>
      </c>
      <c r="E18" s="16"/>
    </row>
  </sheetData>
  <mergeCells count="2">
    <mergeCell ref="A2:E2"/>
    <mergeCell ref="A12:E12"/>
  </mergeCells>
  <conditionalFormatting sqref="B14:D18">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BC09C-26FF-427A-871F-8D7F7398E9C9}">
  <dimension ref="A3:E25"/>
  <sheetViews>
    <sheetView workbookViewId="0">
      <selection activeCell="N3" sqref="N3"/>
    </sheetView>
  </sheetViews>
  <sheetFormatPr defaultRowHeight="14.5" x14ac:dyDescent="0.35"/>
  <cols>
    <col min="1" max="1" width="19" bestFit="1" customWidth="1"/>
    <col min="2" max="2" width="15.6328125" bestFit="1" customWidth="1"/>
    <col min="3" max="3" width="4.81640625" bestFit="1" customWidth="1"/>
    <col min="4" max="4" width="7.6328125" bestFit="1" customWidth="1"/>
    <col min="5" max="5" width="10.36328125" bestFit="1" customWidth="1"/>
    <col min="6" max="6" width="11.6328125" bestFit="1" customWidth="1"/>
    <col min="7" max="7" width="19.54296875" bestFit="1" customWidth="1"/>
    <col min="8" max="8" width="5.453125" bestFit="1" customWidth="1"/>
    <col min="9" max="9" width="6.90625" bestFit="1" customWidth="1"/>
    <col min="10" max="10" width="8" bestFit="1" customWidth="1"/>
    <col min="11" max="11" width="11.7265625" bestFit="1" customWidth="1"/>
    <col min="12" max="12" width="11.08984375" bestFit="1" customWidth="1"/>
    <col min="13" max="13" width="7.54296875" bestFit="1" customWidth="1"/>
    <col min="14" max="14" width="6.1796875" bestFit="1" customWidth="1"/>
    <col min="15" max="15" width="8.54296875" bestFit="1" customWidth="1"/>
    <col min="16" max="16" width="10.54296875" bestFit="1" customWidth="1"/>
    <col min="17" max="17" width="10.26953125" bestFit="1" customWidth="1"/>
    <col min="18" max="18" width="9.08984375" bestFit="1" customWidth="1"/>
    <col min="19" max="19" width="8.6328125" bestFit="1" customWidth="1"/>
    <col min="20" max="20" width="7.26953125" bestFit="1" customWidth="1"/>
    <col min="21" max="21" width="12.08984375" bestFit="1" customWidth="1"/>
    <col min="22" max="22" width="10.36328125" bestFit="1" customWidth="1"/>
  </cols>
  <sheetData>
    <row r="3" spans="1:5" x14ac:dyDescent="0.35">
      <c r="A3" s="5" t="s">
        <v>2521</v>
      </c>
      <c r="B3" s="5" t="s">
        <v>2533</v>
      </c>
    </row>
    <row r="4" spans="1:5" x14ac:dyDescent="0.35">
      <c r="A4" s="5" t="s">
        <v>2518</v>
      </c>
      <c r="B4" t="s">
        <v>2530</v>
      </c>
      <c r="C4" t="s">
        <v>2531</v>
      </c>
      <c r="D4" t="s">
        <v>2532</v>
      </c>
      <c r="E4" t="s">
        <v>2519</v>
      </c>
    </row>
    <row r="5" spans="1:5" x14ac:dyDescent="0.35">
      <c r="A5" s="6" t="s">
        <v>81</v>
      </c>
      <c r="B5">
        <v>43</v>
      </c>
      <c r="C5">
        <v>90</v>
      </c>
      <c r="D5">
        <v>14</v>
      </c>
      <c r="E5">
        <v>147</v>
      </c>
    </row>
    <row r="6" spans="1:5" x14ac:dyDescent="0.35">
      <c r="A6" s="6" t="s">
        <v>54</v>
      </c>
      <c r="B6">
        <v>482</v>
      </c>
      <c r="C6">
        <v>295</v>
      </c>
      <c r="D6">
        <v>30</v>
      </c>
      <c r="E6">
        <v>807</v>
      </c>
    </row>
    <row r="7" spans="1:5" x14ac:dyDescent="0.35">
      <c r="A7" s="6" t="s">
        <v>69</v>
      </c>
      <c r="B7">
        <v>234</v>
      </c>
      <c r="C7">
        <v>93</v>
      </c>
      <c r="D7">
        <v>43</v>
      </c>
      <c r="E7">
        <v>370</v>
      </c>
    </row>
    <row r="8" spans="1:5" x14ac:dyDescent="0.35">
      <c r="A8" s="6" t="s">
        <v>123</v>
      </c>
      <c r="B8">
        <v>153</v>
      </c>
      <c r="C8">
        <v>246</v>
      </c>
      <c r="D8">
        <v>38</v>
      </c>
      <c r="E8">
        <v>437</v>
      </c>
    </row>
    <row r="9" spans="1:5" x14ac:dyDescent="0.35">
      <c r="A9" s="6" t="s">
        <v>32</v>
      </c>
      <c r="B9">
        <v>431</v>
      </c>
      <c r="C9">
        <v>187</v>
      </c>
      <c r="D9">
        <v>29</v>
      </c>
      <c r="E9">
        <v>647</v>
      </c>
    </row>
    <row r="10" spans="1:5" x14ac:dyDescent="0.35">
      <c r="A10" s="6" t="s">
        <v>42</v>
      </c>
      <c r="B10">
        <v>264</v>
      </c>
      <c r="C10">
        <v>318</v>
      </c>
      <c r="D10">
        <v>24</v>
      </c>
      <c r="E10">
        <v>606</v>
      </c>
    </row>
    <row r="11" spans="1:5" x14ac:dyDescent="0.35">
      <c r="A11" s="6" t="s">
        <v>39</v>
      </c>
      <c r="B11">
        <v>716</v>
      </c>
      <c r="C11">
        <v>598</v>
      </c>
      <c r="D11">
        <v>232</v>
      </c>
      <c r="E11">
        <v>1546</v>
      </c>
    </row>
    <row r="12" spans="1:5" x14ac:dyDescent="0.35">
      <c r="A12" s="6" t="s">
        <v>171</v>
      </c>
      <c r="B12">
        <v>26</v>
      </c>
      <c r="C12">
        <v>35</v>
      </c>
      <c r="D12">
        <v>4</v>
      </c>
      <c r="E12">
        <v>65</v>
      </c>
    </row>
    <row r="13" spans="1:5" x14ac:dyDescent="0.35">
      <c r="A13" s="6" t="s">
        <v>146</v>
      </c>
      <c r="B13">
        <v>189</v>
      </c>
      <c r="C13">
        <v>168</v>
      </c>
      <c r="D13">
        <v>41</v>
      </c>
      <c r="E13">
        <v>398</v>
      </c>
    </row>
    <row r="14" spans="1:5" x14ac:dyDescent="0.35">
      <c r="A14" s="6" t="s">
        <v>67</v>
      </c>
      <c r="B14">
        <v>179</v>
      </c>
      <c r="C14">
        <v>76</v>
      </c>
      <c r="D14">
        <v>3</v>
      </c>
      <c r="E14">
        <v>258</v>
      </c>
    </row>
    <row r="15" spans="1:5" x14ac:dyDescent="0.35">
      <c r="A15" s="6" t="s">
        <v>135</v>
      </c>
      <c r="B15">
        <v>127</v>
      </c>
      <c r="C15">
        <v>118</v>
      </c>
      <c r="D15">
        <v>25</v>
      </c>
      <c r="E15">
        <v>270</v>
      </c>
    </row>
    <row r="16" spans="1:5" x14ac:dyDescent="0.35">
      <c r="A16" s="6" t="s">
        <v>37</v>
      </c>
      <c r="B16">
        <v>296</v>
      </c>
      <c r="C16">
        <v>275</v>
      </c>
      <c r="D16">
        <v>32</v>
      </c>
      <c r="E16">
        <v>603</v>
      </c>
    </row>
    <row r="17" spans="1:5" x14ac:dyDescent="0.35">
      <c r="A17" s="6" t="s">
        <v>16</v>
      </c>
      <c r="B17">
        <v>428</v>
      </c>
      <c r="C17">
        <v>293</v>
      </c>
      <c r="D17">
        <v>24</v>
      </c>
      <c r="E17">
        <v>745</v>
      </c>
    </row>
    <row r="18" spans="1:5" x14ac:dyDescent="0.35">
      <c r="A18" s="6" t="s">
        <v>26</v>
      </c>
      <c r="B18">
        <v>627</v>
      </c>
      <c r="C18">
        <v>393</v>
      </c>
      <c r="D18">
        <v>166</v>
      </c>
      <c r="E18">
        <v>1186</v>
      </c>
    </row>
    <row r="19" spans="1:5" x14ac:dyDescent="0.35">
      <c r="A19" s="6" t="s">
        <v>46</v>
      </c>
      <c r="B19">
        <v>445</v>
      </c>
      <c r="C19">
        <v>202</v>
      </c>
      <c r="D19">
        <v>53</v>
      </c>
      <c r="E19">
        <v>700</v>
      </c>
    </row>
    <row r="20" spans="1:5" x14ac:dyDescent="0.35">
      <c r="A20" s="6" t="s">
        <v>128</v>
      </c>
      <c r="B20">
        <v>99</v>
      </c>
      <c r="C20">
        <v>69</v>
      </c>
      <c r="D20">
        <v>27</v>
      </c>
      <c r="E20">
        <v>195</v>
      </c>
    </row>
    <row r="21" spans="1:5" x14ac:dyDescent="0.35">
      <c r="A21" s="6" t="s">
        <v>22</v>
      </c>
      <c r="B21">
        <v>568</v>
      </c>
      <c r="C21">
        <v>306</v>
      </c>
      <c r="D21">
        <v>38</v>
      </c>
      <c r="E21">
        <v>912</v>
      </c>
    </row>
    <row r="22" spans="1:5" x14ac:dyDescent="0.35">
      <c r="A22" s="6" t="s">
        <v>76</v>
      </c>
      <c r="B22">
        <v>75</v>
      </c>
      <c r="C22">
        <v>103</v>
      </c>
      <c r="D22">
        <v>10</v>
      </c>
      <c r="E22">
        <v>188</v>
      </c>
    </row>
    <row r="23" spans="1:5" x14ac:dyDescent="0.35">
      <c r="A23" s="6" t="s">
        <v>44</v>
      </c>
      <c r="B23">
        <v>744</v>
      </c>
      <c r="C23">
        <v>713</v>
      </c>
      <c r="D23">
        <v>188</v>
      </c>
      <c r="E23">
        <v>1645</v>
      </c>
    </row>
    <row r="24" spans="1:5" x14ac:dyDescent="0.35">
      <c r="A24" s="6" t="s">
        <v>30</v>
      </c>
      <c r="B24">
        <v>146</v>
      </c>
      <c r="C24">
        <v>94</v>
      </c>
      <c r="D24">
        <v>32</v>
      </c>
      <c r="E24">
        <v>272</v>
      </c>
    </row>
    <row r="25" spans="1:5" x14ac:dyDescent="0.35">
      <c r="A25" s="6" t="s">
        <v>2519</v>
      </c>
      <c r="B25">
        <v>6272</v>
      </c>
      <c r="C25">
        <v>4672</v>
      </c>
      <c r="D25">
        <v>1053</v>
      </c>
      <c r="E25">
        <v>11997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2C0B-455F-4DD8-87B8-6D21C3A987D2}">
  <dimension ref="A3:C17"/>
  <sheetViews>
    <sheetView workbookViewId="0">
      <selection activeCell="C6" sqref="C6"/>
    </sheetView>
  </sheetViews>
  <sheetFormatPr defaultRowHeight="14.5" x14ac:dyDescent="0.35"/>
  <cols>
    <col min="1" max="1" width="12.453125" bestFit="1" customWidth="1"/>
    <col min="2" max="2" width="14.26953125" bestFit="1" customWidth="1"/>
    <col min="3" max="3" width="13.6328125" bestFit="1" customWidth="1"/>
  </cols>
  <sheetData>
    <row r="3" spans="1:3" x14ac:dyDescent="0.35">
      <c r="A3" s="5" t="s">
        <v>2518</v>
      </c>
      <c r="B3" t="s">
        <v>2521</v>
      </c>
      <c r="C3" t="s">
        <v>2522</v>
      </c>
    </row>
    <row r="4" spans="1:3" x14ac:dyDescent="0.35">
      <c r="A4" s="6">
        <v>1</v>
      </c>
      <c r="B4">
        <v>546</v>
      </c>
      <c r="C4">
        <v>32413.300000000003</v>
      </c>
    </row>
    <row r="5" spans="1:3" x14ac:dyDescent="0.35">
      <c r="A5" s="6">
        <v>2</v>
      </c>
      <c r="B5">
        <v>905</v>
      </c>
      <c r="C5">
        <v>49562.999999999993</v>
      </c>
    </row>
    <row r="6" spans="1:3" x14ac:dyDescent="0.35">
      <c r="A6" s="6">
        <v>3</v>
      </c>
      <c r="B6">
        <v>796</v>
      </c>
      <c r="C6">
        <v>41700.400000000016</v>
      </c>
    </row>
    <row r="7" spans="1:3" x14ac:dyDescent="0.35">
      <c r="A7" s="6">
        <v>4</v>
      </c>
      <c r="B7">
        <v>913</v>
      </c>
      <c r="C7">
        <v>46782.599999999984</v>
      </c>
    </row>
    <row r="8" spans="1:3" x14ac:dyDescent="0.35">
      <c r="A8" s="6">
        <v>5</v>
      </c>
      <c r="B8">
        <v>844</v>
      </c>
      <c r="C8">
        <v>42676.100000000006</v>
      </c>
    </row>
    <row r="9" spans="1:3" x14ac:dyDescent="0.35">
      <c r="A9" s="6">
        <v>6</v>
      </c>
      <c r="B9">
        <v>1202</v>
      </c>
      <c r="C9">
        <v>62910.7</v>
      </c>
    </row>
    <row r="10" spans="1:3" x14ac:dyDescent="0.35">
      <c r="A10" s="6">
        <v>7</v>
      </c>
      <c r="B10">
        <v>935</v>
      </c>
      <c r="C10">
        <v>50332.200000000004</v>
      </c>
    </row>
    <row r="11" spans="1:3" x14ac:dyDescent="0.35">
      <c r="A11" s="6">
        <v>8</v>
      </c>
      <c r="B11">
        <v>1128</v>
      </c>
      <c r="C11">
        <v>58760.599999999977</v>
      </c>
    </row>
    <row r="12" spans="1:3" x14ac:dyDescent="0.35">
      <c r="A12" s="6">
        <v>9</v>
      </c>
      <c r="B12">
        <v>1007</v>
      </c>
      <c r="C12">
        <v>52017.299999999996</v>
      </c>
    </row>
    <row r="13" spans="1:3" x14ac:dyDescent="0.35">
      <c r="A13" s="6">
        <v>10</v>
      </c>
      <c r="B13">
        <v>1128</v>
      </c>
      <c r="C13">
        <v>64915.700000000033</v>
      </c>
    </row>
    <row r="14" spans="1:3" x14ac:dyDescent="0.35">
      <c r="A14" s="6">
        <v>11</v>
      </c>
      <c r="B14">
        <v>861</v>
      </c>
      <c r="C14">
        <v>45943.80000000001</v>
      </c>
    </row>
    <row r="15" spans="1:3" x14ac:dyDescent="0.35">
      <c r="A15" s="6">
        <v>12</v>
      </c>
      <c r="B15">
        <v>944</v>
      </c>
      <c r="C15">
        <v>55077.900000000031</v>
      </c>
    </row>
    <row r="16" spans="1:3" x14ac:dyDescent="0.35">
      <c r="A16" s="6">
        <v>13</v>
      </c>
      <c r="B16">
        <v>788</v>
      </c>
      <c r="C16">
        <v>45926.19999999999</v>
      </c>
    </row>
    <row r="17" spans="1:3" x14ac:dyDescent="0.35">
      <c r="A17" s="6" t="s">
        <v>2519</v>
      </c>
      <c r="B17">
        <v>11997</v>
      </c>
      <c r="C17">
        <v>649019.79999999993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2568-1F81-4A92-B21A-B7C2C02D4FA5}">
  <dimension ref="A3:B19"/>
  <sheetViews>
    <sheetView workbookViewId="0">
      <selection activeCell="B3" sqref="B3"/>
    </sheetView>
  </sheetViews>
  <sheetFormatPr defaultRowHeight="14.5" x14ac:dyDescent="0.35"/>
  <cols>
    <col min="1" max="2" width="12.453125" bestFit="1" customWidth="1"/>
    <col min="3" max="2401" width="8.81640625" bestFit="1" customWidth="1"/>
    <col min="2402" max="2402" width="10.36328125" bestFit="1" customWidth="1"/>
  </cols>
  <sheetData>
    <row r="3" spans="1:2" x14ac:dyDescent="0.35">
      <c r="A3" s="5" t="s">
        <v>2518</v>
      </c>
      <c r="B3" t="s">
        <v>2520</v>
      </c>
    </row>
    <row r="4" spans="1:2" x14ac:dyDescent="0.35">
      <c r="A4" s="6">
        <v>0</v>
      </c>
      <c r="B4">
        <v>175</v>
      </c>
    </row>
    <row r="5" spans="1:2" x14ac:dyDescent="0.35">
      <c r="A5" s="6">
        <v>1</v>
      </c>
      <c r="B5">
        <v>888</v>
      </c>
    </row>
    <row r="6" spans="1:2" x14ac:dyDescent="0.35">
      <c r="A6" s="6">
        <v>2</v>
      </c>
      <c r="B6">
        <v>538</v>
      </c>
    </row>
    <row r="7" spans="1:2" x14ac:dyDescent="0.35">
      <c r="A7" s="6">
        <v>3</v>
      </c>
      <c r="B7">
        <v>344</v>
      </c>
    </row>
    <row r="8" spans="1:2" x14ac:dyDescent="0.35">
      <c r="A8" s="6">
        <v>4</v>
      </c>
      <c r="B8">
        <v>200</v>
      </c>
    </row>
    <row r="9" spans="1:2" x14ac:dyDescent="0.35">
      <c r="A9" s="6">
        <v>5</v>
      </c>
      <c r="B9">
        <v>94</v>
      </c>
    </row>
    <row r="10" spans="1:2" x14ac:dyDescent="0.35">
      <c r="A10" s="6">
        <v>6</v>
      </c>
      <c r="B10">
        <v>51</v>
      </c>
    </row>
    <row r="11" spans="1:2" x14ac:dyDescent="0.35">
      <c r="A11" s="6">
        <v>7</v>
      </c>
      <c r="B11">
        <v>32</v>
      </c>
    </row>
    <row r="12" spans="1:2" x14ac:dyDescent="0.35">
      <c r="A12" s="6">
        <v>8</v>
      </c>
      <c r="B12">
        <v>23</v>
      </c>
    </row>
    <row r="13" spans="1:2" x14ac:dyDescent="0.35">
      <c r="A13" s="6">
        <v>9</v>
      </c>
      <c r="B13">
        <v>9</v>
      </c>
    </row>
    <row r="14" spans="1:2" x14ac:dyDescent="0.35">
      <c r="A14" s="6">
        <v>10</v>
      </c>
      <c r="B14">
        <v>8</v>
      </c>
    </row>
    <row r="15" spans="1:2" x14ac:dyDescent="0.35">
      <c r="A15" s="6">
        <v>11</v>
      </c>
      <c r="B15">
        <v>11</v>
      </c>
    </row>
    <row r="16" spans="1:2" x14ac:dyDescent="0.35">
      <c r="A16" s="6">
        <v>12</v>
      </c>
      <c r="B16">
        <v>4</v>
      </c>
    </row>
    <row r="17" spans="1:2" x14ac:dyDescent="0.35">
      <c r="A17" s="6">
        <v>13</v>
      </c>
      <c r="B17">
        <v>10</v>
      </c>
    </row>
    <row r="18" spans="1:2" x14ac:dyDescent="0.35">
      <c r="A18" s="6">
        <v>14</v>
      </c>
      <c r="B18">
        <v>13</v>
      </c>
    </row>
    <row r="19" spans="1:2" x14ac:dyDescent="0.35">
      <c r="A19" s="6" t="s">
        <v>2519</v>
      </c>
      <c r="B19">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9EE9-A5D2-4317-9B0C-09179D373A2E}">
  <dimension ref="A3:G8"/>
  <sheetViews>
    <sheetView workbookViewId="0">
      <selection activeCell="E6" sqref="E6"/>
    </sheetView>
  </sheetViews>
  <sheetFormatPr defaultRowHeight="14.5" x14ac:dyDescent="0.35"/>
  <cols>
    <col min="1" max="1" width="12.453125" bestFit="1" customWidth="1"/>
    <col min="2" max="2" width="15.6328125" bestFit="1" customWidth="1"/>
    <col min="3" max="4" width="3.81640625" bestFit="1" customWidth="1"/>
    <col min="5" max="5" width="4.81640625" bestFit="1" customWidth="1"/>
    <col min="6" max="6" width="3.81640625" bestFit="1" customWidth="1"/>
    <col min="7" max="7" width="10.36328125" bestFit="1" customWidth="1"/>
  </cols>
  <sheetData>
    <row r="3" spans="1:7" x14ac:dyDescent="0.35">
      <c r="A3" s="5" t="s">
        <v>2520</v>
      </c>
      <c r="B3" s="5" t="s">
        <v>2533</v>
      </c>
    </row>
    <row r="4" spans="1:7" x14ac:dyDescent="0.35">
      <c r="A4" s="5" t="s">
        <v>2518</v>
      </c>
      <c r="B4">
        <v>1</v>
      </c>
      <c r="C4">
        <v>2</v>
      </c>
      <c r="D4">
        <v>3</v>
      </c>
      <c r="E4">
        <v>4</v>
      </c>
      <c r="F4">
        <v>5</v>
      </c>
      <c r="G4" t="s">
        <v>2519</v>
      </c>
    </row>
    <row r="5" spans="1:7" x14ac:dyDescent="0.35">
      <c r="A5" s="6" t="s">
        <v>2545</v>
      </c>
      <c r="B5">
        <v>7</v>
      </c>
      <c r="C5">
        <v>37</v>
      </c>
      <c r="D5">
        <v>150</v>
      </c>
      <c r="E5">
        <v>312</v>
      </c>
      <c r="F5">
        <v>224</v>
      </c>
      <c r="G5">
        <v>730</v>
      </c>
    </row>
    <row r="6" spans="1:7" x14ac:dyDescent="0.35">
      <c r="A6" s="6" t="s">
        <v>2546</v>
      </c>
      <c r="B6">
        <v>8</v>
      </c>
      <c r="C6">
        <v>51</v>
      </c>
      <c r="D6">
        <v>182</v>
      </c>
      <c r="E6">
        <v>373</v>
      </c>
      <c r="F6">
        <v>247</v>
      </c>
      <c r="G6">
        <v>861</v>
      </c>
    </row>
    <row r="7" spans="1:7" x14ac:dyDescent="0.35">
      <c r="A7" s="6" t="s">
        <v>2547</v>
      </c>
      <c r="B7">
        <v>6</v>
      </c>
      <c r="C7">
        <v>39</v>
      </c>
      <c r="D7">
        <v>163</v>
      </c>
      <c r="E7">
        <v>351</v>
      </c>
      <c r="F7">
        <v>250</v>
      </c>
      <c r="G7">
        <v>809</v>
      </c>
    </row>
    <row r="8" spans="1:7" x14ac:dyDescent="0.35">
      <c r="A8" s="6" t="s">
        <v>2519</v>
      </c>
      <c r="B8">
        <v>21</v>
      </c>
      <c r="C8">
        <v>127</v>
      </c>
      <c r="D8">
        <v>495</v>
      </c>
      <c r="E8">
        <v>1036</v>
      </c>
      <c r="F8">
        <v>721</v>
      </c>
      <c r="G8">
        <v>2400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C679-E7CE-483E-B84F-BFD2D314A4BD}">
  <dimension ref="A3:B24"/>
  <sheetViews>
    <sheetView topLeftCell="A6" workbookViewId="0">
      <selection activeCell="B16" sqref="B16"/>
    </sheetView>
  </sheetViews>
  <sheetFormatPr defaultRowHeight="14.5" x14ac:dyDescent="0.35"/>
  <cols>
    <col min="1" max="1" width="19" bestFit="1" customWidth="1"/>
    <col min="2" max="2" width="14.26953125" bestFit="1" customWidth="1"/>
  </cols>
  <sheetData>
    <row r="3" spans="1:2" x14ac:dyDescent="0.35">
      <c r="A3" s="5" t="s">
        <v>2518</v>
      </c>
      <c r="B3" t="s">
        <v>2521</v>
      </c>
    </row>
    <row r="4" spans="1:2" x14ac:dyDescent="0.35">
      <c r="A4" s="6" t="s">
        <v>81</v>
      </c>
      <c r="B4">
        <v>147</v>
      </c>
    </row>
    <row r="5" spans="1:2" x14ac:dyDescent="0.35">
      <c r="A5" s="6" t="s">
        <v>54</v>
      </c>
      <c r="B5">
        <v>807</v>
      </c>
    </row>
    <row r="6" spans="1:2" x14ac:dyDescent="0.35">
      <c r="A6" s="6" t="s">
        <v>69</v>
      </c>
      <c r="B6">
        <v>370</v>
      </c>
    </row>
    <row r="7" spans="1:2" x14ac:dyDescent="0.35">
      <c r="A7" s="6" t="s">
        <v>123</v>
      </c>
      <c r="B7">
        <v>437</v>
      </c>
    </row>
    <row r="8" spans="1:2" x14ac:dyDescent="0.35">
      <c r="A8" s="6" t="s">
        <v>32</v>
      </c>
      <c r="B8">
        <v>647</v>
      </c>
    </row>
    <row r="9" spans="1:2" x14ac:dyDescent="0.35">
      <c r="A9" s="6" t="s">
        <v>42</v>
      </c>
      <c r="B9">
        <v>606</v>
      </c>
    </row>
    <row r="10" spans="1:2" x14ac:dyDescent="0.35">
      <c r="A10" s="6" t="s">
        <v>39</v>
      </c>
      <c r="B10">
        <v>1546</v>
      </c>
    </row>
    <row r="11" spans="1:2" x14ac:dyDescent="0.35">
      <c r="A11" s="6" t="s">
        <v>171</v>
      </c>
      <c r="B11">
        <v>65</v>
      </c>
    </row>
    <row r="12" spans="1:2" x14ac:dyDescent="0.35">
      <c r="A12" s="6" t="s">
        <v>146</v>
      </c>
      <c r="B12">
        <v>398</v>
      </c>
    </row>
    <row r="13" spans="1:2" x14ac:dyDescent="0.35">
      <c r="A13" s="6" t="s">
        <v>67</v>
      </c>
      <c r="B13">
        <v>258</v>
      </c>
    </row>
    <row r="14" spans="1:2" x14ac:dyDescent="0.35">
      <c r="A14" s="6" t="s">
        <v>135</v>
      </c>
      <c r="B14">
        <v>270</v>
      </c>
    </row>
    <row r="15" spans="1:2" x14ac:dyDescent="0.35">
      <c r="A15" s="6" t="s">
        <v>37</v>
      </c>
      <c r="B15">
        <v>603</v>
      </c>
    </row>
    <row r="16" spans="1:2" x14ac:dyDescent="0.35">
      <c r="A16" s="6" t="s">
        <v>16</v>
      </c>
      <c r="B16">
        <v>745</v>
      </c>
    </row>
    <row r="17" spans="1:2" x14ac:dyDescent="0.35">
      <c r="A17" s="6" t="s">
        <v>26</v>
      </c>
      <c r="B17">
        <v>1186</v>
      </c>
    </row>
    <row r="18" spans="1:2" x14ac:dyDescent="0.35">
      <c r="A18" s="6" t="s">
        <v>46</v>
      </c>
      <c r="B18">
        <v>700</v>
      </c>
    </row>
    <row r="19" spans="1:2" x14ac:dyDescent="0.35">
      <c r="A19" s="6" t="s">
        <v>128</v>
      </c>
      <c r="B19">
        <v>195</v>
      </c>
    </row>
    <row r="20" spans="1:2" x14ac:dyDescent="0.35">
      <c r="A20" s="6" t="s">
        <v>22</v>
      </c>
      <c r="B20">
        <v>912</v>
      </c>
    </row>
    <row r="21" spans="1:2" x14ac:dyDescent="0.35">
      <c r="A21" s="6" t="s">
        <v>76</v>
      </c>
      <c r="B21">
        <v>188</v>
      </c>
    </row>
    <row r="22" spans="1:2" x14ac:dyDescent="0.35">
      <c r="A22" s="6" t="s">
        <v>44</v>
      </c>
      <c r="B22">
        <v>1645</v>
      </c>
    </row>
    <row r="23" spans="1:2" x14ac:dyDescent="0.35">
      <c r="A23" s="6" t="s">
        <v>30</v>
      </c>
      <c r="B23">
        <v>272</v>
      </c>
    </row>
    <row r="24" spans="1:2" x14ac:dyDescent="0.35">
      <c r="A24" s="6" t="s">
        <v>2519</v>
      </c>
      <c r="B24">
        <v>11997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CA7C-DE65-440F-BF81-F385447ACA48}">
  <dimension ref="A1:B60"/>
  <sheetViews>
    <sheetView workbookViewId="0">
      <selection activeCell="D11" sqref="D11"/>
    </sheetView>
  </sheetViews>
  <sheetFormatPr defaultRowHeight="14.5" x14ac:dyDescent="0.35"/>
  <cols>
    <col min="1" max="1" width="19.81640625" bestFit="1" customWidth="1"/>
    <col min="2" max="2" width="14.26953125" bestFit="1" customWidth="1"/>
    <col min="4" max="4" width="17.1796875" customWidth="1"/>
    <col min="5" max="5" width="8.7265625" customWidth="1"/>
  </cols>
  <sheetData>
    <row r="1" spans="1:2" x14ac:dyDescent="0.35">
      <c r="A1" s="5" t="s">
        <v>2518</v>
      </c>
      <c r="B1" t="s">
        <v>2521</v>
      </c>
    </row>
    <row r="2" spans="1:2" x14ac:dyDescent="0.35">
      <c r="A2" s="6" t="s">
        <v>115</v>
      </c>
      <c r="B2">
        <v>579</v>
      </c>
    </row>
    <row r="3" spans="1:2" x14ac:dyDescent="0.35">
      <c r="A3" s="6" t="s">
        <v>20</v>
      </c>
      <c r="B3">
        <v>1</v>
      </c>
    </row>
    <row r="4" spans="1:2" x14ac:dyDescent="0.35">
      <c r="A4" s="6" t="s">
        <v>641</v>
      </c>
      <c r="B4">
        <v>9</v>
      </c>
    </row>
    <row r="5" spans="1:2" x14ac:dyDescent="0.35">
      <c r="A5" s="6" t="s">
        <v>967</v>
      </c>
      <c r="B5">
        <v>35</v>
      </c>
    </row>
    <row r="6" spans="1:2" x14ac:dyDescent="0.35">
      <c r="A6" s="6" t="s">
        <v>84</v>
      </c>
      <c r="B6">
        <v>12</v>
      </c>
    </row>
    <row r="7" spans="1:2" x14ac:dyDescent="0.35">
      <c r="A7" s="6" t="s">
        <v>1383</v>
      </c>
      <c r="B7">
        <v>4</v>
      </c>
    </row>
    <row r="8" spans="1:2" x14ac:dyDescent="0.35">
      <c r="A8" s="6" t="s">
        <v>24</v>
      </c>
      <c r="B8">
        <v>341</v>
      </c>
    </row>
    <row r="9" spans="1:2" x14ac:dyDescent="0.35">
      <c r="A9" s="6" t="s">
        <v>2204</v>
      </c>
      <c r="B9">
        <v>13</v>
      </c>
    </row>
    <row r="10" spans="1:2" x14ac:dyDescent="0.35">
      <c r="A10" s="6" t="s">
        <v>437</v>
      </c>
      <c r="B10">
        <v>31</v>
      </c>
    </row>
    <row r="11" spans="1:2" x14ac:dyDescent="0.35">
      <c r="A11" s="6" t="s">
        <v>28</v>
      </c>
      <c r="B11">
        <v>279</v>
      </c>
    </row>
    <row r="12" spans="1:2" x14ac:dyDescent="0.35">
      <c r="A12" s="6" t="s">
        <v>208</v>
      </c>
      <c r="B12">
        <v>9</v>
      </c>
    </row>
    <row r="13" spans="1:2" x14ac:dyDescent="0.35">
      <c r="A13" s="6" t="s">
        <v>587</v>
      </c>
      <c r="B13">
        <v>49</v>
      </c>
    </row>
    <row r="14" spans="1:2" x14ac:dyDescent="0.35">
      <c r="A14" s="6" t="s">
        <v>331</v>
      </c>
      <c r="B14">
        <v>59</v>
      </c>
    </row>
    <row r="15" spans="1:2" x14ac:dyDescent="0.35">
      <c r="A15" s="6" t="s">
        <v>86</v>
      </c>
      <c r="B15">
        <v>8</v>
      </c>
    </row>
    <row r="16" spans="1:2" x14ac:dyDescent="0.35">
      <c r="A16" s="6" t="s">
        <v>147</v>
      </c>
      <c r="B16">
        <v>222</v>
      </c>
    </row>
    <row r="17" spans="1:2" x14ac:dyDescent="0.35">
      <c r="A17" s="6" t="s">
        <v>334</v>
      </c>
      <c r="B17">
        <v>36</v>
      </c>
    </row>
    <row r="18" spans="1:2" x14ac:dyDescent="0.35">
      <c r="A18" s="6" t="s">
        <v>949</v>
      </c>
      <c r="B18">
        <v>30</v>
      </c>
    </row>
    <row r="19" spans="1:2" x14ac:dyDescent="0.35">
      <c r="A19" s="6" t="s">
        <v>1426</v>
      </c>
      <c r="B19">
        <v>1</v>
      </c>
    </row>
    <row r="20" spans="1:2" x14ac:dyDescent="0.35">
      <c r="A20" s="6" t="s">
        <v>33</v>
      </c>
      <c r="B20">
        <v>3991</v>
      </c>
    </row>
    <row r="21" spans="1:2" x14ac:dyDescent="0.35">
      <c r="A21" s="6" t="s">
        <v>364</v>
      </c>
      <c r="B21">
        <v>45</v>
      </c>
    </row>
    <row r="22" spans="1:2" x14ac:dyDescent="0.35">
      <c r="A22" s="6" t="s">
        <v>545</v>
      </c>
      <c r="B22">
        <v>39</v>
      </c>
    </row>
    <row r="23" spans="1:2" x14ac:dyDescent="0.35">
      <c r="A23" s="6" t="s">
        <v>416</v>
      </c>
      <c r="B23">
        <v>6</v>
      </c>
    </row>
    <row r="24" spans="1:2" x14ac:dyDescent="0.35">
      <c r="A24" s="6" t="s">
        <v>258</v>
      </c>
      <c r="B24">
        <v>9</v>
      </c>
    </row>
    <row r="25" spans="1:2" x14ac:dyDescent="0.35">
      <c r="A25" s="6" t="s">
        <v>186</v>
      </c>
      <c r="B25">
        <v>60</v>
      </c>
    </row>
    <row r="26" spans="1:2" x14ac:dyDescent="0.35">
      <c r="A26" s="6" t="s">
        <v>392</v>
      </c>
      <c r="B26">
        <v>2</v>
      </c>
    </row>
    <row r="27" spans="1:2" x14ac:dyDescent="0.35">
      <c r="A27" s="6" t="s">
        <v>670</v>
      </c>
      <c r="B27">
        <v>4</v>
      </c>
    </row>
    <row r="28" spans="1:2" x14ac:dyDescent="0.35">
      <c r="A28" s="6" t="s">
        <v>802</v>
      </c>
      <c r="B28">
        <v>31</v>
      </c>
    </row>
    <row r="29" spans="1:2" x14ac:dyDescent="0.35">
      <c r="A29" s="6" t="s">
        <v>98</v>
      </c>
      <c r="B29">
        <v>88</v>
      </c>
    </row>
    <row r="30" spans="1:2" x14ac:dyDescent="0.35">
      <c r="A30" s="6" t="s">
        <v>49</v>
      </c>
      <c r="B30">
        <v>25</v>
      </c>
    </row>
    <row r="31" spans="1:2" x14ac:dyDescent="0.35">
      <c r="A31" s="6" t="s">
        <v>188</v>
      </c>
      <c r="B31">
        <v>178</v>
      </c>
    </row>
    <row r="32" spans="1:2" x14ac:dyDescent="0.35">
      <c r="A32" s="6" t="s">
        <v>52</v>
      </c>
      <c r="B32">
        <v>141</v>
      </c>
    </row>
    <row r="33" spans="1:2" x14ac:dyDescent="0.35">
      <c r="A33" s="6" t="s">
        <v>338</v>
      </c>
      <c r="B33">
        <v>6</v>
      </c>
    </row>
    <row r="34" spans="1:2" x14ac:dyDescent="0.35">
      <c r="A34" s="6" t="s">
        <v>158</v>
      </c>
      <c r="B34">
        <v>178</v>
      </c>
    </row>
    <row r="35" spans="1:2" x14ac:dyDescent="0.35">
      <c r="A35" s="6" t="s">
        <v>55</v>
      </c>
      <c r="B35">
        <v>699</v>
      </c>
    </row>
    <row r="36" spans="1:2" x14ac:dyDescent="0.35">
      <c r="A36" s="6" t="s">
        <v>342</v>
      </c>
      <c r="B36">
        <v>23</v>
      </c>
    </row>
    <row r="37" spans="1:2" x14ac:dyDescent="0.35">
      <c r="A37" s="6" t="s">
        <v>59</v>
      </c>
      <c r="B37">
        <v>356</v>
      </c>
    </row>
    <row r="38" spans="1:2" x14ac:dyDescent="0.35">
      <c r="A38" s="6" t="s">
        <v>62</v>
      </c>
      <c r="B38">
        <v>1768</v>
      </c>
    </row>
    <row r="39" spans="1:2" x14ac:dyDescent="0.35">
      <c r="A39" s="6" t="s">
        <v>103</v>
      </c>
      <c r="B39">
        <v>307</v>
      </c>
    </row>
    <row r="40" spans="1:2" x14ac:dyDescent="0.35">
      <c r="A40" s="6" t="s">
        <v>201</v>
      </c>
      <c r="B40">
        <v>117</v>
      </c>
    </row>
    <row r="41" spans="1:2" x14ac:dyDescent="0.35">
      <c r="A41" s="6" t="s">
        <v>429</v>
      </c>
      <c r="B41">
        <v>13</v>
      </c>
    </row>
    <row r="42" spans="1:2" x14ac:dyDescent="0.35">
      <c r="A42" s="6" t="s">
        <v>72</v>
      </c>
      <c r="B42">
        <v>364</v>
      </c>
    </row>
    <row r="43" spans="1:2" x14ac:dyDescent="0.35">
      <c r="A43" s="6" t="s">
        <v>74</v>
      </c>
      <c r="B43">
        <v>95</v>
      </c>
    </row>
    <row r="44" spans="1:2" x14ac:dyDescent="0.35">
      <c r="A44" s="6" t="s">
        <v>77</v>
      </c>
      <c r="B44">
        <v>737</v>
      </c>
    </row>
    <row r="45" spans="1:2" x14ac:dyDescent="0.35">
      <c r="A45" s="6" t="s">
        <v>309</v>
      </c>
      <c r="B45">
        <v>39</v>
      </c>
    </row>
    <row r="46" spans="1:2" x14ac:dyDescent="0.35">
      <c r="A46" s="6" t="s">
        <v>1116</v>
      </c>
      <c r="B46">
        <v>56</v>
      </c>
    </row>
    <row r="47" spans="1:2" x14ac:dyDescent="0.35">
      <c r="A47" s="6" t="s">
        <v>700</v>
      </c>
      <c r="B47">
        <v>2</v>
      </c>
    </row>
    <row r="48" spans="1:2" x14ac:dyDescent="0.35">
      <c r="A48" s="6" t="s">
        <v>268</v>
      </c>
      <c r="B48">
        <v>8</v>
      </c>
    </row>
    <row r="49" spans="1:2" x14ac:dyDescent="0.35">
      <c r="A49" s="6" t="s">
        <v>377</v>
      </c>
      <c r="B49">
        <v>52</v>
      </c>
    </row>
    <row r="50" spans="1:2" x14ac:dyDescent="0.35">
      <c r="A50" s="6" t="s">
        <v>108</v>
      </c>
      <c r="B50">
        <v>295</v>
      </c>
    </row>
    <row r="51" spans="1:2" x14ac:dyDescent="0.35">
      <c r="A51" s="6" t="s">
        <v>110</v>
      </c>
      <c r="B51">
        <v>195</v>
      </c>
    </row>
    <row r="52" spans="1:2" x14ac:dyDescent="0.35">
      <c r="A52" s="6" t="s">
        <v>292</v>
      </c>
      <c r="B52">
        <v>20</v>
      </c>
    </row>
    <row r="53" spans="1:2" x14ac:dyDescent="0.35">
      <c r="A53" s="6" t="s">
        <v>79</v>
      </c>
      <c r="B53">
        <v>6</v>
      </c>
    </row>
    <row r="54" spans="1:2" x14ac:dyDescent="0.35">
      <c r="A54" s="6" t="s">
        <v>608</v>
      </c>
      <c r="B54">
        <v>5</v>
      </c>
    </row>
    <row r="55" spans="1:2" x14ac:dyDescent="0.35">
      <c r="A55" s="6" t="s">
        <v>113</v>
      </c>
      <c r="B55">
        <v>94</v>
      </c>
    </row>
    <row r="56" spans="1:2" x14ac:dyDescent="0.35">
      <c r="A56" s="6" t="s">
        <v>997</v>
      </c>
      <c r="B56">
        <v>28</v>
      </c>
    </row>
    <row r="57" spans="1:2" x14ac:dyDescent="0.35">
      <c r="A57" s="6" t="s">
        <v>82</v>
      </c>
      <c r="B57">
        <v>179</v>
      </c>
    </row>
    <row r="58" spans="1:2" x14ac:dyDescent="0.35">
      <c r="A58" s="6" t="s">
        <v>243</v>
      </c>
      <c r="B58">
        <v>15</v>
      </c>
    </row>
    <row r="59" spans="1:2" x14ac:dyDescent="0.35">
      <c r="A59" s="6" t="s">
        <v>1911</v>
      </c>
      <c r="B59">
        <v>3</v>
      </c>
    </row>
    <row r="60" spans="1:2" x14ac:dyDescent="0.35">
      <c r="A60" s="6" t="s">
        <v>2519</v>
      </c>
      <c r="B60">
        <v>11997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15" workbookViewId="0">
      <selection activeCell="A38" sqref="A38"/>
    </sheetView>
  </sheetViews>
  <sheetFormatPr defaultRowHeight="14.5" x14ac:dyDescent="0.35"/>
  <cols>
    <col min="2" max="2" width="19.1796875" bestFit="1" customWidth="1"/>
    <col min="3" max="3" width="14.6328125" customWidth="1"/>
    <col min="4" max="4" width="9.1796875" bestFit="1" customWidth="1"/>
    <col min="5" max="5" width="7.453125" bestFit="1" customWidth="1"/>
    <col min="6" max="6" width="10" bestFit="1" customWidth="1"/>
    <col min="7" max="7" width="9.453125" bestFit="1" customWidth="1"/>
    <col min="8" max="8" width="15.7265625" bestFit="1" customWidth="1"/>
    <col min="9" max="9" width="15.7265625" customWidth="1"/>
    <col min="10" max="10" width="7.7265625" bestFit="1" customWidth="1"/>
    <col min="11" max="11" width="8.7265625" bestFit="1" customWidth="1"/>
    <col min="12" max="12" width="19.7265625" bestFit="1" customWidth="1"/>
    <col min="13" max="13" width="13.26953125" bestFit="1" customWidth="1"/>
    <col min="14" max="14" width="9.26953125" bestFit="1" customWidth="1"/>
    <col min="15" max="15" width="12.17968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hidden="1"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IF(orders[[#This Row],[Customer Gender]] = "M", "Male", IF(orders[[#This Row],[Customer Gender]] = "F", "Female", IF(orders[[#This Row],[Customer Gender]] = "O", "Other",  "Unkown")))</f>
        <v>Unkown</v>
      </c>
    </row>
    <row r="3" spans="1:15" hidden="1"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IF(orders[[#This Row],[Customer Gender]] = "M", "Male", IF(orders[[#This Row],[Customer Gender]] = "F", "Female", IF(orders[[#This Row],[Customer Gender]] = "O", "Other",  "Unkown")))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IF(orders[[#This Row],[Customer Gender]] = "M", "Male", IF(orders[[#This Row],[Customer Gender]] = "F", "Female", IF(orders[[#This Row],[Customer Gender]] = "O", "Other",  "Unkown")))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IF(orders[[#This Row],[Customer Gender]] = "M", "Male", IF(orders[[#This Row],[Customer Gender]] = "F", "Female", IF(orders[[#This Row],[Customer Gender]] = "O", "Other",  "Unkown")))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IF(orders[[#This Row],[Customer Gender]] = "M", "Male", IF(orders[[#This Row],[Customer Gender]] = "F", "Female", IF(orders[[#This Row],[Customer Gender]] = "O", "Other",  "Unkown")))</f>
        <v>Female</v>
      </c>
    </row>
    <row r="7" spans="1:15" hidden="1"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IF(orders[[#This Row],[Customer Gender]] = "M", "Male", IF(orders[[#This Row],[Customer Gender]] = "F", "Female", IF(orders[[#This Row],[Customer Gender]] = "O", "Other",  "Unkown")))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IF(orders[[#This Row],[Customer Gender]] = "M", "Male", IF(orders[[#This Row],[Customer Gender]] = "F", "Female", IF(orders[[#This Row],[Customer Gender]] = "O", "Other",  "Unkown")))</f>
        <v>Female</v>
      </c>
    </row>
    <row r="9" spans="1:15" hidden="1"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IF(orders[[#This Row],[Customer Gender]] = "M", "Male", IF(orders[[#This Row],[Customer Gender]] = "F", "Female", IF(orders[[#This Row],[Customer Gender]] = "O", "Other",  "Unkown")))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IF(orders[[#This Row],[Customer Gender]] = "M", "Male", IF(orders[[#This Row],[Customer Gender]] = "F", "Female", IF(orders[[#This Row],[Customer Gender]] = "O", "Other",  "Unkown")))</f>
        <v>Female</v>
      </c>
    </row>
    <row r="11" spans="1:15" hidden="1"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IF(orders[[#This Row],[Customer Gender]] = "M", "Male", IF(orders[[#This Row],[Customer Gender]] = "F", "Female", IF(orders[[#This Row],[Customer Gender]] = "O", "Other",  "Unkown")))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IF(orders[[#This Row],[Customer Gender]] = "M", "Male", IF(orders[[#This Row],[Customer Gender]] = "F", "Female", IF(orders[[#This Row],[Customer Gender]] = "O", "Other",  "Unkown")))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IF(orders[[#This Row],[Customer Gender]] = "M", "Male", IF(orders[[#This Row],[Customer Gender]] = "F", "Female", IF(orders[[#This Row],[Customer Gender]] = "O", "Other",  "Unkown")))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IF(orders[[#This Row],[Customer Gender]] = "M", "Male", IF(orders[[#This Row],[Customer Gender]] = "F", "Female", IF(orders[[#This Row],[Customer Gender]] = "O", "Other",  "Unkown")))</f>
        <v>Female</v>
      </c>
    </row>
    <row r="15" spans="1:15" hidden="1"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IF(orders[[#This Row],[Customer Gender]] = "M", "Male", IF(orders[[#This Row],[Customer Gender]] = "F", "Female", IF(orders[[#This Row],[Customer Gender]] = "O", "Other",  "Unkown")))</f>
        <v>Male</v>
      </c>
    </row>
    <row r="16" spans="1:15" hidden="1"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IF(orders[[#This Row],[Customer Gender]] = "M", "Male", IF(orders[[#This Row],[Customer Gender]] = "F", "Female", IF(orders[[#This Row],[Customer Gender]] = "O", "Other",  "Unkown")))</f>
        <v>Male</v>
      </c>
    </row>
    <row r="17" spans="1:15" hidden="1"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IF(orders[[#This Row],[Customer Gender]] = "M", "Male", IF(orders[[#This Row],[Customer Gender]] = "F", "Female", IF(orders[[#This Row],[Customer Gender]] = "O", "Other",  "Unkown")))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IF(orders[[#This Row],[Customer Gender]] = "M", "Male", IF(orders[[#This Row],[Customer Gender]] = "F", "Female", IF(orders[[#This Row],[Customer Gender]] = "O", "Other",  "Unkown")))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IF(orders[[#This Row],[Customer Gender]] = "M", "Male", IF(orders[[#This Row],[Customer Gender]] = "F", "Female", IF(orders[[#This Row],[Customer Gender]] = "O", "Other",  "Unkown")))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IF(orders[[#This Row],[Customer Gender]] = "M", "Male", IF(orders[[#This Row],[Customer Gender]] = "F", "Female", IF(orders[[#This Row],[Customer Gender]] = "O", "Other",  "Unkown")))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IF(orders[[#This Row],[Customer Gender]] = "M", "Male", IF(orders[[#This Row],[Customer Gender]] = "F", "Female", IF(orders[[#This Row],[Customer Gender]] = "O", "Other",  "Unkown")))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IF(orders[[#This Row],[Customer Gender]] = "M", "Male", IF(orders[[#This Row],[Customer Gender]] = "F", "Female", IF(orders[[#This Row],[Customer Gender]] = "O", "Other",  "Unkown")))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IF(orders[[#This Row],[Customer Gender]] = "M", "Male", IF(orders[[#This Row],[Customer Gender]] = "F", "Female", IF(orders[[#This Row],[Customer Gender]] = "O", "Other",  "Unkown")))</f>
        <v>Female</v>
      </c>
    </row>
    <row r="24" spans="1:15" hidden="1"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IF(orders[[#This Row],[Customer Gender]] = "M", "Male", IF(orders[[#This Row],[Customer Gender]] = "F", "Female", IF(orders[[#This Row],[Customer Gender]] = "O", "Other",  "Unkown")))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IF(orders[[#This Row],[Customer Gender]] = "M", "Male", IF(orders[[#This Row],[Customer Gender]] = "F", "Female", IF(orders[[#This Row],[Customer Gender]] = "O", "Other",  "Unkown")))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IF(orders[[#This Row],[Customer Gender]] = "M", "Male", IF(orders[[#This Row],[Customer Gender]] = "F", "Female", IF(orders[[#This Row],[Customer Gender]] = "O", "Other",  "Unkown")))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IF(orders[[#This Row],[Customer Gender]] = "M", "Male", IF(orders[[#This Row],[Customer Gender]] = "F", "Female", IF(orders[[#This Row],[Customer Gender]] = "O", "Other",  "Unkown")))</f>
        <v>Female</v>
      </c>
    </row>
    <row r="28" spans="1:15" hidden="1"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IF(orders[[#This Row],[Customer Gender]] = "M", "Male", IF(orders[[#This Row],[Customer Gender]] = "F", "Female", IF(orders[[#This Row],[Customer Gender]] = "O", "Other",  "Unkown")))</f>
        <v>Male</v>
      </c>
    </row>
    <row r="29" spans="1:15" hidden="1"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IF(orders[[#This Row],[Customer Gender]] = "M", "Male", IF(orders[[#This Row],[Customer Gender]] = "F", "Female", IF(orders[[#This Row],[Customer Gender]] = "O", "Other",  "Unkown")))</f>
        <v>Unkown</v>
      </c>
    </row>
    <row r="30" spans="1:15" hidden="1"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IF(orders[[#This Row],[Customer Gender]] = "M", "Male", IF(orders[[#This Row],[Customer Gender]] = "F", "Female", IF(orders[[#This Row],[Customer Gender]] = "O", "Other",  "Unkown")))</f>
        <v>Unkown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IF(orders[[#This Row],[Customer Gender]] = "M", "Male", IF(orders[[#This Row],[Customer Gender]] = "F", "Female", IF(orders[[#This Row],[Customer Gender]] = "O", "Other",  "Unkown")))</f>
        <v>Female</v>
      </c>
    </row>
    <row r="32" spans="1:15" hidden="1"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IF(orders[[#This Row],[Customer Gender]] = "M", "Male", IF(orders[[#This Row],[Customer Gender]] = "F", "Female", IF(orders[[#This Row],[Customer Gender]] = "O", "Other",  "Unkown")))</f>
        <v>Male</v>
      </c>
    </row>
    <row r="33" spans="1:15" hidden="1"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IF(orders[[#This Row],[Customer Gender]] = "M", "Male", IF(orders[[#This Row],[Customer Gender]] = "F", "Female", IF(orders[[#This Row],[Customer Gender]] = "O", "Other",  "Unkown")))</f>
        <v>Male</v>
      </c>
    </row>
    <row r="34" spans="1:15" hidden="1"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IF(orders[[#This Row],[Customer Gender]] = "M", "Male", IF(orders[[#This Row],[Customer Gender]] = "F", "Female", IF(orders[[#This Row],[Customer Gender]] = "O", "Other",  "Unkown")))</f>
        <v>Male</v>
      </c>
    </row>
    <row r="35" spans="1:15" hidden="1"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IF(orders[[#This Row],[Customer Gender]] = "M", "Male", IF(orders[[#This Row],[Customer Gender]] = "F", "Female", IF(orders[[#This Row],[Customer Gender]] = "O", "Other",  "Unkown")))</f>
        <v>Other</v>
      </c>
    </row>
    <row r="36" spans="1:15" hidden="1"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IF(orders[[#This Row],[Customer Gender]] = "M", "Male", IF(orders[[#This Row],[Customer Gender]] = "F", "Female", IF(orders[[#This Row],[Customer Gender]] = "O", "Other",  "Unkown")))</f>
        <v>Male</v>
      </c>
    </row>
    <row r="37" spans="1:15" hidden="1"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IF(orders[[#This Row],[Customer Gender]] = "M", "Male", IF(orders[[#This Row],[Customer Gender]] = "F", "Female", IF(orders[[#This Row],[Customer Gender]] = "O", "Other",  "Unkown")))</f>
        <v>Male</v>
      </c>
    </row>
    <row r="38" spans="1:15" hidden="1"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IF(orders[[#This Row],[Customer Gender]] = "M", "Male", IF(orders[[#This Row],[Customer Gender]] = "F", "Female", IF(orders[[#This Row],[Customer Gender]] = "O", "Other",  "Unkown")))</f>
        <v>Male</v>
      </c>
    </row>
    <row r="39" spans="1:15" hidden="1"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IF(orders[[#This Row],[Customer Gender]] = "M", "Male", IF(orders[[#This Row],[Customer Gender]] = "F", "Female", IF(orders[[#This Row],[Customer Gender]] = "O", "Other",  "Unkown")))</f>
        <v>Male</v>
      </c>
    </row>
    <row r="40" spans="1:15" hidden="1"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IF(orders[[#This Row],[Customer Gender]] = "M", "Male", IF(orders[[#This Row],[Customer Gender]] = "F", "Female", IF(orders[[#This Row],[Customer Gender]] = "O", "Other",  "Unkown")))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IF(orders[[#This Row],[Customer Gender]] = "M", "Male", IF(orders[[#This Row],[Customer Gender]] = "F", "Female", IF(orders[[#This Row],[Customer Gender]] = "O", "Other",  "Unkown")))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IF(orders[[#This Row],[Customer Gender]] = "M", "Male", IF(orders[[#This Row],[Customer Gender]] = "F", "Female", IF(orders[[#This Row],[Customer Gender]] = "O", "Other",  "Unkown")))</f>
        <v>Female</v>
      </c>
    </row>
    <row r="43" spans="1:15" hidden="1"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IF(orders[[#This Row],[Customer Gender]] = "M", "Male", IF(orders[[#This Row],[Customer Gender]] = "F", "Female", IF(orders[[#This Row],[Customer Gender]] = "O", "Other",  "Unkown")))</f>
        <v>Male</v>
      </c>
    </row>
    <row r="44" spans="1:15" hidden="1"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IF(orders[[#This Row],[Customer Gender]] = "M", "Male", IF(orders[[#This Row],[Customer Gender]] = "F", "Female", IF(orders[[#This Row],[Customer Gender]] = "O", "Other",  "Unkown")))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IF(orders[[#This Row],[Customer Gender]] = "M", "Male", IF(orders[[#This Row],[Customer Gender]] = "F", "Female", IF(orders[[#This Row],[Customer Gender]] = "O", "Other",  "Unkown")))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IF(orders[[#This Row],[Customer Gender]] = "M", "Male", IF(orders[[#This Row],[Customer Gender]] = "F", "Female", IF(orders[[#This Row],[Customer Gender]] = "O", "Other",  "Unkown")))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IF(orders[[#This Row],[Customer Gender]] = "M", "Male", IF(orders[[#This Row],[Customer Gender]] = "F", "Female", IF(orders[[#This Row],[Customer Gender]] = "O", "Other",  "Unkown")))</f>
        <v>Female</v>
      </c>
    </row>
    <row r="48" spans="1:15" hidden="1"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IF(orders[[#This Row],[Customer Gender]] = "M", "Male", IF(orders[[#This Row],[Customer Gender]] = "F", "Female", IF(orders[[#This Row],[Customer Gender]] = "O", "Other",  "Unkown")))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IF(orders[[#This Row],[Customer Gender]] = "M", "Male", IF(orders[[#This Row],[Customer Gender]] = "F", "Female", IF(orders[[#This Row],[Customer Gender]] = "O", "Other",  "Unkown")))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IF(orders[[#This Row],[Customer Gender]] = "M", "Male", IF(orders[[#This Row],[Customer Gender]] = "F", "Female", IF(orders[[#This Row],[Customer Gender]] = "O", "Other",  "Unkown")))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IF(orders[[#This Row],[Customer Gender]] = "M", "Male", IF(orders[[#This Row],[Customer Gender]] = "F", "Female", IF(orders[[#This Row],[Customer Gender]] = "O", "Other",  "Unkown")))</f>
        <v>Female</v>
      </c>
    </row>
    <row r="52" spans="1:15" hidden="1"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IF(orders[[#This Row],[Customer Gender]] = "M", "Male", IF(orders[[#This Row],[Customer Gender]] = "F", "Female", IF(orders[[#This Row],[Customer Gender]] = "O", "Other",  "Unkown")))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IF(orders[[#This Row],[Customer Gender]] = "M", "Male", IF(orders[[#This Row],[Customer Gender]] = "F", "Female", IF(orders[[#This Row],[Customer Gender]] = "O", "Other",  "Unkown")))</f>
        <v>Female</v>
      </c>
    </row>
    <row r="54" spans="1:15" hidden="1"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IF(orders[[#This Row],[Customer Gender]] = "M", "Male", IF(orders[[#This Row],[Customer Gender]] = "F", "Female", IF(orders[[#This Row],[Customer Gender]] = "O", "Other",  "Unkown")))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IF(orders[[#This Row],[Customer Gender]] = "M", "Male", IF(orders[[#This Row],[Customer Gender]] = "F", "Female", IF(orders[[#This Row],[Customer Gender]] = "O", "Other",  "Unkown")))</f>
        <v>Female</v>
      </c>
    </row>
    <row r="56" spans="1:15" hidden="1"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IF(orders[[#This Row],[Customer Gender]] = "M", "Male", IF(orders[[#This Row],[Customer Gender]] = "F", "Female", IF(orders[[#This Row],[Customer Gender]] = "O", "Other",  "Unkown")))</f>
        <v>Male</v>
      </c>
    </row>
    <row r="57" spans="1:15" hidden="1"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IF(orders[[#This Row],[Customer Gender]] = "M", "Male", IF(orders[[#This Row],[Customer Gender]] = "F", "Female", IF(orders[[#This Row],[Customer Gender]] = "O", "Other",  "Unkown")))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IF(orders[[#This Row],[Customer Gender]] = "M", "Male", IF(orders[[#This Row],[Customer Gender]] = "F", "Female", IF(orders[[#This Row],[Customer Gender]] = "O", "Other",  "Unkown")))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IF(orders[[#This Row],[Customer Gender]] = "M", "Male", IF(orders[[#This Row],[Customer Gender]] = "F", "Female", IF(orders[[#This Row],[Customer Gender]] = "O", "Other",  "Unkown")))</f>
        <v>Female</v>
      </c>
    </row>
    <row r="60" spans="1:15" hidden="1"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IF(orders[[#This Row],[Customer Gender]] = "M", "Male", IF(orders[[#This Row],[Customer Gender]] = "F", "Female", IF(orders[[#This Row],[Customer Gender]] = "O", "Other",  "Unkown")))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IF(orders[[#This Row],[Customer Gender]] = "M", "Male", IF(orders[[#This Row],[Customer Gender]] = "F", "Female", IF(orders[[#This Row],[Customer Gender]] = "O", "Other",  "Unkown")))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IF(orders[[#This Row],[Customer Gender]] = "M", "Male", IF(orders[[#This Row],[Customer Gender]] = "F", "Female", IF(orders[[#This Row],[Customer Gender]] = "O", "Other",  "Unkown")))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IF(orders[[#This Row],[Customer Gender]] = "M", "Male", IF(orders[[#This Row],[Customer Gender]] = "F", "Female", IF(orders[[#This Row],[Customer Gender]] = "O", "Other",  "Unkown")))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IF(orders[[#This Row],[Customer Gender]] = "M", "Male", IF(orders[[#This Row],[Customer Gender]] = "F", "Female", IF(orders[[#This Row],[Customer Gender]] = "O", "Other",  "Unkown")))</f>
        <v>Female</v>
      </c>
    </row>
    <row r="65" spans="1:15" hidden="1"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IF(orders[[#This Row],[Customer Gender]] = "M", "Male", IF(orders[[#This Row],[Customer Gender]] = "F", "Female", IF(orders[[#This Row],[Customer Gender]] = "O", "Other",  "Unkown")))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IF(orders[[#This Row],[Customer Gender]] = "M", "Male", IF(orders[[#This Row],[Customer Gender]] = "F", "Female", IF(orders[[#This Row],[Customer Gender]] = "O", "Other",  "Unkown")))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IF(orders[[#This Row],[Customer Gender]] = "M", "Male", IF(orders[[#This Row],[Customer Gender]] = "F", "Female", IF(orders[[#This Row],[Customer Gender]] = "O", "Other",  "Unkown")))</f>
        <v>Female</v>
      </c>
    </row>
    <row r="68" spans="1:15" hidden="1"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IF(orders[[#This Row],[Customer Gender]] = "M", "Male", IF(orders[[#This Row],[Customer Gender]] = "F", "Female", IF(orders[[#This Row],[Customer Gender]] = "O", "Other",  "Unkown")))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IF(orders[[#This Row],[Customer Gender]] = "M", "Male", IF(orders[[#This Row],[Customer Gender]] = "F", "Female", IF(orders[[#This Row],[Customer Gender]] = "O", "Other",  "Unkown")))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IF(orders[[#This Row],[Customer Gender]] = "M", "Male", IF(orders[[#This Row],[Customer Gender]] = "F", "Female", IF(orders[[#This Row],[Customer Gender]] = "O", "Other",  "Unkown")))</f>
        <v>Female</v>
      </c>
    </row>
    <row r="71" spans="1:15" hidden="1"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IF(orders[[#This Row],[Customer Gender]] = "M", "Male", IF(orders[[#This Row],[Customer Gender]] = "F", "Female", IF(orders[[#This Row],[Customer Gender]] = "O", "Other",  "Unkown")))</f>
        <v>Male</v>
      </c>
    </row>
    <row r="72" spans="1:15" hidden="1"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IF(orders[[#This Row],[Customer Gender]] = "M", "Male", IF(orders[[#This Row],[Customer Gender]] = "F", "Female", IF(orders[[#This Row],[Customer Gender]] = "O", "Other",  "Unkown")))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IF(orders[[#This Row],[Customer Gender]] = "M", "Male", IF(orders[[#This Row],[Customer Gender]] = "F", "Female", IF(orders[[#This Row],[Customer Gender]] = "O", "Other",  "Unkown")))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IF(orders[[#This Row],[Customer Gender]] = "M", "Male", IF(orders[[#This Row],[Customer Gender]] = "F", "Female", IF(orders[[#This Row],[Customer Gender]] = "O", "Other",  "Unkown")))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IF(orders[[#This Row],[Customer Gender]] = "M", "Male", IF(orders[[#This Row],[Customer Gender]] = "F", "Female", IF(orders[[#This Row],[Customer Gender]] = "O", "Other",  "Unkown")))</f>
        <v>Female</v>
      </c>
    </row>
    <row r="76" spans="1:15" hidden="1"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IF(orders[[#This Row],[Customer Gender]] = "M", "Male", IF(orders[[#This Row],[Customer Gender]] = "F", "Female", IF(orders[[#This Row],[Customer Gender]] = "O", "Other",  "Unkown")))</f>
        <v>Male</v>
      </c>
    </row>
    <row r="77" spans="1:15" hidden="1"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IF(orders[[#This Row],[Customer Gender]] = "M", "Male", IF(orders[[#This Row],[Customer Gender]] = "F", "Female", IF(orders[[#This Row],[Customer Gender]] = "O", "Other",  "Unkown")))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IF(orders[[#This Row],[Customer Gender]] = "M", "Male", IF(orders[[#This Row],[Customer Gender]] = "F", "Female", IF(orders[[#This Row],[Customer Gender]] = "O", "Other",  "Unkown")))</f>
        <v>Female</v>
      </c>
    </row>
    <row r="79" spans="1:15" hidden="1"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IF(orders[[#This Row],[Customer Gender]] = "M", "Male", IF(orders[[#This Row],[Customer Gender]] = "F", "Female", IF(orders[[#This Row],[Customer Gender]] = "O", "Other",  "Unkown")))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IF(orders[[#This Row],[Customer Gender]] = "M", "Male", IF(orders[[#This Row],[Customer Gender]] = "F", "Female", IF(orders[[#This Row],[Customer Gender]] = "O", "Other",  "Unkown")))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IF(orders[[#This Row],[Customer Gender]] = "M", "Male", IF(orders[[#This Row],[Customer Gender]] = "F", "Female", IF(orders[[#This Row],[Customer Gender]] = "O", "Other",  "Unkown")))</f>
        <v>Female</v>
      </c>
    </row>
    <row r="82" spans="1:15" hidden="1"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IF(orders[[#This Row],[Customer Gender]] = "M", "Male", IF(orders[[#This Row],[Customer Gender]] = "F", "Female", IF(orders[[#This Row],[Customer Gender]] = "O", "Other",  "Unkown")))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IF(orders[[#This Row],[Customer Gender]] = "M", "Male", IF(orders[[#This Row],[Customer Gender]] = "F", "Female", IF(orders[[#This Row],[Customer Gender]] = "O", "Other",  "Unkown")))</f>
        <v>Female</v>
      </c>
    </row>
    <row r="84" spans="1:15" hidden="1"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IF(orders[[#This Row],[Customer Gender]] = "M", "Male", IF(orders[[#This Row],[Customer Gender]] = "F", "Female", IF(orders[[#This Row],[Customer Gender]] = "O", "Other",  "Unkown")))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IF(orders[[#This Row],[Customer Gender]] = "M", "Male", IF(orders[[#This Row],[Customer Gender]] = "F", "Female", IF(orders[[#This Row],[Customer Gender]] = "O", "Other",  "Unkown")))</f>
        <v>Female</v>
      </c>
    </row>
    <row r="86" spans="1:15" hidden="1"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IF(orders[[#This Row],[Customer Gender]] = "M", "Male", IF(orders[[#This Row],[Customer Gender]] = "F", "Female", IF(orders[[#This Row],[Customer Gender]] = "O", "Other",  "Unkown")))</f>
        <v>Male</v>
      </c>
    </row>
    <row r="87" spans="1:15" hidden="1"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IF(orders[[#This Row],[Customer Gender]] = "M", "Male", IF(orders[[#This Row],[Customer Gender]] = "F", "Female", IF(orders[[#This Row],[Customer Gender]] = "O", "Other",  "Unkown")))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IF(orders[[#This Row],[Customer Gender]] = "M", "Male", IF(orders[[#This Row],[Customer Gender]] = "F", "Female", IF(orders[[#This Row],[Customer Gender]] = "O", "Other",  "Unkown")))</f>
        <v>Female</v>
      </c>
    </row>
    <row r="89" spans="1:15" hidden="1"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IF(orders[[#This Row],[Customer Gender]] = "M", "Male", IF(orders[[#This Row],[Customer Gender]] = "F", "Female", IF(orders[[#This Row],[Customer Gender]] = "O", "Other",  "Unkown")))</f>
        <v>Male</v>
      </c>
    </row>
    <row r="90" spans="1:15" hidden="1"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IF(orders[[#This Row],[Customer Gender]] = "M", "Male", IF(orders[[#This Row],[Customer Gender]] = "F", "Female", IF(orders[[#This Row],[Customer Gender]] = "O", "Other",  "Unkown")))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IF(orders[[#This Row],[Customer Gender]] = "M", "Male", IF(orders[[#This Row],[Customer Gender]] = "F", "Female", IF(orders[[#This Row],[Customer Gender]] = "O", "Other",  "Unkown")))</f>
        <v>Female</v>
      </c>
    </row>
    <row r="92" spans="1:15" hidden="1"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IF(orders[[#This Row],[Customer Gender]] = "M", "Male", IF(orders[[#This Row],[Customer Gender]] = "F", "Female", IF(orders[[#This Row],[Customer Gender]] = "O", "Other",  "Unkown")))</f>
        <v>Unkown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IF(orders[[#This Row],[Customer Gender]] = "M", "Male", IF(orders[[#This Row],[Customer Gender]] = "F", "Female", IF(orders[[#This Row],[Customer Gender]] = "O", "Other",  "Unkown")))</f>
        <v>Female</v>
      </c>
    </row>
    <row r="94" spans="1:15" hidden="1"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IF(orders[[#This Row],[Customer Gender]] = "M", "Male", IF(orders[[#This Row],[Customer Gender]] = "F", "Female", IF(orders[[#This Row],[Customer Gender]] = "O", "Other",  "Unkown")))</f>
        <v>Male</v>
      </c>
    </row>
    <row r="95" spans="1:15" hidden="1"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IF(orders[[#This Row],[Customer Gender]] = "M", "Male", IF(orders[[#This Row],[Customer Gender]] = "F", "Female", IF(orders[[#This Row],[Customer Gender]] = "O", "Other",  "Unkown")))</f>
        <v>Unkown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IF(orders[[#This Row],[Customer Gender]] = "M", "Male", IF(orders[[#This Row],[Customer Gender]] = "F", "Female", IF(orders[[#This Row],[Customer Gender]] = "O", "Other",  "Unkown")))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IF(orders[[#This Row],[Customer Gender]] = "M", "Male", IF(orders[[#This Row],[Customer Gender]] = "F", "Female", IF(orders[[#This Row],[Customer Gender]] = "O", "Other",  "Unkown")))</f>
        <v>Female</v>
      </c>
    </row>
    <row r="98" spans="1:15" hidden="1"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IF(orders[[#This Row],[Customer Gender]] = "M", "Male", IF(orders[[#This Row],[Customer Gender]] = "F", "Female", IF(orders[[#This Row],[Customer Gender]] = "O", "Other",  "Unkown")))</f>
        <v>Male</v>
      </c>
    </row>
    <row r="99" spans="1:15" hidden="1"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IF(orders[[#This Row],[Customer Gender]] = "M", "Male", IF(orders[[#This Row],[Customer Gender]] = "F", "Female", IF(orders[[#This Row],[Customer Gender]] = "O", "Other",  "Unkown")))</f>
        <v>Male</v>
      </c>
    </row>
    <row r="100" spans="1:15" hidden="1"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IF(orders[[#This Row],[Customer Gender]] = "M", "Male", IF(orders[[#This Row],[Customer Gender]] = "F", "Female", IF(orders[[#This Row],[Customer Gender]] = "O", "Other",  "Unkown")))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IF(orders[[#This Row],[Customer Gender]] = "M", "Male", IF(orders[[#This Row],[Customer Gender]] = "F", "Female", IF(orders[[#This Row],[Customer Gender]] = "O", "Other",  "Unkown")))</f>
        <v>Female</v>
      </c>
    </row>
    <row r="102" spans="1:15" hidden="1"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IF(orders[[#This Row],[Customer Gender]] = "M", "Male", IF(orders[[#This Row],[Customer Gender]] = "F", "Female", IF(orders[[#This Row],[Customer Gender]] = "O", "Other",  "Unkown")))</f>
        <v>Male</v>
      </c>
    </row>
    <row r="103" spans="1:15" hidden="1"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IF(orders[[#This Row],[Customer Gender]] = "M", "Male", IF(orders[[#This Row],[Customer Gender]] = "F", "Female", IF(orders[[#This Row],[Customer Gender]] = "O", "Other",  "Unkown")))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IF(orders[[#This Row],[Customer Gender]] = "M", "Male", IF(orders[[#This Row],[Customer Gender]] = "F", "Female", IF(orders[[#This Row],[Customer Gender]] = "O", "Other",  "Unkown")))</f>
        <v>Female</v>
      </c>
    </row>
    <row r="105" spans="1:15" hidden="1"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IF(orders[[#This Row],[Customer Gender]] = "M", "Male", IF(orders[[#This Row],[Customer Gender]] = "F", "Female", IF(orders[[#This Row],[Customer Gender]] = "O", "Other",  "Unkown")))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IF(orders[[#This Row],[Customer Gender]] = "M", "Male", IF(orders[[#This Row],[Customer Gender]] = "F", "Female", IF(orders[[#This Row],[Customer Gender]] = "O", "Other",  "Unkown")))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IF(orders[[#This Row],[Customer Gender]] = "M", "Male", IF(orders[[#This Row],[Customer Gender]] = "F", "Female", IF(orders[[#This Row],[Customer Gender]] = "O", "Other",  "Unkown")))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IF(orders[[#This Row],[Customer Gender]] = "M", "Male", IF(orders[[#This Row],[Customer Gender]] = "F", "Female", IF(orders[[#This Row],[Customer Gender]] = "O", "Other",  "Unkown")))</f>
        <v>Female</v>
      </c>
    </row>
    <row r="109" spans="1:15" hidden="1"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IF(orders[[#This Row],[Customer Gender]] = "M", "Male", IF(orders[[#This Row],[Customer Gender]] = "F", "Female", IF(orders[[#This Row],[Customer Gender]] = "O", "Other",  "Unkown")))</f>
        <v>Male</v>
      </c>
    </row>
    <row r="110" spans="1:15" hidden="1"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IF(orders[[#This Row],[Customer Gender]] = "M", "Male", IF(orders[[#This Row],[Customer Gender]] = "F", "Female", IF(orders[[#This Row],[Customer Gender]] = "O", "Other",  "Unkown")))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IF(orders[[#This Row],[Customer Gender]] = "M", "Male", IF(orders[[#This Row],[Customer Gender]] = "F", "Female", IF(orders[[#This Row],[Customer Gender]] = "O", "Other",  "Unkown")))</f>
        <v>Female</v>
      </c>
    </row>
    <row r="112" spans="1:15" hidden="1"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IF(orders[[#This Row],[Customer Gender]] = "M", "Male", IF(orders[[#This Row],[Customer Gender]] = "F", "Female", IF(orders[[#This Row],[Customer Gender]] = "O", "Other",  "Unkown")))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IF(orders[[#This Row],[Customer Gender]] = "M", "Male", IF(orders[[#This Row],[Customer Gender]] = "F", "Female", IF(orders[[#This Row],[Customer Gender]] = "O", "Other",  "Unkown")))</f>
        <v>Female</v>
      </c>
    </row>
    <row r="114" spans="1:15" hidden="1"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IF(orders[[#This Row],[Customer Gender]] = "M", "Male", IF(orders[[#This Row],[Customer Gender]] = "F", "Female", IF(orders[[#This Row],[Customer Gender]] = "O", "Other",  "Unkown")))</f>
        <v>Male</v>
      </c>
    </row>
    <row r="115" spans="1:15" hidden="1"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IF(orders[[#This Row],[Customer Gender]] = "M", "Male", IF(orders[[#This Row],[Customer Gender]] = "F", "Female", IF(orders[[#This Row],[Customer Gender]] = "O", "Other",  "Unkown")))</f>
        <v>Male</v>
      </c>
    </row>
    <row r="116" spans="1:15" hidden="1"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IF(orders[[#This Row],[Customer Gender]] = "M", "Male", IF(orders[[#This Row],[Customer Gender]] = "F", "Female", IF(orders[[#This Row],[Customer Gender]] = "O", "Other",  "Unkown")))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IF(orders[[#This Row],[Customer Gender]] = "M", "Male", IF(orders[[#This Row],[Customer Gender]] = "F", "Female", IF(orders[[#This Row],[Customer Gender]] = "O", "Other",  "Unkown")))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IF(orders[[#This Row],[Customer Gender]] = "M", "Male", IF(orders[[#This Row],[Customer Gender]] = "F", "Female", IF(orders[[#This Row],[Customer Gender]] = "O", "Other",  "Unkown")))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IF(orders[[#This Row],[Customer Gender]] = "M", "Male", IF(orders[[#This Row],[Customer Gender]] = "F", "Female", IF(orders[[#This Row],[Customer Gender]] = "O", "Other",  "Unkown")))</f>
        <v>Female</v>
      </c>
    </row>
    <row r="120" spans="1:15" hidden="1"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IF(orders[[#This Row],[Customer Gender]] = "M", "Male", IF(orders[[#This Row],[Customer Gender]] = "F", "Female", IF(orders[[#This Row],[Customer Gender]] = "O", "Other",  "Unkown")))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IF(orders[[#This Row],[Customer Gender]] = "M", "Male", IF(orders[[#This Row],[Customer Gender]] = "F", "Female", IF(orders[[#This Row],[Customer Gender]] = "O", "Other",  "Unkown")))</f>
        <v>Female</v>
      </c>
    </row>
    <row r="122" spans="1:15" hidden="1"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IF(orders[[#This Row],[Customer Gender]] = "M", "Male", IF(orders[[#This Row],[Customer Gender]] = "F", "Female", IF(orders[[#This Row],[Customer Gender]] = "O", "Other",  "Unkown")))</f>
        <v>Unkown</v>
      </c>
    </row>
    <row r="123" spans="1:15" hidden="1"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IF(orders[[#This Row],[Customer Gender]] = "M", "Male", IF(orders[[#This Row],[Customer Gender]] = "F", "Female", IF(orders[[#This Row],[Customer Gender]] = "O", "Other",  "Unkown")))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IF(orders[[#This Row],[Customer Gender]] = "M", "Male", IF(orders[[#This Row],[Customer Gender]] = "F", "Female", IF(orders[[#This Row],[Customer Gender]] = "O", "Other",  "Unkown")))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IF(orders[[#This Row],[Customer Gender]] = "M", "Male", IF(orders[[#This Row],[Customer Gender]] = "F", "Female", IF(orders[[#This Row],[Customer Gender]] = "O", "Other",  "Unkown")))</f>
        <v>Female</v>
      </c>
    </row>
    <row r="126" spans="1:15" hidden="1"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IF(orders[[#This Row],[Customer Gender]] = "M", "Male", IF(orders[[#This Row],[Customer Gender]] = "F", "Female", IF(orders[[#This Row],[Customer Gender]] = "O", "Other",  "Unkown")))</f>
        <v>Male</v>
      </c>
    </row>
    <row r="127" spans="1:15" hidden="1"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IF(orders[[#This Row],[Customer Gender]] = "M", "Male", IF(orders[[#This Row],[Customer Gender]] = "F", "Female", IF(orders[[#This Row],[Customer Gender]] = "O", "Other",  "Unkown")))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IF(orders[[#This Row],[Customer Gender]] = "M", "Male", IF(orders[[#This Row],[Customer Gender]] = "F", "Female", IF(orders[[#This Row],[Customer Gender]] = "O", "Other",  "Unkown")))</f>
        <v>Female</v>
      </c>
    </row>
    <row r="129" spans="1:15" hidden="1"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IF(orders[[#This Row],[Customer Gender]] = "M", "Male", IF(orders[[#This Row],[Customer Gender]] = "F", "Female", IF(orders[[#This Row],[Customer Gender]] = "O", "Other",  "Unkown")))</f>
        <v>Male</v>
      </c>
    </row>
    <row r="130" spans="1:15" hidden="1"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IF(orders[[#This Row],[Customer Gender]] = "M", "Male", IF(orders[[#This Row],[Customer Gender]] = "F", "Female", IF(orders[[#This Row],[Customer Gender]] = "O", "Other",  "Unkown")))</f>
        <v>Male</v>
      </c>
    </row>
    <row r="131" spans="1:15" hidden="1"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IF(orders[[#This Row],[Customer Gender]] = "M", "Male", IF(orders[[#This Row],[Customer Gender]] = "F", "Female", IF(orders[[#This Row],[Customer Gender]] = "O", "Other",  "Unkown")))</f>
        <v>Male</v>
      </c>
    </row>
    <row r="132" spans="1:15" hidden="1"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IF(orders[[#This Row],[Customer Gender]] = "M", "Male", IF(orders[[#This Row],[Customer Gender]] = "F", "Female", IF(orders[[#This Row],[Customer Gender]] = "O", "Other",  "Unkown")))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IF(orders[[#This Row],[Customer Gender]] = "M", "Male", IF(orders[[#This Row],[Customer Gender]] = "F", "Female", IF(orders[[#This Row],[Customer Gender]] = "O", "Other",  "Unkown")))</f>
        <v>Female</v>
      </c>
    </row>
    <row r="134" spans="1:15" hidden="1"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IF(orders[[#This Row],[Customer Gender]] = "M", "Male", IF(orders[[#This Row],[Customer Gender]] = "F", "Female", IF(orders[[#This Row],[Customer Gender]] = "O", "Other",  "Unkown")))</f>
        <v>Male</v>
      </c>
    </row>
    <row r="135" spans="1:15" hidden="1"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IF(orders[[#This Row],[Customer Gender]] = "M", "Male", IF(orders[[#This Row],[Customer Gender]] = "F", "Female", IF(orders[[#This Row],[Customer Gender]] = "O", "Other",  "Unkown")))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IF(orders[[#This Row],[Customer Gender]] = "M", "Male", IF(orders[[#This Row],[Customer Gender]] = "F", "Female", IF(orders[[#This Row],[Customer Gender]] = "O", "Other",  "Unkown")))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IF(orders[[#This Row],[Customer Gender]] = "M", "Male", IF(orders[[#This Row],[Customer Gender]] = "F", "Female", IF(orders[[#This Row],[Customer Gender]] = "O", "Other",  "Unkown")))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IF(orders[[#This Row],[Customer Gender]] = "M", "Male", IF(orders[[#This Row],[Customer Gender]] = "F", "Female", IF(orders[[#This Row],[Customer Gender]] = "O", "Other",  "Unkown")))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IF(orders[[#This Row],[Customer Gender]] = "M", "Male", IF(orders[[#This Row],[Customer Gender]] = "F", "Female", IF(orders[[#This Row],[Customer Gender]] = "O", "Other",  "Unkown")))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IF(orders[[#This Row],[Customer Gender]] = "M", "Male", IF(orders[[#This Row],[Customer Gender]] = "F", "Female", IF(orders[[#This Row],[Customer Gender]] = "O", "Other",  "Unkown")))</f>
        <v>Female</v>
      </c>
    </row>
    <row r="141" spans="1:15" hidden="1"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IF(orders[[#This Row],[Customer Gender]] = "M", "Male", IF(orders[[#This Row],[Customer Gender]] = "F", "Female", IF(orders[[#This Row],[Customer Gender]] = "O", "Other",  "Unkown")))</f>
        <v>Male</v>
      </c>
    </row>
    <row r="142" spans="1:15" hidden="1"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IF(orders[[#This Row],[Customer Gender]] = "M", "Male", IF(orders[[#This Row],[Customer Gender]] = "F", "Female", IF(orders[[#This Row],[Customer Gender]] = "O", "Other",  "Unkown")))</f>
        <v>Male</v>
      </c>
    </row>
    <row r="143" spans="1:15" hidden="1"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IF(orders[[#This Row],[Customer Gender]] = "M", "Male", IF(orders[[#This Row],[Customer Gender]] = "F", "Female", IF(orders[[#This Row],[Customer Gender]] = "O", "Other",  "Unkown")))</f>
        <v>Unkown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IF(orders[[#This Row],[Customer Gender]] = "M", "Male", IF(orders[[#This Row],[Customer Gender]] = "F", "Female", IF(orders[[#This Row],[Customer Gender]] = "O", "Other",  "Unkown")))</f>
        <v>Female</v>
      </c>
    </row>
    <row r="145" spans="1:15" hidden="1"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IF(orders[[#This Row],[Customer Gender]] = "M", "Male", IF(orders[[#This Row],[Customer Gender]] = "F", "Female", IF(orders[[#This Row],[Customer Gender]] = "O", "Other",  "Unkown")))</f>
        <v>Unkown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IF(orders[[#This Row],[Customer Gender]] = "M", "Male", IF(orders[[#This Row],[Customer Gender]] = "F", "Female", IF(orders[[#This Row],[Customer Gender]] = "O", "Other",  "Unkown")))</f>
        <v>Female</v>
      </c>
    </row>
    <row r="147" spans="1:15" hidden="1"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IF(orders[[#This Row],[Customer Gender]] = "M", "Male", IF(orders[[#This Row],[Customer Gender]] = "F", "Female", IF(orders[[#This Row],[Customer Gender]] = "O", "Other",  "Unkown")))</f>
        <v>Male</v>
      </c>
    </row>
    <row r="148" spans="1:15" hidden="1"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IF(orders[[#This Row],[Customer Gender]] = "M", "Male", IF(orders[[#This Row],[Customer Gender]] = "F", "Female", IF(orders[[#This Row],[Customer Gender]] = "O", "Other",  "Unkown")))</f>
        <v>Male</v>
      </c>
    </row>
    <row r="149" spans="1:15" hidden="1"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IF(orders[[#This Row],[Customer Gender]] = "M", "Male", IF(orders[[#This Row],[Customer Gender]] = "F", "Female", IF(orders[[#This Row],[Customer Gender]] = "O", "Other",  "Unkown")))</f>
        <v>Male</v>
      </c>
    </row>
    <row r="150" spans="1:15" hidden="1"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IF(orders[[#This Row],[Customer Gender]] = "M", "Male", IF(orders[[#This Row],[Customer Gender]] = "F", "Female", IF(orders[[#This Row],[Customer Gender]] = "O", "Other",  "Unkown")))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IF(orders[[#This Row],[Customer Gender]] = "M", "Male", IF(orders[[#This Row],[Customer Gender]] = "F", "Female", IF(orders[[#This Row],[Customer Gender]] = "O", "Other",  "Unkown")))</f>
        <v>Female</v>
      </c>
    </row>
    <row r="152" spans="1:15" hidden="1"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IF(orders[[#This Row],[Customer Gender]] = "M", "Male", IF(orders[[#This Row],[Customer Gender]] = "F", "Female", IF(orders[[#This Row],[Customer Gender]] = "O", "Other",  "Unkown")))</f>
        <v>Male</v>
      </c>
    </row>
    <row r="153" spans="1:15" hidden="1"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IF(orders[[#This Row],[Customer Gender]] = "M", "Male", IF(orders[[#This Row],[Customer Gender]] = "F", "Female", IF(orders[[#This Row],[Customer Gender]] = "O", "Other",  "Unkown")))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IF(orders[[#This Row],[Customer Gender]] = "M", "Male", IF(orders[[#This Row],[Customer Gender]] = "F", "Female", IF(orders[[#This Row],[Customer Gender]] = "O", "Other",  "Unkown")))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IF(orders[[#This Row],[Customer Gender]] = "M", "Male", IF(orders[[#This Row],[Customer Gender]] = "F", "Female", IF(orders[[#This Row],[Customer Gender]] = "O", "Other",  "Unkown")))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IF(orders[[#This Row],[Customer Gender]] = "M", "Male", IF(orders[[#This Row],[Customer Gender]] = "F", "Female", IF(orders[[#This Row],[Customer Gender]] = "O", "Other",  "Unkown")))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IF(orders[[#This Row],[Customer Gender]] = "M", "Male", IF(orders[[#This Row],[Customer Gender]] = "F", "Female", IF(orders[[#This Row],[Customer Gender]] = "O", "Other",  "Unkown")))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IF(orders[[#This Row],[Customer Gender]] = "M", "Male", IF(orders[[#This Row],[Customer Gender]] = "F", "Female", IF(orders[[#This Row],[Customer Gender]] = "O", "Other",  "Unkown")))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IF(orders[[#This Row],[Customer Gender]] = "M", "Male", IF(orders[[#This Row],[Customer Gender]] = "F", "Female", IF(orders[[#This Row],[Customer Gender]] = "O", "Other",  "Unkown")))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IF(orders[[#This Row],[Customer Gender]] = "M", "Male", IF(orders[[#This Row],[Customer Gender]] = "F", "Female", IF(orders[[#This Row],[Customer Gender]] = "O", "Other",  "Unkown")))</f>
        <v>Female</v>
      </c>
    </row>
    <row r="161" spans="1:15" hidden="1"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IF(orders[[#This Row],[Customer Gender]] = "M", "Male", IF(orders[[#This Row],[Customer Gender]] = "F", "Female", IF(orders[[#This Row],[Customer Gender]] = "O", "Other",  "Unkown")))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IF(orders[[#This Row],[Customer Gender]] = "M", "Male", IF(orders[[#This Row],[Customer Gender]] = "F", "Female", IF(orders[[#This Row],[Customer Gender]] = "O", "Other",  "Unkown")))</f>
        <v>Female</v>
      </c>
    </row>
    <row r="163" spans="1:15" hidden="1"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IF(orders[[#This Row],[Customer Gender]] = "M", "Male", IF(orders[[#This Row],[Customer Gender]] = "F", "Female", IF(orders[[#This Row],[Customer Gender]] = "O", "Other",  "Unkown")))</f>
        <v>Male</v>
      </c>
    </row>
    <row r="164" spans="1:15" hidden="1"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IF(orders[[#This Row],[Customer Gender]] = "M", "Male", IF(orders[[#This Row],[Customer Gender]] = "F", "Female", IF(orders[[#This Row],[Customer Gender]] = "O", "Other",  "Unkown")))</f>
        <v>Unkown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IF(orders[[#This Row],[Customer Gender]] = "M", "Male", IF(orders[[#This Row],[Customer Gender]] = "F", "Female", IF(orders[[#This Row],[Customer Gender]] = "O", "Other",  "Unkown")))</f>
        <v>Female</v>
      </c>
    </row>
    <row r="166" spans="1:15" hidden="1"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IF(orders[[#This Row],[Customer Gender]] = "M", "Male", IF(orders[[#This Row],[Customer Gender]] = "F", "Female", IF(orders[[#This Row],[Customer Gender]] = "O", "Other",  "Unkown")))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IF(orders[[#This Row],[Customer Gender]] = "M", "Male", IF(orders[[#This Row],[Customer Gender]] = "F", "Female", IF(orders[[#This Row],[Customer Gender]] = "O", "Other",  "Unkown")))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IF(orders[[#This Row],[Customer Gender]] = "M", "Male", IF(orders[[#This Row],[Customer Gender]] = "F", "Female", IF(orders[[#This Row],[Customer Gender]] = "O", "Other",  "Unkown")))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IF(orders[[#This Row],[Customer Gender]] = "M", "Male", IF(orders[[#This Row],[Customer Gender]] = "F", "Female", IF(orders[[#This Row],[Customer Gender]] = "O", "Other",  "Unkown")))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IF(orders[[#This Row],[Customer Gender]] = "M", "Male", IF(orders[[#This Row],[Customer Gender]] = "F", "Female", IF(orders[[#This Row],[Customer Gender]] = "O", "Other",  "Unkown")))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IF(orders[[#This Row],[Customer Gender]] = "M", "Male", IF(orders[[#This Row],[Customer Gender]] = "F", "Female", IF(orders[[#This Row],[Customer Gender]] = "O", "Other",  "Unkown")))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IF(orders[[#This Row],[Customer Gender]] = "M", "Male", IF(orders[[#This Row],[Customer Gender]] = "F", "Female", IF(orders[[#This Row],[Customer Gender]] = "O", "Other",  "Unkown")))</f>
        <v>Female</v>
      </c>
    </row>
    <row r="173" spans="1:15" hidden="1"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IF(orders[[#This Row],[Customer Gender]] = "M", "Male", IF(orders[[#This Row],[Customer Gender]] = "F", "Female", IF(orders[[#This Row],[Customer Gender]] = "O", "Other",  "Unkown")))</f>
        <v>Male</v>
      </c>
    </row>
    <row r="174" spans="1:15" hidden="1"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IF(orders[[#This Row],[Customer Gender]] = "M", "Male", IF(orders[[#This Row],[Customer Gender]] = "F", "Female", IF(orders[[#This Row],[Customer Gender]] = "O", "Other",  "Unkown")))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IF(orders[[#This Row],[Customer Gender]] = "M", "Male", IF(orders[[#This Row],[Customer Gender]] = "F", "Female", IF(orders[[#This Row],[Customer Gender]] = "O", "Other",  "Unkown")))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IF(orders[[#This Row],[Customer Gender]] = "M", "Male", IF(orders[[#This Row],[Customer Gender]] = "F", "Female", IF(orders[[#This Row],[Customer Gender]] = "O", "Other",  "Unkown")))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IF(orders[[#This Row],[Customer Gender]] = "M", "Male", IF(orders[[#This Row],[Customer Gender]] = "F", "Female", IF(orders[[#This Row],[Customer Gender]] = "O", "Other",  "Unkown")))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IF(orders[[#This Row],[Customer Gender]] = "M", "Male", IF(orders[[#This Row],[Customer Gender]] = "F", "Female", IF(orders[[#This Row],[Customer Gender]] = "O", "Other",  "Unkown")))</f>
        <v>Female</v>
      </c>
    </row>
    <row r="179" spans="1:15" hidden="1"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IF(orders[[#This Row],[Customer Gender]] = "M", "Male", IF(orders[[#This Row],[Customer Gender]] = "F", "Female", IF(orders[[#This Row],[Customer Gender]] = "O", "Other",  "Unkown")))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IF(orders[[#This Row],[Customer Gender]] = "M", "Male", IF(orders[[#This Row],[Customer Gender]] = "F", "Female", IF(orders[[#This Row],[Customer Gender]] = "O", "Other",  "Unkown")))</f>
        <v>Female</v>
      </c>
    </row>
    <row r="181" spans="1:15" hidden="1"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IF(orders[[#This Row],[Customer Gender]] = "M", "Male", IF(orders[[#This Row],[Customer Gender]] = "F", "Female", IF(orders[[#This Row],[Customer Gender]] = "O", "Other",  "Unkown")))</f>
        <v>Unkown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IF(orders[[#This Row],[Customer Gender]] = "M", "Male", IF(orders[[#This Row],[Customer Gender]] = "F", "Female", IF(orders[[#This Row],[Customer Gender]] = "O", "Other",  "Unkown")))</f>
        <v>Female</v>
      </c>
    </row>
    <row r="183" spans="1:15" hidden="1"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IF(orders[[#This Row],[Customer Gender]] = "M", "Male", IF(orders[[#This Row],[Customer Gender]] = "F", "Female", IF(orders[[#This Row],[Customer Gender]] = "O", "Other",  "Unkown")))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IF(orders[[#This Row],[Customer Gender]] = "M", "Male", IF(orders[[#This Row],[Customer Gender]] = "F", "Female", IF(orders[[#This Row],[Customer Gender]] = "O", "Other",  "Unkown")))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IF(orders[[#This Row],[Customer Gender]] = "M", "Male", IF(orders[[#This Row],[Customer Gender]] = "F", "Female", IF(orders[[#This Row],[Customer Gender]] = "O", "Other",  "Unkown")))</f>
        <v>Female</v>
      </c>
    </row>
    <row r="186" spans="1:15" hidden="1"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IF(orders[[#This Row],[Customer Gender]] = "M", "Male", IF(orders[[#This Row],[Customer Gender]] = "F", "Female", IF(orders[[#This Row],[Customer Gender]] = "O", "Other",  "Unkown")))</f>
        <v>Male</v>
      </c>
    </row>
    <row r="187" spans="1:15" hidden="1"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IF(orders[[#This Row],[Customer Gender]] = "M", "Male", IF(orders[[#This Row],[Customer Gender]] = "F", "Female", IF(orders[[#This Row],[Customer Gender]] = "O", "Other",  "Unkown")))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IF(orders[[#This Row],[Customer Gender]] = "M", "Male", IF(orders[[#This Row],[Customer Gender]] = "F", "Female", IF(orders[[#This Row],[Customer Gender]] = "O", "Other",  "Unkown")))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IF(orders[[#This Row],[Customer Gender]] = "M", "Male", IF(orders[[#This Row],[Customer Gender]] = "F", "Female", IF(orders[[#This Row],[Customer Gender]] = "O", "Other",  "Unkown")))</f>
        <v>Female</v>
      </c>
    </row>
    <row r="190" spans="1:15" hidden="1"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IF(orders[[#This Row],[Customer Gender]] = "M", "Male", IF(orders[[#This Row],[Customer Gender]] = "F", "Female", IF(orders[[#This Row],[Customer Gender]] = "O", "Other",  "Unkown")))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IF(orders[[#This Row],[Customer Gender]] = "M", "Male", IF(orders[[#This Row],[Customer Gender]] = "F", "Female", IF(orders[[#This Row],[Customer Gender]] = "O", "Other",  "Unkown")))</f>
        <v>Female</v>
      </c>
    </row>
    <row r="192" spans="1:15" hidden="1"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IF(orders[[#This Row],[Customer Gender]] = "M", "Male", IF(orders[[#This Row],[Customer Gender]] = "F", "Female", IF(orders[[#This Row],[Customer Gender]] = "O", "Other",  "Unkown")))</f>
        <v>Unkown</v>
      </c>
    </row>
    <row r="193" spans="1:15" hidden="1"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IF(orders[[#This Row],[Customer Gender]] = "M", "Male", IF(orders[[#This Row],[Customer Gender]] = "F", "Female", IF(orders[[#This Row],[Customer Gender]] = "O", "Other",  "Unkown")))</f>
        <v>Unkown</v>
      </c>
    </row>
    <row r="194" spans="1:15" hidden="1"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IF(orders[[#This Row],[Customer Gender]] = "M", "Male", IF(orders[[#This Row],[Customer Gender]] = "F", "Female", IF(orders[[#This Row],[Customer Gender]] = "O", "Other",  "Unkown")))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IF(orders[[#This Row],[Customer Gender]] = "M", "Male", IF(orders[[#This Row],[Customer Gender]] = "F", "Female", IF(orders[[#This Row],[Customer Gender]] = "O", "Other",  "Unkown")))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IF(orders[[#This Row],[Customer Gender]] = "M", "Male", IF(orders[[#This Row],[Customer Gender]] = "F", "Female", IF(orders[[#This Row],[Customer Gender]] = "O", "Other",  "Unkown")))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IF(orders[[#This Row],[Customer Gender]] = "M", "Male", IF(orders[[#This Row],[Customer Gender]] = "F", "Female", IF(orders[[#This Row],[Customer Gender]] = "O", "Other",  "Unkown")))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IF(orders[[#This Row],[Customer Gender]] = "M", "Male", IF(orders[[#This Row],[Customer Gender]] = "F", "Female", IF(orders[[#This Row],[Customer Gender]] = "O", "Other",  "Unkown")))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IF(orders[[#This Row],[Customer Gender]] = "M", "Male", IF(orders[[#This Row],[Customer Gender]] = "F", "Female", IF(orders[[#This Row],[Customer Gender]] = "O", "Other",  "Unkown")))</f>
        <v>Female</v>
      </c>
    </row>
    <row r="200" spans="1:15" hidden="1"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IF(orders[[#This Row],[Customer Gender]] = "M", "Male", IF(orders[[#This Row],[Customer Gender]] = "F", "Female", IF(orders[[#This Row],[Customer Gender]] = "O", "Other",  "Unkown")))</f>
        <v>Male</v>
      </c>
    </row>
    <row r="201" spans="1:15" hidden="1"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IF(orders[[#This Row],[Customer Gender]] = "M", "Male", IF(orders[[#This Row],[Customer Gender]] = "F", "Female", IF(orders[[#This Row],[Customer Gender]] = "O", "Other",  "Unkown")))</f>
        <v>Male</v>
      </c>
    </row>
    <row r="202" spans="1:15" hidden="1"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IF(orders[[#This Row],[Customer Gender]] = "M", "Male", IF(orders[[#This Row],[Customer Gender]] = "F", "Female", IF(orders[[#This Row],[Customer Gender]] = "O", "Other",  "Unkown")))</f>
        <v>Male</v>
      </c>
    </row>
    <row r="203" spans="1:15" hidden="1"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IF(orders[[#This Row],[Customer Gender]] = "M", "Male", IF(orders[[#This Row],[Customer Gender]] = "F", "Female", IF(orders[[#This Row],[Customer Gender]] = "O", "Other",  "Unkown")))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IF(orders[[#This Row],[Customer Gender]] = "M", "Male", IF(orders[[#This Row],[Customer Gender]] = "F", "Female", IF(orders[[#This Row],[Customer Gender]] = "O", "Other",  "Unkown")))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IF(orders[[#This Row],[Customer Gender]] = "M", "Male", IF(orders[[#This Row],[Customer Gender]] = "F", "Female", IF(orders[[#This Row],[Customer Gender]] = "O", "Other",  "Unkown")))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IF(orders[[#This Row],[Customer Gender]] = "M", "Male", IF(orders[[#This Row],[Customer Gender]] = "F", "Female", IF(orders[[#This Row],[Customer Gender]] = "O", "Other",  "Unkown")))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IF(orders[[#This Row],[Customer Gender]] = "M", "Male", IF(orders[[#This Row],[Customer Gender]] = "F", "Female", IF(orders[[#This Row],[Customer Gender]] = "O", "Other",  "Unkown")))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IF(orders[[#This Row],[Customer Gender]] = "M", "Male", IF(orders[[#This Row],[Customer Gender]] = "F", "Female", IF(orders[[#This Row],[Customer Gender]] = "O", "Other",  "Unkown")))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IF(orders[[#This Row],[Customer Gender]] = "M", "Male", IF(orders[[#This Row],[Customer Gender]] = "F", "Female", IF(orders[[#This Row],[Customer Gender]] = "O", "Other",  "Unkown")))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IF(orders[[#This Row],[Customer Gender]] = "M", "Male", IF(orders[[#This Row],[Customer Gender]] = "F", "Female", IF(orders[[#This Row],[Customer Gender]] = "O", "Other",  "Unkown")))</f>
        <v>Female</v>
      </c>
    </row>
    <row r="211" spans="1:15" hidden="1"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IF(orders[[#This Row],[Customer Gender]] = "M", "Male", IF(orders[[#This Row],[Customer Gender]] = "F", "Female", IF(orders[[#This Row],[Customer Gender]] = "O", "Other",  "Unkown")))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IF(orders[[#This Row],[Customer Gender]] = "M", "Male", IF(orders[[#This Row],[Customer Gender]] = "F", "Female", IF(orders[[#This Row],[Customer Gender]] = "O", "Other",  "Unkown")))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IF(orders[[#This Row],[Customer Gender]] = "M", "Male", IF(orders[[#This Row],[Customer Gender]] = "F", "Female", IF(orders[[#This Row],[Customer Gender]] = "O", "Other",  "Unkown")))</f>
        <v>Female</v>
      </c>
    </row>
    <row r="214" spans="1:15" hidden="1"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IF(orders[[#This Row],[Customer Gender]] = "M", "Male", IF(orders[[#This Row],[Customer Gender]] = "F", "Female", IF(orders[[#This Row],[Customer Gender]] = "O", "Other",  "Unkown")))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IF(orders[[#This Row],[Customer Gender]] = "M", "Male", IF(orders[[#This Row],[Customer Gender]] = "F", "Female", IF(orders[[#This Row],[Customer Gender]] = "O", "Other",  "Unkown")))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IF(orders[[#This Row],[Customer Gender]] = "M", "Male", IF(orders[[#This Row],[Customer Gender]] = "F", "Female", IF(orders[[#This Row],[Customer Gender]] = "O", "Other",  "Unkown")))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IF(orders[[#This Row],[Customer Gender]] = "M", "Male", IF(orders[[#This Row],[Customer Gender]] = "F", "Female", IF(orders[[#This Row],[Customer Gender]] = "O", "Other",  "Unkown")))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IF(orders[[#This Row],[Customer Gender]] = "M", "Male", IF(orders[[#This Row],[Customer Gender]] = "F", "Female", IF(orders[[#This Row],[Customer Gender]] = "O", "Other",  "Unkown")))</f>
        <v>Female</v>
      </c>
    </row>
    <row r="219" spans="1:15" hidden="1"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IF(orders[[#This Row],[Customer Gender]] = "M", "Male", IF(orders[[#This Row],[Customer Gender]] = "F", "Female", IF(orders[[#This Row],[Customer Gender]] = "O", "Other",  "Unkown")))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IF(orders[[#This Row],[Customer Gender]] = "M", "Male", IF(orders[[#This Row],[Customer Gender]] = "F", "Female", IF(orders[[#This Row],[Customer Gender]] = "O", "Other",  "Unkown")))</f>
        <v>Female</v>
      </c>
    </row>
    <row r="221" spans="1:15" hidden="1"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IF(orders[[#This Row],[Customer Gender]] = "M", "Male", IF(orders[[#This Row],[Customer Gender]] = "F", "Female", IF(orders[[#This Row],[Customer Gender]] = "O", "Other",  "Unkown")))</f>
        <v>Male</v>
      </c>
    </row>
    <row r="222" spans="1:15" hidden="1"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IF(orders[[#This Row],[Customer Gender]] = "M", "Male", IF(orders[[#This Row],[Customer Gender]] = "F", "Female", IF(orders[[#This Row],[Customer Gender]] = "O", "Other",  "Unkown")))</f>
        <v>Unkown</v>
      </c>
    </row>
    <row r="223" spans="1:15" hidden="1"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IF(orders[[#This Row],[Customer Gender]] = "M", "Male", IF(orders[[#This Row],[Customer Gender]] = "F", "Female", IF(orders[[#This Row],[Customer Gender]] = "O", "Other",  "Unkown")))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IF(orders[[#This Row],[Customer Gender]] = "M", "Male", IF(orders[[#This Row],[Customer Gender]] = "F", "Female", IF(orders[[#This Row],[Customer Gender]] = "O", "Other",  "Unkown")))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IF(orders[[#This Row],[Customer Gender]] = "M", "Male", IF(orders[[#This Row],[Customer Gender]] = "F", "Female", IF(orders[[#This Row],[Customer Gender]] = "O", "Other",  "Unkown")))</f>
        <v>Female</v>
      </c>
    </row>
    <row r="226" spans="1:15" hidden="1"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IF(orders[[#This Row],[Customer Gender]] = "M", "Male", IF(orders[[#This Row],[Customer Gender]] = "F", "Female", IF(orders[[#This Row],[Customer Gender]] = "O", "Other",  "Unkown")))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IF(orders[[#This Row],[Customer Gender]] = "M", "Male", IF(orders[[#This Row],[Customer Gender]] = "F", "Female", IF(orders[[#This Row],[Customer Gender]] = "O", "Other",  "Unkown")))</f>
        <v>Female</v>
      </c>
    </row>
    <row r="228" spans="1:15" hidden="1"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IF(orders[[#This Row],[Customer Gender]] = "M", "Male", IF(orders[[#This Row],[Customer Gender]] = "F", "Female", IF(orders[[#This Row],[Customer Gender]] = "O", "Other",  "Unkown")))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IF(orders[[#This Row],[Customer Gender]] = "M", "Male", IF(orders[[#This Row],[Customer Gender]] = "F", "Female", IF(orders[[#This Row],[Customer Gender]] = "O", "Other",  "Unkown")))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IF(orders[[#This Row],[Customer Gender]] = "M", "Male", IF(orders[[#This Row],[Customer Gender]] = "F", "Female", IF(orders[[#This Row],[Customer Gender]] = "O", "Other",  "Unkown")))</f>
        <v>Female</v>
      </c>
    </row>
    <row r="231" spans="1:15" hidden="1"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IF(orders[[#This Row],[Customer Gender]] = "M", "Male", IF(orders[[#This Row],[Customer Gender]] = "F", "Female", IF(orders[[#This Row],[Customer Gender]] = "O", "Other",  "Unkown")))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IF(orders[[#This Row],[Customer Gender]] = "M", "Male", IF(orders[[#This Row],[Customer Gender]] = "F", "Female", IF(orders[[#This Row],[Customer Gender]] = "O", "Other",  "Unkown")))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IF(orders[[#This Row],[Customer Gender]] = "M", "Male", IF(orders[[#This Row],[Customer Gender]] = "F", "Female", IF(orders[[#This Row],[Customer Gender]] = "O", "Other",  "Unkown")))</f>
        <v>Female</v>
      </c>
    </row>
    <row r="234" spans="1:15" hidden="1"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IF(orders[[#This Row],[Customer Gender]] = "M", "Male", IF(orders[[#This Row],[Customer Gender]] = "F", "Female", IF(orders[[#This Row],[Customer Gender]] = "O", "Other",  "Unkown")))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IF(orders[[#This Row],[Customer Gender]] = "M", "Male", IF(orders[[#This Row],[Customer Gender]] = "F", "Female", IF(orders[[#This Row],[Customer Gender]] = "O", "Other",  "Unkown")))</f>
        <v>Female</v>
      </c>
    </row>
    <row r="236" spans="1:15" hidden="1"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IF(orders[[#This Row],[Customer Gender]] = "M", "Male", IF(orders[[#This Row],[Customer Gender]] = "F", "Female", IF(orders[[#This Row],[Customer Gender]] = "O", "Other",  "Unkown")))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IF(orders[[#This Row],[Customer Gender]] = "M", "Male", IF(orders[[#This Row],[Customer Gender]] = "F", "Female", IF(orders[[#This Row],[Customer Gender]] = "O", "Other",  "Unkown")))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IF(orders[[#This Row],[Customer Gender]] = "M", "Male", IF(orders[[#This Row],[Customer Gender]] = "F", "Female", IF(orders[[#This Row],[Customer Gender]] = "O", "Other",  "Unkown")))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IF(orders[[#This Row],[Customer Gender]] = "M", "Male", IF(orders[[#This Row],[Customer Gender]] = "F", "Female", IF(orders[[#This Row],[Customer Gender]] = "O", "Other",  "Unkown")))</f>
        <v>Female</v>
      </c>
    </row>
    <row r="240" spans="1:15" hidden="1"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IF(orders[[#This Row],[Customer Gender]] = "M", "Male", IF(orders[[#This Row],[Customer Gender]] = "F", "Female", IF(orders[[#This Row],[Customer Gender]] = "O", "Other",  "Unkown")))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IF(orders[[#This Row],[Customer Gender]] = "M", "Male", IF(orders[[#This Row],[Customer Gender]] = "F", "Female", IF(orders[[#This Row],[Customer Gender]] = "O", "Other",  "Unkown")))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IF(orders[[#This Row],[Customer Gender]] = "M", "Male", IF(orders[[#This Row],[Customer Gender]] = "F", "Female", IF(orders[[#This Row],[Customer Gender]] = "O", "Other",  "Unkown")))</f>
        <v>Female</v>
      </c>
    </row>
    <row r="243" spans="1:15" hidden="1"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IF(orders[[#This Row],[Customer Gender]] = "M", "Male", IF(orders[[#This Row],[Customer Gender]] = "F", "Female", IF(orders[[#This Row],[Customer Gender]] = "O", "Other",  "Unkown")))</f>
        <v>Male</v>
      </c>
    </row>
    <row r="244" spans="1:15" hidden="1"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IF(orders[[#This Row],[Customer Gender]] = "M", "Male", IF(orders[[#This Row],[Customer Gender]] = "F", "Female", IF(orders[[#This Row],[Customer Gender]] = "O", "Other",  "Unkown")))</f>
        <v>Male</v>
      </c>
    </row>
    <row r="245" spans="1:15" hidden="1"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IF(orders[[#This Row],[Customer Gender]] = "M", "Male", IF(orders[[#This Row],[Customer Gender]] = "F", "Female", IF(orders[[#This Row],[Customer Gender]] = "O", "Other",  "Unkown")))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IF(orders[[#This Row],[Customer Gender]] = "M", "Male", IF(orders[[#This Row],[Customer Gender]] = "F", "Female", IF(orders[[#This Row],[Customer Gender]] = "O", "Other",  "Unkown")))</f>
        <v>Female</v>
      </c>
    </row>
    <row r="247" spans="1:15" hidden="1"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IF(orders[[#This Row],[Customer Gender]] = "M", "Male", IF(orders[[#This Row],[Customer Gender]] = "F", "Female", IF(orders[[#This Row],[Customer Gender]] = "O", "Other",  "Unkown")))</f>
        <v>Male</v>
      </c>
    </row>
    <row r="248" spans="1:15" hidden="1"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IF(orders[[#This Row],[Customer Gender]] = "M", "Male", IF(orders[[#This Row],[Customer Gender]] = "F", "Female", IF(orders[[#This Row],[Customer Gender]] = "O", "Other",  "Unkown")))</f>
        <v>Male</v>
      </c>
    </row>
    <row r="249" spans="1:15" hidden="1"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IF(orders[[#This Row],[Customer Gender]] = "M", "Male", IF(orders[[#This Row],[Customer Gender]] = "F", "Female", IF(orders[[#This Row],[Customer Gender]] = "O", "Other",  "Unkown")))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IF(orders[[#This Row],[Customer Gender]] = "M", "Male", IF(orders[[#This Row],[Customer Gender]] = "F", "Female", IF(orders[[#This Row],[Customer Gender]] = "O", "Other",  "Unkown")))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IF(orders[[#This Row],[Customer Gender]] = "M", "Male", IF(orders[[#This Row],[Customer Gender]] = "F", "Female", IF(orders[[#This Row],[Customer Gender]] = "O", "Other",  "Unkown")))</f>
        <v>Female</v>
      </c>
    </row>
    <row r="252" spans="1:15" hidden="1"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IF(orders[[#This Row],[Customer Gender]] = "M", "Male", IF(orders[[#This Row],[Customer Gender]] = "F", "Female", IF(orders[[#This Row],[Customer Gender]] = "O", "Other",  "Unkown")))</f>
        <v>Male</v>
      </c>
    </row>
    <row r="253" spans="1:15" hidden="1"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IF(orders[[#This Row],[Customer Gender]] = "M", "Male", IF(orders[[#This Row],[Customer Gender]] = "F", "Female", IF(orders[[#This Row],[Customer Gender]] = "O", "Other",  "Unkown")))</f>
        <v>Male</v>
      </c>
    </row>
    <row r="254" spans="1:15" hidden="1"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IF(orders[[#This Row],[Customer Gender]] = "M", "Male", IF(orders[[#This Row],[Customer Gender]] = "F", "Female", IF(orders[[#This Row],[Customer Gender]] = "O", "Other",  "Unkown")))</f>
        <v>Other</v>
      </c>
    </row>
    <row r="255" spans="1:15" hidden="1"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IF(orders[[#This Row],[Customer Gender]] = "M", "Male", IF(orders[[#This Row],[Customer Gender]] = "F", "Female", IF(orders[[#This Row],[Customer Gender]] = "O", "Other",  "Unkown")))</f>
        <v>Male</v>
      </c>
    </row>
    <row r="256" spans="1:15" hidden="1"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IF(orders[[#This Row],[Customer Gender]] = "M", "Male", IF(orders[[#This Row],[Customer Gender]] = "F", "Female", IF(orders[[#This Row],[Customer Gender]] = "O", "Other",  "Unkown")))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IF(orders[[#This Row],[Customer Gender]] = "M", "Male", IF(orders[[#This Row],[Customer Gender]] = "F", "Female", IF(orders[[#This Row],[Customer Gender]] = "O", "Other",  "Unkown")))</f>
        <v>Female</v>
      </c>
    </row>
    <row r="258" spans="1:15" hidden="1"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IF(orders[[#This Row],[Customer Gender]] = "M", "Male", IF(orders[[#This Row],[Customer Gender]] = "F", "Female", IF(orders[[#This Row],[Customer Gender]] = "O", "Other",  "Unkown")))</f>
        <v>Male</v>
      </c>
    </row>
    <row r="259" spans="1:15" hidden="1"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IF(orders[[#This Row],[Customer Gender]] = "M", "Male", IF(orders[[#This Row],[Customer Gender]] = "F", "Female", IF(orders[[#This Row],[Customer Gender]] = "O", "Other",  "Unkown")))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IF(orders[[#This Row],[Customer Gender]] = "M", "Male", IF(orders[[#This Row],[Customer Gender]] = "F", "Female", IF(orders[[#This Row],[Customer Gender]] = "O", "Other",  "Unkown")))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IF(orders[[#This Row],[Customer Gender]] = "M", "Male", IF(orders[[#This Row],[Customer Gender]] = "F", "Female", IF(orders[[#This Row],[Customer Gender]] = "O", "Other",  "Unkown")))</f>
        <v>Female</v>
      </c>
    </row>
    <row r="262" spans="1:15" hidden="1"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IF(orders[[#This Row],[Customer Gender]] = "M", "Male", IF(orders[[#This Row],[Customer Gender]] = "F", "Female", IF(orders[[#This Row],[Customer Gender]] = "O", "Other",  "Unkown")))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IF(orders[[#This Row],[Customer Gender]] = "M", "Male", IF(orders[[#This Row],[Customer Gender]] = "F", "Female", IF(orders[[#This Row],[Customer Gender]] = "O", "Other",  "Unkown")))</f>
        <v>Female</v>
      </c>
    </row>
    <row r="264" spans="1:15" hidden="1"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IF(orders[[#This Row],[Customer Gender]] = "M", "Male", IF(orders[[#This Row],[Customer Gender]] = "F", "Female", IF(orders[[#This Row],[Customer Gender]] = "O", "Other",  "Unkown")))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IF(orders[[#This Row],[Customer Gender]] = "M", "Male", IF(orders[[#This Row],[Customer Gender]] = "F", "Female", IF(orders[[#This Row],[Customer Gender]] = "O", "Other",  "Unkown")))</f>
        <v>Female</v>
      </c>
    </row>
    <row r="266" spans="1:15" hidden="1"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IF(orders[[#This Row],[Customer Gender]] = "M", "Male", IF(orders[[#This Row],[Customer Gender]] = "F", "Female", IF(orders[[#This Row],[Customer Gender]] = "O", "Other",  "Unkown")))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IF(orders[[#This Row],[Customer Gender]] = "M", "Male", IF(orders[[#This Row],[Customer Gender]] = "F", "Female", IF(orders[[#This Row],[Customer Gender]] = "O", "Other",  "Unkown")))</f>
        <v>Female</v>
      </c>
    </row>
    <row r="268" spans="1:15" hidden="1"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IF(orders[[#This Row],[Customer Gender]] = "M", "Male", IF(orders[[#This Row],[Customer Gender]] = "F", "Female", IF(orders[[#This Row],[Customer Gender]] = "O", "Other",  "Unkown")))</f>
        <v>Unkown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IF(orders[[#This Row],[Customer Gender]] = "M", "Male", IF(orders[[#This Row],[Customer Gender]] = "F", "Female", IF(orders[[#This Row],[Customer Gender]] = "O", "Other",  "Unkown")))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IF(orders[[#This Row],[Customer Gender]] = "M", "Male", IF(orders[[#This Row],[Customer Gender]] = "F", "Female", IF(orders[[#This Row],[Customer Gender]] = "O", "Other",  "Unkown")))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IF(orders[[#This Row],[Customer Gender]] = "M", "Male", IF(orders[[#This Row],[Customer Gender]] = "F", "Female", IF(orders[[#This Row],[Customer Gender]] = "O", "Other",  "Unkown")))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IF(orders[[#This Row],[Customer Gender]] = "M", "Male", IF(orders[[#This Row],[Customer Gender]] = "F", "Female", IF(orders[[#This Row],[Customer Gender]] = "O", "Other",  "Unkown")))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IF(orders[[#This Row],[Customer Gender]] = "M", "Male", IF(orders[[#This Row],[Customer Gender]] = "F", "Female", IF(orders[[#This Row],[Customer Gender]] = "O", "Other",  "Unkown")))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IF(orders[[#This Row],[Customer Gender]] = "M", "Male", IF(orders[[#This Row],[Customer Gender]] = "F", "Female", IF(orders[[#This Row],[Customer Gender]] = "O", "Other",  "Unkown")))</f>
        <v>Female</v>
      </c>
    </row>
    <row r="275" spans="1:15" hidden="1"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IF(orders[[#This Row],[Customer Gender]] = "M", "Male", IF(orders[[#This Row],[Customer Gender]] = "F", "Female", IF(orders[[#This Row],[Customer Gender]] = "O", "Other",  "Unkown")))</f>
        <v>Male</v>
      </c>
    </row>
    <row r="276" spans="1:15" hidden="1"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IF(orders[[#This Row],[Customer Gender]] = "M", "Male", IF(orders[[#This Row],[Customer Gender]] = "F", "Female", IF(orders[[#This Row],[Customer Gender]] = "O", "Other",  "Unkown")))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IF(orders[[#This Row],[Customer Gender]] = "M", "Male", IF(orders[[#This Row],[Customer Gender]] = "F", "Female", IF(orders[[#This Row],[Customer Gender]] = "O", "Other",  "Unkown")))</f>
        <v>Female</v>
      </c>
    </row>
    <row r="278" spans="1:15" hidden="1"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IF(orders[[#This Row],[Customer Gender]] = "M", "Male", IF(orders[[#This Row],[Customer Gender]] = "F", "Female", IF(orders[[#This Row],[Customer Gender]] = "O", "Other",  "Unkown")))</f>
        <v>Unkown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IF(orders[[#This Row],[Customer Gender]] = "M", "Male", IF(orders[[#This Row],[Customer Gender]] = "F", "Female", IF(orders[[#This Row],[Customer Gender]] = "O", "Other",  "Unkown")))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IF(orders[[#This Row],[Customer Gender]] = "M", "Male", IF(orders[[#This Row],[Customer Gender]] = "F", "Female", IF(orders[[#This Row],[Customer Gender]] = "O", "Other",  "Unkown")))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IF(orders[[#This Row],[Customer Gender]] = "M", "Male", IF(orders[[#This Row],[Customer Gender]] = "F", "Female", IF(orders[[#This Row],[Customer Gender]] = "O", "Other",  "Unkown")))</f>
        <v>Female</v>
      </c>
    </row>
    <row r="282" spans="1:15" hidden="1"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IF(orders[[#This Row],[Customer Gender]] = "M", "Male", IF(orders[[#This Row],[Customer Gender]] = "F", "Female", IF(orders[[#This Row],[Customer Gender]] = "O", "Other",  "Unkown")))</f>
        <v>Male</v>
      </c>
    </row>
    <row r="283" spans="1:15" hidden="1"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IF(orders[[#This Row],[Customer Gender]] = "M", "Male", IF(orders[[#This Row],[Customer Gender]] = "F", "Female", IF(orders[[#This Row],[Customer Gender]] = "O", "Other",  "Unkown")))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IF(orders[[#This Row],[Customer Gender]] = "M", "Male", IF(orders[[#This Row],[Customer Gender]] = "F", "Female", IF(orders[[#This Row],[Customer Gender]] = "O", "Other",  "Unkown")))</f>
        <v>Female</v>
      </c>
    </row>
    <row r="285" spans="1:15" hidden="1"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IF(orders[[#This Row],[Customer Gender]] = "M", "Male", IF(orders[[#This Row],[Customer Gender]] = "F", "Female", IF(orders[[#This Row],[Customer Gender]] = "O", "Other",  "Unkown")))</f>
        <v>Male</v>
      </c>
    </row>
    <row r="286" spans="1:15" hidden="1"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IF(orders[[#This Row],[Customer Gender]] = "M", "Male", IF(orders[[#This Row],[Customer Gender]] = "F", "Female", IF(orders[[#This Row],[Customer Gender]] = "O", "Other",  "Unkown")))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IF(orders[[#This Row],[Customer Gender]] = "M", "Male", IF(orders[[#This Row],[Customer Gender]] = "F", "Female", IF(orders[[#This Row],[Customer Gender]] = "O", "Other",  "Unkown")))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IF(orders[[#This Row],[Customer Gender]] = "M", "Male", IF(orders[[#This Row],[Customer Gender]] = "F", "Female", IF(orders[[#This Row],[Customer Gender]] = "O", "Other",  "Unkown")))</f>
        <v>Female</v>
      </c>
    </row>
    <row r="289" spans="1:15" hidden="1"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IF(orders[[#This Row],[Customer Gender]] = "M", "Male", IF(orders[[#This Row],[Customer Gender]] = "F", "Female", IF(orders[[#This Row],[Customer Gender]] = "O", "Other",  "Unkown")))</f>
        <v>Male</v>
      </c>
    </row>
    <row r="290" spans="1:15" hidden="1"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IF(orders[[#This Row],[Customer Gender]] = "M", "Male", IF(orders[[#This Row],[Customer Gender]] = "F", "Female", IF(orders[[#This Row],[Customer Gender]] = "O", "Other",  "Unkown")))</f>
        <v>Male</v>
      </c>
    </row>
    <row r="291" spans="1:15" hidden="1"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IF(orders[[#This Row],[Customer Gender]] = "M", "Male", IF(orders[[#This Row],[Customer Gender]] = "F", "Female", IF(orders[[#This Row],[Customer Gender]] = "O", "Other",  "Unkown")))</f>
        <v>Male</v>
      </c>
    </row>
    <row r="292" spans="1:15" hidden="1"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IF(orders[[#This Row],[Customer Gender]] = "M", "Male", IF(orders[[#This Row],[Customer Gender]] = "F", "Female", IF(orders[[#This Row],[Customer Gender]] = "O", "Other",  "Unkown")))</f>
        <v>Male</v>
      </c>
    </row>
    <row r="293" spans="1:15" hidden="1"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IF(orders[[#This Row],[Customer Gender]] = "M", "Male", IF(orders[[#This Row],[Customer Gender]] = "F", "Female", IF(orders[[#This Row],[Customer Gender]] = "O", "Other",  "Unkown")))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IF(orders[[#This Row],[Customer Gender]] = "M", "Male", IF(orders[[#This Row],[Customer Gender]] = "F", "Female", IF(orders[[#This Row],[Customer Gender]] = "O", "Other",  "Unkown")))</f>
        <v>Female</v>
      </c>
    </row>
    <row r="295" spans="1:15" hidden="1"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IF(orders[[#This Row],[Customer Gender]] = "M", "Male", IF(orders[[#This Row],[Customer Gender]] = "F", "Female", IF(orders[[#This Row],[Customer Gender]] = "O", "Other",  "Unkown")))</f>
        <v>Male</v>
      </c>
    </row>
    <row r="296" spans="1:15" hidden="1"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IF(orders[[#This Row],[Customer Gender]] = "M", "Male", IF(orders[[#This Row],[Customer Gender]] = "F", "Female", IF(orders[[#This Row],[Customer Gender]] = "O", "Other",  "Unkown")))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IF(orders[[#This Row],[Customer Gender]] = "M", "Male", IF(orders[[#This Row],[Customer Gender]] = "F", "Female", IF(orders[[#This Row],[Customer Gender]] = "O", "Other",  "Unkown")))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IF(orders[[#This Row],[Customer Gender]] = "M", "Male", IF(orders[[#This Row],[Customer Gender]] = "F", "Female", IF(orders[[#This Row],[Customer Gender]] = "O", "Other",  "Unkown")))</f>
        <v>Female</v>
      </c>
    </row>
    <row r="299" spans="1:15" hidden="1"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IF(orders[[#This Row],[Customer Gender]] = "M", "Male", IF(orders[[#This Row],[Customer Gender]] = "F", "Female", IF(orders[[#This Row],[Customer Gender]] = "O", "Other",  "Unkown")))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IF(orders[[#This Row],[Customer Gender]] = "M", "Male", IF(orders[[#This Row],[Customer Gender]] = "F", "Female", IF(orders[[#This Row],[Customer Gender]] = "O", "Other",  "Unkown")))</f>
        <v>Female</v>
      </c>
    </row>
    <row r="301" spans="1:15" hidden="1"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IF(orders[[#This Row],[Customer Gender]] = "M", "Male", IF(orders[[#This Row],[Customer Gender]] = "F", "Female", IF(orders[[#This Row],[Customer Gender]] = "O", "Other",  "Unkown")))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IF(orders[[#This Row],[Customer Gender]] = "M", "Male", IF(orders[[#This Row],[Customer Gender]] = "F", "Female", IF(orders[[#This Row],[Customer Gender]] = "O", "Other",  "Unkown")))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IF(orders[[#This Row],[Customer Gender]] = "M", "Male", IF(orders[[#This Row],[Customer Gender]] = "F", "Female", IF(orders[[#This Row],[Customer Gender]] = "O", "Other",  "Unkown")))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IF(orders[[#This Row],[Customer Gender]] = "M", "Male", IF(orders[[#This Row],[Customer Gender]] = "F", "Female", IF(orders[[#This Row],[Customer Gender]] = "O", "Other",  "Unkown")))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IF(orders[[#This Row],[Customer Gender]] = "M", "Male", IF(orders[[#This Row],[Customer Gender]] = "F", "Female", IF(orders[[#This Row],[Customer Gender]] = "O", "Other",  "Unkown")))</f>
        <v>Female</v>
      </c>
    </row>
    <row r="306" spans="1:15" hidden="1"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IF(orders[[#This Row],[Customer Gender]] = "M", "Male", IF(orders[[#This Row],[Customer Gender]] = "F", "Female", IF(orders[[#This Row],[Customer Gender]] = "O", "Other",  "Unkown")))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IF(orders[[#This Row],[Customer Gender]] = "M", "Male", IF(orders[[#This Row],[Customer Gender]] = "F", "Female", IF(orders[[#This Row],[Customer Gender]] = "O", "Other",  "Unkown")))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IF(orders[[#This Row],[Customer Gender]] = "M", "Male", IF(orders[[#This Row],[Customer Gender]] = "F", "Female", IF(orders[[#This Row],[Customer Gender]] = "O", "Other",  "Unkown")))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IF(orders[[#This Row],[Customer Gender]] = "M", "Male", IF(orders[[#This Row],[Customer Gender]] = "F", "Female", IF(orders[[#This Row],[Customer Gender]] = "O", "Other",  "Unkown")))</f>
        <v>Female</v>
      </c>
    </row>
    <row r="310" spans="1:15" hidden="1"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IF(orders[[#This Row],[Customer Gender]] = "M", "Male", IF(orders[[#This Row],[Customer Gender]] = "F", "Female", IF(orders[[#This Row],[Customer Gender]] = "O", "Other",  "Unkown")))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IF(orders[[#This Row],[Customer Gender]] = "M", "Male", IF(orders[[#This Row],[Customer Gender]] = "F", "Female", IF(orders[[#This Row],[Customer Gender]] = "O", "Other",  "Unkown")))</f>
        <v>Female</v>
      </c>
    </row>
    <row r="312" spans="1:15" hidden="1"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IF(orders[[#This Row],[Customer Gender]] = "M", "Male", IF(orders[[#This Row],[Customer Gender]] = "F", "Female", IF(orders[[#This Row],[Customer Gender]] = "O", "Other",  "Unkown")))</f>
        <v>Male</v>
      </c>
    </row>
    <row r="313" spans="1:15" hidden="1"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IF(orders[[#This Row],[Customer Gender]] = "M", "Male", IF(orders[[#This Row],[Customer Gender]] = "F", "Female", IF(orders[[#This Row],[Customer Gender]] = "O", "Other",  "Unkown")))</f>
        <v>Male</v>
      </c>
    </row>
    <row r="314" spans="1:15" hidden="1"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IF(orders[[#This Row],[Customer Gender]] = "M", "Male", IF(orders[[#This Row],[Customer Gender]] = "F", "Female", IF(orders[[#This Row],[Customer Gender]] = "O", "Other",  "Unkown")))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IF(orders[[#This Row],[Customer Gender]] = "M", "Male", IF(orders[[#This Row],[Customer Gender]] = "F", "Female", IF(orders[[#This Row],[Customer Gender]] = "O", "Other",  "Unkown")))</f>
        <v>Female</v>
      </c>
    </row>
    <row r="316" spans="1:15" hidden="1"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IF(orders[[#This Row],[Customer Gender]] = "M", "Male", IF(orders[[#This Row],[Customer Gender]] = "F", "Female", IF(orders[[#This Row],[Customer Gender]] = "O", "Other",  "Unkown")))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IF(orders[[#This Row],[Customer Gender]] = "M", "Male", IF(orders[[#This Row],[Customer Gender]] = "F", "Female", IF(orders[[#This Row],[Customer Gender]] = "O", "Other",  "Unkown")))</f>
        <v>Female</v>
      </c>
    </row>
    <row r="318" spans="1:15" hidden="1"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IF(orders[[#This Row],[Customer Gender]] = "M", "Male", IF(orders[[#This Row],[Customer Gender]] = "F", "Female", IF(orders[[#This Row],[Customer Gender]] = "O", "Other",  "Unkown")))</f>
        <v>Unkown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IF(orders[[#This Row],[Customer Gender]] = "M", "Male", IF(orders[[#This Row],[Customer Gender]] = "F", "Female", IF(orders[[#This Row],[Customer Gender]] = "O", "Other",  "Unkown")))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IF(orders[[#This Row],[Customer Gender]] = "M", "Male", IF(orders[[#This Row],[Customer Gender]] = "F", "Female", IF(orders[[#This Row],[Customer Gender]] = "O", "Other",  "Unkown")))</f>
        <v>Female</v>
      </c>
    </row>
    <row r="321" spans="1:15" hidden="1"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IF(orders[[#This Row],[Customer Gender]] = "M", "Male", IF(orders[[#This Row],[Customer Gender]] = "F", "Female", IF(orders[[#This Row],[Customer Gender]] = "O", "Other",  "Unkown")))</f>
        <v>Male</v>
      </c>
    </row>
    <row r="322" spans="1:15" hidden="1"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IF(orders[[#This Row],[Customer Gender]] = "M", "Male", IF(orders[[#This Row],[Customer Gender]] = "F", "Female", IF(orders[[#This Row],[Customer Gender]] = "O", "Other",  "Unkown")))</f>
        <v>Other</v>
      </c>
    </row>
    <row r="323" spans="1:15" hidden="1"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IF(orders[[#This Row],[Customer Gender]] = "M", "Male", IF(orders[[#This Row],[Customer Gender]] = "F", "Female", IF(orders[[#This Row],[Customer Gender]] = "O", "Other",  "Unkown")))</f>
        <v>Unkown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IF(orders[[#This Row],[Customer Gender]] = "M", "Male", IF(orders[[#This Row],[Customer Gender]] = "F", "Female", IF(orders[[#This Row],[Customer Gender]] = "O", "Other",  "Unkown")))</f>
        <v>Female</v>
      </c>
    </row>
    <row r="325" spans="1:15" hidden="1"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IF(orders[[#This Row],[Customer Gender]] = "M", "Male", IF(orders[[#This Row],[Customer Gender]] = "F", "Female", IF(orders[[#This Row],[Customer Gender]] = "O", "Other",  "Unkown")))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IF(orders[[#This Row],[Customer Gender]] = "M", "Male", IF(orders[[#This Row],[Customer Gender]] = "F", "Female", IF(orders[[#This Row],[Customer Gender]] = "O", "Other",  "Unkown")))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IF(orders[[#This Row],[Customer Gender]] = "M", "Male", IF(orders[[#This Row],[Customer Gender]] = "F", "Female", IF(orders[[#This Row],[Customer Gender]] = "O", "Other",  "Unkown")))</f>
        <v>Female</v>
      </c>
    </row>
    <row r="328" spans="1:15" hidden="1"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IF(orders[[#This Row],[Customer Gender]] = "M", "Male", IF(orders[[#This Row],[Customer Gender]] = "F", "Female", IF(orders[[#This Row],[Customer Gender]] = "O", "Other",  "Unkown")))</f>
        <v>Male</v>
      </c>
    </row>
    <row r="329" spans="1:15" hidden="1"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IF(orders[[#This Row],[Customer Gender]] = "M", "Male", IF(orders[[#This Row],[Customer Gender]] = "F", "Female", IF(orders[[#This Row],[Customer Gender]] = "O", "Other",  "Unkown")))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IF(orders[[#This Row],[Customer Gender]] = "M", "Male", IF(orders[[#This Row],[Customer Gender]] = "F", "Female", IF(orders[[#This Row],[Customer Gender]] = "O", "Other",  "Unkown")))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IF(orders[[#This Row],[Customer Gender]] = "M", "Male", IF(orders[[#This Row],[Customer Gender]] = "F", "Female", IF(orders[[#This Row],[Customer Gender]] = "O", "Other",  "Unkown")))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IF(orders[[#This Row],[Customer Gender]] = "M", "Male", IF(orders[[#This Row],[Customer Gender]] = "F", "Female", IF(orders[[#This Row],[Customer Gender]] = "O", "Other",  "Unkown")))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IF(orders[[#This Row],[Customer Gender]] = "M", "Male", IF(orders[[#This Row],[Customer Gender]] = "F", "Female", IF(orders[[#This Row],[Customer Gender]] = "O", "Other",  "Unkown")))</f>
        <v>Female</v>
      </c>
    </row>
    <row r="334" spans="1:15" hidden="1"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IF(orders[[#This Row],[Customer Gender]] = "M", "Male", IF(orders[[#This Row],[Customer Gender]] = "F", "Female", IF(orders[[#This Row],[Customer Gender]] = "O", "Other",  "Unkown")))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IF(orders[[#This Row],[Customer Gender]] = "M", "Male", IF(orders[[#This Row],[Customer Gender]] = "F", "Female", IF(orders[[#This Row],[Customer Gender]] = "O", "Other",  "Unkown")))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IF(orders[[#This Row],[Customer Gender]] = "M", "Male", IF(orders[[#This Row],[Customer Gender]] = "F", "Female", IF(orders[[#This Row],[Customer Gender]] = "O", "Other",  "Unkown")))</f>
        <v>Female</v>
      </c>
    </row>
    <row r="337" spans="1:15" hidden="1"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IF(orders[[#This Row],[Customer Gender]] = "M", "Male", IF(orders[[#This Row],[Customer Gender]] = "F", "Female", IF(orders[[#This Row],[Customer Gender]] = "O", "Other",  "Unkown")))</f>
        <v>Male</v>
      </c>
    </row>
    <row r="338" spans="1:15" hidden="1"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IF(orders[[#This Row],[Customer Gender]] = "M", "Male", IF(orders[[#This Row],[Customer Gender]] = "F", "Female", IF(orders[[#This Row],[Customer Gender]] = "O", "Other",  "Unkown")))</f>
        <v>Unkown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IF(orders[[#This Row],[Customer Gender]] = "M", "Male", IF(orders[[#This Row],[Customer Gender]] = "F", "Female", IF(orders[[#This Row],[Customer Gender]] = "O", "Other",  "Unkown")))</f>
        <v>Female</v>
      </c>
    </row>
    <row r="340" spans="1:15" hidden="1"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IF(orders[[#This Row],[Customer Gender]] = "M", "Male", IF(orders[[#This Row],[Customer Gender]] = "F", "Female", IF(orders[[#This Row],[Customer Gender]] = "O", "Other",  "Unkown")))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IF(orders[[#This Row],[Customer Gender]] = "M", "Male", IF(orders[[#This Row],[Customer Gender]] = "F", "Female", IF(orders[[#This Row],[Customer Gender]] = "O", "Other",  "Unkown")))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IF(orders[[#This Row],[Customer Gender]] = "M", "Male", IF(orders[[#This Row],[Customer Gender]] = "F", "Female", IF(orders[[#This Row],[Customer Gender]] = "O", "Other",  "Unkown")))</f>
        <v>Female</v>
      </c>
    </row>
    <row r="343" spans="1:15" hidden="1"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IF(orders[[#This Row],[Customer Gender]] = "M", "Male", IF(orders[[#This Row],[Customer Gender]] = "F", "Female", IF(orders[[#This Row],[Customer Gender]] = "O", "Other",  "Unkown")))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IF(orders[[#This Row],[Customer Gender]] = "M", "Male", IF(orders[[#This Row],[Customer Gender]] = "F", "Female", IF(orders[[#This Row],[Customer Gender]] = "O", "Other",  "Unkown")))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IF(orders[[#This Row],[Customer Gender]] = "M", "Male", IF(orders[[#This Row],[Customer Gender]] = "F", "Female", IF(orders[[#This Row],[Customer Gender]] = "O", "Other",  "Unkown")))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IF(orders[[#This Row],[Customer Gender]] = "M", "Male", IF(orders[[#This Row],[Customer Gender]] = "F", "Female", IF(orders[[#This Row],[Customer Gender]] = "O", "Other",  "Unkown")))</f>
        <v>Female</v>
      </c>
    </row>
    <row r="347" spans="1:15" hidden="1"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IF(orders[[#This Row],[Customer Gender]] = "M", "Male", IF(orders[[#This Row],[Customer Gender]] = "F", "Female", IF(orders[[#This Row],[Customer Gender]] = "O", "Other",  "Unkown")))</f>
        <v>Unkown</v>
      </c>
    </row>
    <row r="348" spans="1:15" hidden="1"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IF(orders[[#This Row],[Customer Gender]] = "M", "Male", IF(orders[[#This Row],[Customer Gender]] = "F", "Female", IF(orders[[#This Row],[Customer Gender]] = "O", "Other",  "Unkown")))</f>
        <v>Male</v>
      </c>
    </row>
    <row r="349" spans="1:15" hidden="1"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IF(orders[[#This Row],[Customer Gender]] = "M", "Male", IF(orders[[#This Row],[Customer Gender]] = "F", "Female", IF(orders[[#This Row],[Customer Gender]] = "O", "Other",  "Unkown")))</f>
        <v>Male</v>
      </c>
    </row>
    <row r="350" spans="1:15" hidden="1"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IF(orders[[#This Row],[Customer Gender]] = "M", "Male", IF(orders[[#This Row],[Customer Gender]] = "F", "Female", IF(orders[[#This Row],[Customer Gender]] = "O", "Other",  "Unkown")))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IF(orders[[#This Row],[Customer Gender]] = "M", "Male", IF(orders[[#This Row],[Customer Gender]] = "F", "Female", IF(orders[[#This Row],[Customer Gender]] = "O", "Other",  "Unkown")))</f>
        <v>Female</v>
      </c>
    </row>
    <row r="352" spans="1:15" hidden="1"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IF(orders[[#This Row],[Customer Gender]] = "M", "Male", IF(orders[[#This Row],[Customer Gender]] = "F", "Female", IF(orders[[#This Row],[Customer Gender]] = "O", "Other",  "Unkown")))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IF(orders[[#This Row],[Customer Gender]] = "M", "Male", IF(orders[[#This Row],[Customer Gender]] = "F", "Female", IF(orders[[#This Row],[Customer Gender]] = "O", "Other",  "Unkown")))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IF(orders[[#This Row],[Customer Gender]] = "M", "Male", IF(orders[[#This Row],[Customer Gender]] = "F", "Female", IF(orders[[#This Row],[Customer Gender]] = "O", "Other",  "Unkown")))</f>
        <v>Female</v>
      </c>
    </row>
    <row r="355" spans="1:15" hidden="1"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IF(orders[[#This Row],[Customer Gender]] = "M", "Male", IF(orders[[#This Row],[Customer Gender]] = "F", "Female", IF(orders[[#This Row],[Customer Gender]] = "O", "Other",  "Unkown")))</f>
        <v>Male</v>
      </c>
    </row>
    <row r="356" spans="1:15" hidden="1"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IF(orders[[#This Row],[Customer Gender]] = "M", "Male", IF(orders[[#This Row],[Customer Gender]] = "F", "Female", IF(orders[[#This Row],[Customer Gender]] = "O", "Other",  "Unkown")))</f>
        <v>Male</v>
      </c>
    </row>
    <row r="357" spans="1:15" hidden="1"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IF(orders[[#This Row],[Customer Gender]] = "M", "Male", IF(orders[[#This Row],[Customer Gender]] = "F", "Female", IF(orders[[#This Row],[Customer Gender]] = "O", "Other",  "Unkown")))</f>
        <v>Unkown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IF(orders[[#This Row],[Customer Gender]] = "M", "Male", IF(orders[[#This Row],[Customer Gender]] = "F", "Female", IF(orders[[#This Row],[Customer Gender]] = "O", "Other",  "Unkown")))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IF(orders[[#This Row],[Customer Gender]] = "M", "Male", IF(orders[[#This Row],[Customer Gender]] = "F", "Female", IF(orders[[#This Row],[Customer Gender]] = "O", "Other",  "Unkown")))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IF(orders[[#This Row],[Customer Gender]] = "M", "Male", IF(orders[[#This Row],[Customer Gender]] = "F", "Female", IF(orders[[#This Row],[Customer Gender]] = "O", "Other",  "Unkown")))</f>
        <v>Female</v>
      </c>
    </row>
    <row r="361" spans="1:15" hidden="1"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IF(orders[[#This Row],[Customer Gender]] = "M", "Male", IF(orders[[#This Row],[Customer Gender]] = "F", "Female", IF(orders[[#This Row],[Customer Gender]] = "O", "Other",  "Unkown")))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IF(orders[[#This Row],[Customer Gender]] = "M", "Male", IF(orders[[#This Row],[Customer Gender]] = "F", "Female", IF(orders[[#This Row],[Customer Gender]] = "O", "Other",  "Unkown")))</f>
        <v>Female</v>
      </c>
    </row>
    <row r="363" spans="1:15" hidden="1"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IF(orders[[#This Row],[Customer Gender]] = "M", "Male", IF(orders[[#This Row],[Customer Gender]] = "F", "Female", IF(orders[[#This Row],[Customer Gender]] = "O", "Other",  "Unkown")))</f>
        <v>Other</v>
      </c>
    </row>
    <row r="364" spans="1:15" hidden="1"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IF(orders[[#This Row],[Customer Gender]] = "M", "Male", IF(orders[[#This Row],[Customer Gender]] = "F", "Female", IF(orders[[#This Row],[Customer Gender]] = "O", "Other",  "Unkown")))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IF(orders[[#This Row],[Customer Gender]] = "M", "Male", IF(orders[[#This Row],[Customer Gender]] = "F", "Female", IF(orders[[#This Row],[Customer Gender]] = "O", "Other",  "Unkown")))</f>
        <v>Female</v>
      </c>
    </row>
    <row r="366" spans="1:15" hidden="1"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IF(orders[[#This Row],[Customer Gender]] = "M", "Male", IF(orders[[#This Row],[Customer Gender]] = "F", "Female", IF(orders[[#This Row],[Customer Gender]] = "O", "Other",  "Unkown")))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IF(orders[[#This Row],[Customer Gender]] = "M", "Male", IF(orders[[#This Row],[Customer Gender]] = "F", "Female", IF(orders[[#This Row],[Customer Gender]] = "O", "Other",  "Unkown")))</f>
        <v>Female</v>
      </c>
    </row>
    <row r="368" spans="1:15" hidden="1"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IF(orders[[#This Row],[Customer Gender]] = "M", "Male", IF(orders[[#This Row],[Customer Gender]] = "F", "Female", IF(orders[[#This Row],[Customer Gender]] = "O", "Other",  "Unkown")))</f>
        <v>Unkown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IF(orders[[#This Row],[Customer Gender]] = "M", "Male", IF(orders[[#This Row],[Customer Gender]] = "F", "Female", IF(orders[[#This Row],[Customer Gender]] = "O", "Other",  "Unkown")))</f>
        <v>Female</v>
      </c>
    </row>
    <row r="370" spans="1:15" hidden="1"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IF(orders[[#This Row],[Customer Gender]] = "M", "Male", IF(orders[[#This Row],[Customer Gender]] = "F", "Female", IF(orders[[#This Row],[Customer Gender]] = "O", "Other",  "Unkown")))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IF(orders[[#This Row],[Customer Gender]] = "M", "Male", IF(orders[[#This Row],[Customer Gender]] = "F", "Female", IF(orders[[#This Row],[Customer Gender]] = "O", "Other",  "Unkown")))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IF(orders[[#This Row],[Customer Gender]] = "M", "Male", IF(orders[[#This Row],[Customer Gender]] = "F", "Female", IF(orders[[#This Row],[Customer Gender]] = "O", "Other",  "Unkown")))</f>
        <v>Female</v>
      </c>
    </row>
    <row r="373" spans="1:15" hidden="1"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IF(orders[[#This Row],[Customer Gender]] = "M", "Male", IF(orders[[#This Row],[Customer Gender]] = "F", "Female", IF(orders[[#This Row],[Customer Gender]] = "O", "Other",  "Unkown")))</f>
        <v>Male</v>
      </c>
    </row>
    <row r="374" spans="1:15" hidden="1"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IF(orders[[#This Row],[Customer Gender]] = "M", "Male", IF(orders[[#This Row],[Customer Gender]] = "F", "Female", IF(orders[[#This Row],[Customer Gender]] = "O", "Other",  "Unkown")))</f>
        <v>Male</v>
      </c>
    </row>
    <row r="375" spans="1:15" hidden="1"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IF(orders[[#This Row],[Customer Gender]] = "M", "Male", IF(orders[[#This Row],[Customer Gender]] = "F", "Female", IF(orders[[#This Row],[Customer Gender]] = "O", "Other",  "Unkown")))</f>
        <v>Unkown</v>
      </c>
    </row>
    <row r="376" spans="1:15" hidden="1"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IF(orders[[#This Row],[Customer Gender]] = "M", "Male", IF(orders[[#This Row],[Customer Gender]] = "F", "Female", IF(orders[[#This Row],[Customer Gender]] = "O", "Other",  "Unkown")))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IF(orders[[#This Row],[Customer Gender]] = "M", "Male", IF(orders[[#This Row],[Customer Gender]] = "F", "Female", IF(orders[[#This Row],[Customer Gender]] = "O", "Other",  "Unkown")))</f>
        <v>Female</v>
      </c>
    </row>
    <row r="378" spans="1:15" hidden="1"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IF(orders[[#This Row],[Customer Gender]] = "M", "Male", IF(orders[[#This Row],[Customer Gender]] = "F", "Female", IF(orders[[#This Row],[Customer Gender]] = "O", "Other",  "Unkown")))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IF(orders[[#This Row],[Customer Gender]] = "M", "Male", IF(orders[[#This Row],[Customer Gender]] = "F", "Female", IF(orders[[#This Row],[Customer Gender]] = "O", "Other",  "Unkown")))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IF(orders[[#This Row],[Customer Gender]] = "M", "Male", IF(orders[[#This Row],[Customer Gender]] = "F", "Female", IF(orders[[#This Row],[Customer Gender]] = "O", "Other",  "Unkown")))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IF(orders[[#This Row],[Customer Gender]] = "M", "Male", IF(orders[[#This Row],[Customer Gender]] = "F", "Female", IF(orders[[#This Row],[Customer Gender]] = "O", "Other",  "Unkown")))</f>
        <v>Female</v>
      </c>
    </row>
    <row r="382" spans="1:15" hidden="1"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IF(orders[[#This Row],[Customer Gender]] = "M", "Male", IF(orders[[#This Row],[Customer Gender]] = "F", "Female", IF(orders[[#This Row],[Customer Gender]] = "O", "Other",  "Unkown")))</f>
        <v>Male</v>
      </c>
    </row>
    <row r="383" spans="1:15" hidden="1"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IF(orders[[#This Row],[Customer Gender]] = "M", "Male", IF(orders[[#This Row],[Customer Gender]] = "F", "Female", IF(orders[[#This Row],[Customer Gender]] = "O", "Other",  "Unkown")))</f>
        <v>Other</v>
      </c>
    </row>
    <row r="384" spans="1:15" hidden="1"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IF(orders[[#This Row],[Customer Gender]] = "M", "Male", IF(orders[[#This Row],[Customer Gender]] = "F", "Female", IF(orders[[#This Row],[Customer Gender]] = "O", "Other",  "Unkown")))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IF(orders[[#This Row],[Customer Gender]] = "M", "Male", IF(orders[[#This Row],[Customer Gender]] = "F", "Female", IF(orders[[#This Row],[Customer Gender]] = "O", "Other",  "Unkown")))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IF(orders[[#This Row],[Customer Gender]] = "M", "Male", IF(orders[[#This Row],[Customer Gender]] = "F", "Female", IF(orders[[#This Row],[Customer Gender]] = "O", "Other",  "Unkown")))</f>
        <v>Female</v>
      </c>
    </row>
    <row r="387" spans="1:15" hidden="1"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IF(orders[[#This Row],[Customer Gender]] = "M", "Male", IF(orders[[#This Row],[Customer Gender]] = "F", "Female", IF(orders[[#This Row],[Customer Gender]] = "O", "Other",  "Unkown")))</f>
        <v>Unkown</v>
      </c>
    </row>
    <row r="388" spans="1:15" hidden="1"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IF(orders[[#This Row],[Customer Gender]] = "M", "Male", IF(orders[[#This Row],[Customer Gender]] = "F", "Female", IF(orders[[#This Row],[Customer Gender]] = "O", "Other",  "Unkown")))</f>
        <v>Male</v>
      </c>
    </row>
    <row r="389" spans="1:15" hidden="1"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IF(orders[[#This Row],[Customer Gender]] = "M", "Male", IF(orders[[#This Row],[Customer Gender]] = "F", "Female", IF(orders[[#This Row],[Customer Gender]] = "O", "Other",  "Unkown")))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IF(orders[[#This Row],[Customer Gender]] = "M", "Male", IF(orders[[#This Row],[Customer Gender]] = "F", "Female", IF(orders[[#This Row],[Customer Gender]] = "O", "Other",  "Unkown")))</f>
        <v>Female</v>
      </c>
    </row>
    <row r="391" spans="1:15" hidden="1"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IF(orders[[#This Row],[Customer Gender]] = "M", "Male", IF(orders[[#This Row],[Customer Gender]] = "F", "Female", IF(orders[[#This Row],[Customer Gender]] = "O", "Other",  "Unkown")))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IF(orders[[#This Row],[Customer Gender]] = "M", "Male", IF(orders[[#This Row],[Customer Gender]] = "F", "Female", IF(orders[[#This Row],[Customer Gender]] = "O", "Other",  "Unkown")))</f>
        <v>Female</v>
      </c>
    </row>
    <row r="393" spans="1:15" hidden="1"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IF(orders[[#This Row],[Customer Gender]] = "M", "Male", IF(orders[[#This Row],[Customer Gender]] = "F", "Female", IF(orders[[#This Row],[Customer Gender]] = "O", "Other",  "Unkown")))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IF(orders[[#This Row],[Customer Gender]] = "M", "Male", IF(orders[[#This Row],[Customer Gender]] = "F", "Female", IF(orders[[#This Row],[Customer Gender]] = "O", "Other",  "Unkown")))</f>
        <v>Female</v>
      </c>
    </row>
    <row r="395" spans="1:15" hidden="1"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IF(orders[[#This Row],[Customer Gender]] = "M", "Male", IF(orders[[#This Row],[Customer Gender]] = "F", "Female", IF(orders[[#This Row],[Customer Gender]] = "O", "Other",  "Unkown")))</f>
        <v>Male</v>
      </c>
    </row>
    <row r="396" spans="1:15" hidden="1"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IF(orders[[#This Row],[Customer Gender]] = "M", "Male", IF(orders[[#This Row],[Customer Gender]] = "F", "Female", IF(orders[[#This Row],[Customer Gender]] = "O", "Other",  "Unkown")))</f>
        <v>Male</v>
      </c>
    </row>
    <row r="397" spans="1:15" hidden="1"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IF(orders[[#This Row],[Customer Gender]] = "M", "Male", IF(orders[[#This Row],[Customer Gender]] = "F", "Female", IF(orders[[#This Row],[Customer Gender]] = "O", "Other",  "Unkown")))</f>
        <v>Other</v>
      </c>
    </row>
    <row r="398" spans="1:15" hidden="1"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IF(orders[[#This Row],[Customer Gender]] = "M", "Male", IF(orders[[#This Row],[Customer Gender]] = "F", "Female", IF(orders[[#This Row],[Customer Gender]] = "O", "Other",  "Unkown")))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IF(orders[[#This Row],[Customer Gender]] = "M", "Male", IF(orders[[#This Row],[Customer Gender]] = "F", "Female", IF(orders[[#This Row],[Customer Gender]] = "O", "Other",  "Unkown")))</f>
        <v>Female</v>
      </c>
    </row>
    <row r="400" spans="1:15" hidden="1"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IF(orders[[#This Row],[Customer Gender]] = "M", "Male", IF(orders[[#This Row],[Customer Gender]] = "F", "Female", IF(orders[[#This Row],[Customer Gender]] = "O", "Other",  "Unkown")))</f>
        <v>Male</v>
      </c>
    </row>
    <row r="401" spans="1:15" hidden="1"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IF(orders[[#This Row],[Customer Gender]] = "M", "Male", IF(orders[[#This Row],[Customer Gender]] = "F", "Female", IF(orders[[#This Row],[Customer Gender]] = "O", "Other",  "Unkown")))</f>
        <v>Male</v>
      </c>
    </row>
    <row r="402" spans="1:15" hidden="1"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IF(orders[[#This Row],[Customer Gender]] = "M", "Male", IF(orders[[#This Row],[Customer Gender]] = "F", "Female", IF(orders[[#This Row],[Customer Gender]] = "O", "Other",  "Unkown")))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IF(orders[[#This Row],[Customer Gender]] = "M", "Male", IF(orders[[#This Row],[Customer Gender]] = "F", "Female", IF(orders[[#This Row],[Customer Gender]] = "O", "Other",  "Unkown")))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IF(orders[[#This Row],[Customer Gender]] = "M", "Male", IF(orders[[#This Row],[Customer Gender]] = "F", "Female", IF(orders[[#This Row],[Customer Gender]] = "O", "Other",  "Unkown")))</f>
        <v>Female</v>
      </c>
    </row>
    <row r="405" spans="1:15" hidden="1"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IF(orders[[#This Row],[Customer Gender]] = "M", "Male", IF(orders[[#This Row],[Customer Gender]] = "F", "Female", IF(orders[[#This Row],[Customer Gender]] = "O", "Other",  "Unkown")))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IF(orders[[#This Row],[Customer Gender]] = "M", "Male", IF(orders[[#This Row],[Customer Gender]] = "F", "Female", IF(orders[[#This Row],[Customer Gender]] = "O", "Other",  "Unkown")))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IF(orders[[#This Row],[Customer Gender]] = "M", "Male", IF(orders[[#This Row],[Customer Gender]] = "F", "Female", IF(orders[[#This Row],[Customer Gender]] = "O", "Other",  "Unkown")))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IF(orders[[#This Row],[Customer Gender]] = "M", "Male", IF(orders[[#This Row],[Customer Gender]] = "F", "Female", IF(orders[[#This Row],[Customer Gender]] = "O", "Other",  "Unkown")))</f>
        <v>Female</v>
      </c>
    </row>
    <row r="409" spans="1:15" hidden="1"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IF(orders[[#This Row],[Customer Gender]] = "M", "Male", IF(orders[[#This Row],[Customer Gender]] = "F", "Female", IF(orders[[#This Row],[Customer Gender]] = "O", "Other",  "Unkown")))</f>
        <v>Male</v>
      </c>
    </row>
    <row r="410" spans="1:15" hidden="1"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IF(orders[[#This Row],[Customer Gender]] = "M", "Male", IF(orders[[#This Row],[Customer Gender]] = "F", "Female", IF(orders[[#This Row],[Customer Gender]] = "O", "Other",  "Unkown")))</f>
        <v>Male</v>
      </c>
    </row>
    <row r="411" spans="1:15" hidden="1"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IF(orders[[#This Row],[Customer Gender]] = "M", "Male", IF(orders[[#This Row],[Customer Gender]] = "F", "Female", IF(orders[[#This Row],[Customer Gender]] = "O", "Other",  "Unkown")))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IF(orders[[#This Row],[Customer Gender]] = "M", "Male", IF(orders[[#This Row],[Customer Gender]] = "F", "Female", IF(orders[[#This Row],[Customer Gender]] = "O", "Other",  "Unkown")))</f>
        <v>Female</v>
      </c>
    </row>
    <row r="413" spans="1:15" hidden="1"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IF(orders[[#This Row],[Customer Gender]] = "M", "Male", IF(orders[[#This Row],[Customer Gender]] = "F", "Female", IF(orders[[#This Row],[Customer Gender]] = "O", "Other",  "Unkown")))</f>
        <v>Male</v>
      </c>
    </row>
    <row r="414" spans="1:15" hidden="1"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IF(orders[[#This Row],[Customer Gender]] = "M", "Male", IF(orders[[#This Row],[Customer Gender]] = "F", "Female", IF(orders[[#This Row],[Customer Gender]] = "O", "Other",  "Unkown")))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IF(orders[[#This Row],[Customer Gender]] = "M", "Male", IF(orders[[#This Row],[Customer Gender]] = "F", "Female", IF(orders[[#This Row],[Customer Gender]] = "O", "Other",  "Unkown")))</f>
        <v>Female</v>
      </c>
    </row>
    <row r="416" spans="1:15" hidden="1"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IF(orders[[#This Row],[Customer Gender]] = "M", "Male", IF(orders[[#This Row],[Customer Gender]] = "F", "Female", IF(orders[[#This Row],[Customer Gender]] = "O", "Other",  "Unkown")))</f>
        <v>Unkown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IF(orders[[#This Row],[Customer Gender]] = "M", "Male", IF(orders[[#This Row],[Customer Gender]] = "F", "Female", IF(orders[[#This Row],[Customer Gender]] = "O", "Other",  "Unkown")))</f>
        <v>Female</v>
      </c>
    </row>
    <row r="418" spans="1:15" hidden="1"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IF(orders[[#This Row],[Customer Gender]] = "M", "Male", IF(orders[[#This Row],[Customer Gender]] = "F", "Female", IF(orders[[#This Row],[Customer Gender]] = "O", "Other",  "Unkown")))</f>
        <v>Other</v>
      </c>
    </row>
    <row r="419" spans="1:15" hidden="1"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IF(orders[[#This Row],[Customer Gender]] = "M", "Male", IF(orders[[#This Row],[Customer Gender]] = "F", "Female", IF(orders[[#This Row],[Customer Gender]] = "O", "Other",  "Unkown")))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IF(orders[[#This Row],[Customer Gender]] = "M", "Male", IF(orders[[#This Row],[Customer Gender]] = "F", "Female", IF(orders[[#This Row],[Customer Gender]] = "O", "Other",  "Unkown")))</f>
        <v>Female</v>
      </c>
    </row>
    <row r="421" spans="1:15" hidden="1"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IF(orders[[#This Row],[Customer Gender]] = "M", "Male", IF(orders[[#This Row],[Customer Gender]] = "F", "Female", IF(orders[[#This Row],[Customer Gender]] = "O", "Other",  "Unkown")))</f>
        <v>Male</v>
      </c>
    </row>
    <row r="422" spans="1:15" hidden="1"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IF(orders[[#This Row],[Customer Gender]] = "M", "Male", IF(orders[[#This Row],[Customer Gender]] = "F", "Female", IF(orders[[#This Row],[Customer Gender]] = "O", "Other",  "Unkown")))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IF(orders[[#This Row],[Customer Gender]] = "M", "Male", IF(orders[[#This Row],[Customer Gender]] = "F", "Female", IF(orders[[#This Row],[Customer Gender]] = "O", "Other",  "Unkown")))</f>
        <v>Female</v>
      </c>
    </row>
    <row r="424" spans="1:15" hidden="1"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IF(orders[[#This Row],[Customer Gender]] = "M", "Male", IF(orders[[#This Row],[Customer Gender]] = "F", "Female", IF(orders[[#This Row],[Customer Gender]] = "O", "Other",  "Unkown")))</f>
        <v>Male</v>
      </c>
    </row>
    <row r="425" spans="1:15" hidden="1"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IF(orders[[#This Row],[Customer Gender]] = "M", "Male", IF(orders[[#This Row],[Customer Gender]] = "F", "Female", IF(orders[[#This Row],[Customer Gender]] = "O", "Other",  "Unkown")))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IF(orders[[#This Row],[Customer Gender]] = "M", "Male", IF(orders[[#This Row],[Customer Gender]] = "F", "Female", IF(orders[[#This Row],[Customer Gender]] = "O", "Other",  "Unkown")))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IF(orders[[#This Row],[Customer Gender]] = "M", "Male", IF(orders[[#This Row],[Customer Gender]] = "F", "Female", IF(orders[[#This Row],[Customer Gender]] = "O", "Other",  "Unkown")))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IF(orders[[#This Row],[Customer Gender]] = "M", "Male", IF(orders[[#This Row],[Customer Gender]] = "F", "Female", IF(orders[[#This Row],[Customer Gender]] = "O", "Other",  "Unkown")))</f>
        <v>Female</v>
      </c>
    </row>
    <row r="429" spans="1:15" hidden="1"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IF(orders[[#This Row],[Customer Gender]] = "M", "Male", IF(orders[[#This Row],[Customer Gender]] = "F", "Female", IF(orders[[#This Row],[Customer Gender]] = "O", "Other",  "Unkown")))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IF(orders[[#This Row],[Customer Gender]] = "M", "Male", IF(orders[[#This Row],[Customer Gender]] = "F", "Female", IF(orders[[#This Row],[Customer Gender]] = "O", "Other",  "Unkown")))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IF(orders[[#This Row],[Customer Gender]] = "M", "Male", IF(orders[[#This Row],[Customer Gender]] = "F", "Female", IF(orders[[#This Row],[Customer Gender]] = "O", "Other",  "Unkown")))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IF(orders[[#This Row],[Customer Gender]] = "M", "Male", IF(orders[[#This Row],[Customer Gender]] = "F", "Female", IF(orders[[#This Row],[Customer Gender]] = "O", "Other",  "Unkown")))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IF(orders[[#This Row],[Customer Gender]] = "M", "Male", IF(orders[[#This Row],[Customer Gender]] = "F", "Female", IF(orders[[#This Row],[Customer Gender]] = "O", "Other",  "Unkown")))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IF(orders[[#This Row],[Customer Gender]] = "M", "Male", IF(orders[[#This Row],[Customer Gender]] = "F", "Female", IF(orders[[#This Row],[Customer Gender]] = "O", "Other",  "Unkown")))</f>
        <v>Female</v>
      </c>
    </row>
    <row r="435" spans="1:15" hidden="1"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IF(orders[[#This Row],[Customer Gender]] = "M", "Male", IF(orders[[#This Row],[Customer Gender]] = "F", "Female", IF(orders[[#This Row],[Customer Gender]] = "O", "Other",  "Unkown")))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IF(orders[[#This Row],[Customer Gender]] = "M", "Male", IF(orders[[#This Row],[Customer Gender]] = "F", "Female", IF(orders[[#This Row],[Customer Gender]] = "O", "Other",  "Unkown")))</f>
        <v>Female</v>
      </c>
    </row>
    <row r="437" spans="1:15" hidden="1"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IF(orders[[#This Row],[Customer Gender]] = "M", "Male", IF(orders[[#This Row],[Customer Gender]] = "F", "Female", IF(orders[[#This Row],[Customer Gender]] = "O", "Other",  "Unkown")))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IF(orders[[#This Row],[Customer Gender]] = "M", "Male", IF(orders[[#This Row],[Customer Gender]] = "F", "Female", IF(orders[[#This Row],[Customer Gender]] = "O", "Other",  "Unkown")))</f>
        <v>Female</v>
      </c>
    </row>
    <row r="439" spans="1:15" hidden="1"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IF(orders[[#This Row],[Customer Gender]] = "M", "Male", IF(orders[[#This Row],[Customer Gender]] = "F", "Female", IF(orders[[#This Row],[Customer Gender]] = "O", "Other",  "Unkown")))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IF(orders[[#This Row],[Customer Gender]] = "M", "Male", IF(orders[[#This Row],[Customer Gender]] = "F", "Female", IF(orders[[#This Row],[Customer Gender]] = "O", "Other",  "Unkown")))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IF(orders[[#This Row],[Customer Gender]] = "M", "Male", IF(orders[[#This Row],[Customer Gender]] = "F", "Female", IF(orders[[#This Row],[Customer Gender]] = "O", "Other",  "Unkown")))</f>
        <v>Female</v>
      </c>
    </row>
    <row r="442" spans="1:15" hidden="1"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IF(orders[[#This Row],[Customer Gender]] = "M", "Male", IF(orders[[#This Row],[Customer Gender]] = "F", "Female", IF(orders[[#This Row],[Customer Gender]] = "O", "Other",  "Unkown")))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IF(orders[[#This Row],[Customer Gender]] = "M", "Male", IF(orders[[#This Row],[Customer Gender]] = "F", "Female", IF(orders[[#This Row],[Customer Gender]] = "O", "Other",  "Unkown")))</f>
        <v>Female</v>
      </c>
    </row>
    <row r="444" spans="1:15" hidden="1"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IF(orders[[#This Row],[Customer Gender]] = "M", "Male", IF(orders[[#This Row],[Customer Gender]] = "F", "Female", IF(orders[[#This Row],[Customer Gender]] = "O", "Other",  "Unkown")))</f>
        <v>Other</v>
      </c>
    </row>
    <row r="445" spans="1:15" hidden="1"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IF(orders[[#This Row],[Customer Gender]] = "M", "Male", IF(orders[[#This Row],[Customer Gender]] = "F", "Female", IF(orders[[#This Row],[Customer Gender]] = "O", "Other",  "Unkown")))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IF(orders[[#This Row],[Customer Gender]] = "M", "Male", IF(orders[[#This Row],[Customer Gender]] = "F", "Female", IF(orders[[#This Row],[Customer Gender]] = "O", "Other",  "Unkown")))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IF(orders[[#This Row],[Customer Gender]] = "M", "Male", IF(orders[[#This Row],[Customer Gender]] = "F", "Female", IF(orders[[#This Row],[Customer Gender]] = "O", "Other",  "Unkown")))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IF(orders[[#This Row],[Customer Gender]] = "M", "Male", IF(orders[[#This Row],[Customer Gender]] = "F", "Female", IF(orders[[#This Row],[Customer Gender]] = "O", "Other",  "Unkown")))</f>
        <v>Female</v>
      </c>
    </row>
    <row r="449" spans="1:15" hidden="1"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IF(orders[[#This Row],[Customer Gender]] = "M", "Male", IF(orders[[#This Row],[Customer Gender]] = "F", "Female", IF(orders[[#This Row],[Customer Gender]] = "O", "Other",  "Unkown")))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IF(orders[[#This Row],[Customer Gender]] = "M", "Male", IF(orders[[#This Row],[Customer Gender]] = "F", "Female", IF(orders[[#This Row],[Customer Gender]] = "O", "Other",  "Unkown")))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IF(orders[[#This Row],[Customer Gender]] = "M", "Male", IF(orders[[#This Row],[Customer Gender]] = "F", "Female", IF(orders[[#This Row],[Customer Gender]] = "O", "Other",  "Unkown")))</f>
        <v>Female</v>
      </c>
    </row>
    <row r="452" spans="1:15" hidden="1"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IF(orders[[#This Row],[Customer Gender]] = "M", "Male", IF(orders[[#This Row],[Customer Gender]] = "F", "Female", IF(orders[[#This Row],[Customer Gender]] = "O", "Other",  "Unkown")))</f>
        <v>Unkown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IF(orders[[#This Row],[Customer Gender]] = "M", "Male", IF(orders[[#This Row],[Customer Gender]] = "F", "Female", IF(orders[[#This Row],[Customer Gender]] = "O", "Other",  "Unkown")))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IF(orders[[#This Row],[Customer Gender]] = "M", "Male", IF(orders[[#This Row],[Customer Gender]] = "F", "Female", IF(orders[[#This Row],[Customer Gender]] = "O", "Other",  "Unkown")))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IF(orders[[#This Row],[Customer Gender]] = "M", "Male", IF(orders[[#This Row],[Customer Gender]] = "F", "Female", IF(orders[[#This Row],[Customer Gender]] = "O", "Other",  "Unkown")))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IF(orders[[#This Row],[Customer Gender]] = "M", "Male", IF(orders[[#This Row],[Customer Gender]] = "F", "Female", IF(orders[[#This Row],[Customer Gender]] = "O", "Other",  "Unkown")))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IF(orders[[#This Row],[Customer Gender]] = "M", "Male", IF(orders[[#This Row],[Customer Gender]] = "F", "Female", IF(orders[[#This Row],[Customer Gender]] = "O", "Other",  "Unkown")))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IF(orders[[#This Row],[Customer Gender]] = "M", "Male", IF(orders[[#This Row],[Customer Gender]] = "F", "Female", IF(orders[[#This Row],[Customer Gender]] = "O", "Other",  "Unkown")))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IF(orders[[#This Row],[Customer Gender]] = "M", "Male", IF(orders[[#This Row],[Customer Gender]] = "F", "Female", IF(orders[[#This Row],[Customer Gender]] = "O", "Other",  "Unkown")))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IF(orders[[#This Row],[Customer Gender]] = "M", "Male", IF(orders[[#This Row],[Customer Gender]] = "F", "Female", IF(orders[[#This Row],[Customer Gender]] = "O", "Other",  "Unkown")))</f>
        <v>Female</v>
      </c>
    </row>
    <row r="461" spans="1:15" hidden="1"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IF(orders[[#This Row],[Customer Gender]] = "M", "Male", IF(orders[[#This Row],[Customer Gender]] = "F", "Female", IF(orders[[#This Row],[Customer Gender]] = "O", "Other",  "Unkown")))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IF(orders[[#This Row],[Customer Gender]] = "M", "Male", IF(orders[[#This Row],[Customer Gender]] = "F", "Female", IF(orders[[#This Row],[Customer Gender]] = "O", "Other",  "Unkown")))</f>
        <v>Female</v>
      </c>
    </row>
    <row r="463" spans="1:15" hidden="1"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IF(orders[[#This Row],[Customer Gender]] = "M", "Male", IF(orders[[#This Row],[Customer Gender]] = "F", "Female", IF(orders[[#This Row],[Customer Gender]] = "O", "Other",  "Unkown")))</f>
        <v>Male</v>
      </c>
    </row>
    <row r="464" spans="1:15" hidden="1"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IF(orders[[#This Row],[Customer Gender]] = "M", "Male", IF(orders[[#This Row],[Customer Gender]] = "F", "Female", IF(orders[[#This Row],[Customer Gender]] = "O", "Other",  "Unkown")))</f>
        <v>Male</v>
      </c>
    </row>
    <row r="465" spans="1:15" hidden="1"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IF(orders[[#This Row],[Customer Gender]] = "M", "Male", IF(orders[[#This Row],[Customer Gender]] = "F", "Female", IF(orders[[#This Row],[Customer Gender]] = "O", "Other",  "Unkown")))</f>
        <v>Male</v>
      </c>
    </row>
    <row r="466" spans="1:15" hidden="1"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IF(orders[[#This Row],[Customer Gender]] = "M", "Male", IF(orders[[#This Row],[Customer Gender]] = "F", "Female", IF(orders[[#This Row],[Customer Gender]] = "O", "Other",  "Unkown")))</f>
        <v>Unkown</v>
      </c>
    </row>
    <row r="467" spans="1:15" hidden="1"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IF(orders[[#This Row],[Customer Gender]] = "M", "Male", IF(orders[[#This Row],[Customer Gender]] = "F", "Female", IF(orders[[#This Row],[Customer Gender]] = "O", "Other",  "Unkown")))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IF(orders[[#This Row],[Customer Gender]] = "M", "Male", IF(orders[[#This Row],[Customer Gender]] = "F", "Female", IF(orders[[#This Row],[Customer Gender]] = "O", "Other",  "Unkown")))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IF(orders[[#This Row],[Customer Gender]] = "M", "Male", IF(orders[[#This Row],[Customer Gender]] = "F", "Female", IF(orders[[#This Row],[Customer Gender]] = "O", "Other",  "Unkown")))</f>
        <v>Female</v>
      </c>
    </row>
    <row r="470" spans="1:15" hidden="1"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IF(orders[[#This Row],[Customer Gender]] = "M", "Male", IF(orders[[#This Row],[Customer Gender]] = "F", "Female", IF(orders[[#This Row],[Customer Gender]] = "O", "Other",  "Unkown")))</f>
        <v>Male</v>
      </c>
    </row>
    <row r="471" spans="1:15" hidden="1"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IF(orders[[#This Row],[Customer Gender]] = "M", "Male", IF(orders[[#This Row],[Customer Gender]] = "F", "Female", IF(orders[[#This Row],[Customer Gender]] = "O", "Other",  "Unkown")))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IF(orders[[#This Row],[Customer Gender]] = "M", "Male", IF(orders[[#This Row],[Customer Gender]] = "F", "Female", IF(orders[[#This Row],[Customer Gender]] = "O", "Other",  "Unkown")))</f>
        <v>Female</v>
      </c>
    </row>
    <row r="473" spans="1:15" hidden="1"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IF(orders[[#This Row],[Customer Gender]] = "M", "Male", IF(orders[[#This Row],[Customer Gender]] = "F", "Female", IF(orders[[#This Row],[Customer Gender]] = "O", "Other",  "Unkown")))</f>
        <v>Other</v>
      </c>
    </row>
    <row r="474" spans="1:15" hidden="1"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IF(orders[[#This Row],[Customer Gender]] = "M", "Male", IF(orders[[#This Row],[Customer Gender]] = "F", "Female", IF(orders[[#This Row],[Customer Gender]] = "O", "Other",  "Unkown")))</f>
        <v>Male</v>
      </c>
    </row>
    <row r="475" spans="1:15" hidden="1"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IF(orders[[#This Row],[Customer Gender]] = "M", "Male", IF(orders[[#This Row],[Customer Gender]] = "F", "Female", IF(orders[[#This Row],[Customer Gender]] = "O", "Other",  "Unkown")))</f>
        <v>Unkown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IF(orders[[#This Row],[Customer Gender]] = "M", "Male", IF(orders[[#This Row],[Customer Gender]] = "F", "Female", IF(orders[[#This Row],[Customer Gender]] = "O", "Other",  "Unkown")))</f>
        <v>Female</v>
      </c>
    </row>
    <row r="477" spans="1:15" hidden="1"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IF(orders[[#This Row],[Customer Gender]] = "M", "Male", IF(orders[[#This Row],[Customer Gender]] = "F", "Female", IF(orders[[#This Row],[Customer Gender]] = "O", "Other",  "Unkown")))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IF(orders[[#This Row],[Customer Gender]] = "M", "Male", IF(orders[[#This Row],[Customer Gender]] = "F", "Female", IF(orders[[#This Row],[Customer Gender]] = "O", "Other",  "Unkown")))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IF(orders[[#This Row],[Customer Gender]] = "M", "Male", IF(orders[[#This Row],[Customer Gender]] = "F", "Female", IF(orders[[#This Row],[Customer Gender]] = "O", "Other",  "Unkown")))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IF(orders[[#This Row],[Customer Gender]] = "M", "Male", IF(orders[[#This Row],[Customer Gender]] = "F", "Female", IF(orders[[#This Row],[Customer Gender]] = "O", "Other",  "Unkown")))</f>
        <v>Female</v>
      </c>
    </row>
    <row r="481" spans="1:15" hidden="1"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IF(orders[[#This Row],[Customer Gender]] = "M", "Male", IF(orders[[#This Row],[Customer Gender]] = "F", "Female", IF(orders[[#This Row],[Customer Gender]] = "O", "Other",  "Unkown")))</f>
        <v>Male</v>
      </c>
    </row>
    <row r="482" spans="1:15" hidden="1"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IF(orders[[#This Row],[Customer Gender]] = "M", "Male", IF(orders[[#This Row],[Customer Gender]] = "F", "Female", IF(orders[[#This Row],[Customer Gender]] = "O", "Other",  "Unkown")))</f>
        <v>Male</v>
      </c>
    </row>
    <row r="483" spans="1:15" hidden="1"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IF(orders[[#This Row],[Customer Gender]] = "M", "Male", IF(orders[[#This Row],[Customer Gender]] = "F", "Female", IF(orders[[#This Row],[Customer Gender]] = "O", "Other",  "Unkown")))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IF(orders[[#This Row],[Customer Gender]] = "M", "Male", IF(orders[[#This Row],[Customer Gender]] = "F", "Female", IF(orders[[#This Row],[Customer Gender]] = "O", "Other",  "Unkown")))</f>
        <v>Female</v>
      </c>
    </row>
    <row r="485" spans="1:15" hidden="1"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IF(orders[[#This Row],[Customer Gender]] = "M", "Male", IF(orders[[#This Row],[Customer Gender]] = "F", "Female", IF(orders[[#This Row],[Customer Gender]] = "O", "Other",  "Unkown")))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IF(orders[[#This Row],[Customer Gender]] = "M", "Male", IF(orders[[#This Row],[Customer Gender]] = "F", "Female", IF(orders[[#This Row],[Customer Gender]] = "O", "Other",  "Unkown")))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IF(orders[[#This Row],[Customer Gender]] = "M", "Male", IF(orders[[#This Row],[Customer Gender]] = "F", "Female", IF(orders[[#This Row],[Customer Gender]] = "O", "Other",  "Unkown")))</f>
        <v>Female</v>
      </c>
    </row>
    <row r="488" spans="1:15" hidden="1"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IF(orders[[#This Row],[Customer Gender]] = "M", "Male", IF(orders[[#This Row],[Customer Gender]] = "F", "Female", IF(orders[[#This Row],[Customer Gender]] = "O", "Other",  "Unkown")))</f>
        <v>Male</v>
      </c>
    </row>
    <row r="489" spans="1:15" hidden="1"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IF(orders[[#This Row],[Customer Gender]] = "M", "Male", IF(orders[[#This Row],[Customer Gender]] = "F", "Female", IF(orders[[#This Row],[Customer Gender]] = "O", "Other",  "Unkown")))</f>
        <v>Male</v>
      </c>
    </row>
    <row r="490" spans="1:15" hidden="1"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IF(orders[[#This Row],[Customer Gender]] = "M", "Male", IF(orders[[#This Row],[Customer Gender]] = "F", "Female", IF(orders[[#This Row],[Customer Gender]] = "O", "Other",  "Unkown")))</f>
        <v>Unkown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IF(orders[[#This Row],[Customer Gender]] = "M", "Male", IF(orders[[#This Row],[Customer Gender]] = "F", "Female", IF(orders[[#This Row],[Customer Gender]] = "O", "Other",  "Unkown")))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IF(orders[[#This Row],[Customer Gender]] = "M", "Male", IF(orders[[#This Row],[Customer Gender]] = "F", "Female", IF(orders[[#This Row],[Customer Gender]] = "O", "Other",  "Unkown")))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IF(orders[[#This Row],[Customer Gender]] = "M", "Male", IF(orders[[#This Row],[Customer Gender]] = "F", "Female", IF(orders[[#This Row],[Customer Gender]] = "O", "Other",  "Unkown")))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IF(orders[[#This Row],[Customer Gender]] = "M", "Male", IF(orders[[#This Row],[Customer Gender]] = "F", "Female", IF(orders[[#This Row],[Customer Gender]] = "O", "Other",  "Unkown")))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IF(orders[[#This Row],[Customer Gender]] = "M", "Male", IF(orders[[#This Row],[Customer Gender]] = "F", "Female", IF(orders[[#This Row],[Customer Gender]] = "O", "Other",  "Unkown")))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IF(orders[[#This Row],[Customer Gender]] = "M", "Male", IF(orders[[#This Row],[Customer Gender]] = "F", "Female", IF(orders[[#This Row],[Customer Gender]] = "O", "Other",  "Unkown")))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IF(orders[[#This Row],[Customer Gender]] = "M", "Male", IF(orders[[#This Row],[Customer Gender]] = "F", "Female", IF(orders[[#This Row],[Customer Gender]] = "O", "Other",  "Unkown")))</f>
        <v>Female</v>
      </c>
    </row>
    <row r="498" spans="1:15" hidden="1"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IF(orders[[#This Row],[Customer Gender]] = "M", "Male", IF(orders[[#This Row],[Customer Gender]] = "F", "Female", IF(orders[[#This Row],[Customer Gender]] = "O", "Other",  "Unkown")))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IF(orders[[#This Row],[Customer Gender]] = "M", "Male", IF(orders[[#This Row],[Customer Gender]] = "F", "Female", IF(orders[[#This Row],[Customer Gender]] = "O", "Other",  "Unkown")))</f>
        <v>Female</v>
      </c>
    </row>
    <row r="500" spans="1:15" hidden="1"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IF(orders[[#This Row],[Customer Gender]] = "M", "Male", IF(orders[[#This Row],[Customer Gender]] = "F", "Female", IF(orders[[#This Row],[Customer Gender]] = "O", "Other",  "Unkown")))</f>
        <v>Male</v>
      </c>
    </row>
    <row r="501" spans="1:15" hidden="1"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IF(orders[[#This Row],[Customer Gender]] = "M", "Male", IF(orders[[#This Row],[Customer Gender]] = "F", "Female", IF(orders[[#This Row],[Customer Gender]] = "O", "Other",  "Unkown")))</f>
        <v>Other</v>
      </c>
    </row>
    <row r="502" spans="1:15" hidden="1"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IF(orders[[#This Row],[Customer Gender]] = "M", "Male", IF(orders[[#This Row],[Customer Gender]] = "F", "Female", IF(orders[[#This Row],[Customer Gender]] = "O", "Other",  "Unkown")))</f>
        <v>Unkown</v>
      </c>
    </row>
    <row r="503" spans="1:15" hidden="1"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IF(orders[[#This Row],[Customer Gender]] = "M", "Male", IF(orders[[#This Row],[Customer Gender]] = "F", "Female", IF(orders[[#This Row],[Customer Gender]] = "O", "Other",  "Unkown")))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IF(orders[[#This Row],[Customer Gender]] = "M", "Male", IF(orders[[#This Row],[Customer Gender]] = "F", "Female", IF(orders[[#This Row],[Customer Gender]] = "O", "Other",  "Unkown")))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IF(orders[[#This Row],[Customer Gender]] = "M", "Male", IF(orders[[#This Row],[Customer Gender]] = "F", "Female", IF(orders[[#This Row],[Customer Gender]] = "O", "Other",  "Unkown")))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IF(orders[[#This Row],[Customer Gender]] = "M", "Male", IF(orders[[#This Row],[Customer Gender]] = "F", "Female", IF(orders[[#This Row],[Customer Gender]] = "O", "Other",  "Unkown")))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IF(orders[[#This Row],[Customer Gender]] = "M", "Male", IF(orders[[#This Row],[Customer Gender]] = "F", "Female", IF(orders[[#This Row],[Customer Gender]] = "O", "Other",  "Unkown")))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IF(orders[[#This Row],[Customer Gender]] = "M", "Male", IF(orders[[#This Row],[Customer Gender]] = "F", "Female", IF(orders[[#This Row],[Customer Gender]] = "O", "Other",  "Unkown")))</f>
        <v>Female</v>
      </c>
    </row>
    <row r="509" spans="1:15" hidden="1"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IF(orders[[#This Row],[Customer Gender]] = "M", "Male", IF(orders[[#This Row],[Customer Gender]] = "F", "Female", IF(orders[[#This Row],[Customer Gender]] = "O", "Other",  "Unkown")))</f>
        <v>Male</v>
      </c>
    </row>
    <row r="510" spans="1:15" hidden="1"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IF(orders[[#This Row],[Customer Gender]] = "M", "Male", IF(orders[[#This Row],[Customer Gender]] = "F", "Female", IF(orders[[#This Row],[Customer Gender]] = "O", "Other",  "Unkown")))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IF(orders[[#This Row],[Customer Gender]] = "M", "Male", IF(orders[[#This Row],[Customer Gender]] = "F", "Female", IF(orders[[#This Row],[Customer Gender]] = "O", "Other",  "Unkown")))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IF(orders[[#This Row],[Customer Gender]] = "M", "Male", IF(orders[[#This Row],[Customer Gender]] = "F", "Female", IF(orders[[#This Row],[Customer Gender]] = "O", "Other",  "Unkown")))</f>
        <v>Female</v>
      </c>
    </row>
    <row r="513" spans="1:15" hidden="1"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IF(orders[[#This Row],[Customer Gender]] = "M", "Male", IF(orders[[#This Row],[Customer Gender]] = "F", "Female", IF(orders[[#This Row],[Customer Gender]] = "O", "Other",  "Unkown")))</f>
        <v>Unkown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IF(orders[[#This Row],[Customer Gender]] = "M", "Male", IF(orders[[#This Row],[Customer Gender]] = "F", "Female", IF(orders[[#This Row],[Customer Gender]] = "O", "Other",  "Unkown")))</f>
        <v>Female</v>
      </c>
    </row>
    <row r="515" spans="1:15" hidden="1"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IF(orders[[#This Row],[Customer Gender]] = "M", "Male", IF(orders[[#This Row],[Customer Gender]] = "F", "Female", IF(orders[[#This Row],[Customer Gender]] = "O", "Other",  "Unkown")))</f>
        <v>Male</v>
      </c>
    </row>
    <row r="516" spans="1:15" hidden="1"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IF(orders[[#This Row],[Customer Gender]] = "M", "Male", IF(orders[[#This Row],[Customer Gender]] = "F", "Female", IF(orders[[#This Row],[Customer Gender]] = "O", "Other",  "Unkown")))</f>
        <v>Male</v>
      </c>
    </row>
    <row r="517" spans="1:15" hidden="1"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IF(orders[[#This Row],[Customer Gender]] = "M", "Male", IF(orders[[#This Row],[Customer Gender]] = "F", "Female", IF(orders[[#This Row],[Customer Gender]] = "O", "Other",  "Unkown")))</f>
        <v>Unkown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IF(orders[[#This Row],[Customer Gender]] = "M", "Male", IF(orders[[#This Row],[Customer Gender]] = "F", "Female", IF(orders[[#This Row],[Customer Gender]] = "O", "Other",  "Unkown")))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IF(orders[[#This Row],[Customer Gender]] = "M", "Male", IF(orders[[#This Row],[Customer Gender]] = "F", "Female", IF(orders[[#This Row],[Customer Gender]] = "O", "Other",  "Unkown")))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IF(orders[[#This Row],[Customer Gender]] = "M", "Male", IF(orders[[#This Row],[Customer Gender]] = "F", "Female", IF(orders[[#This Row],[Customer Gender]] = "O", "Other",  "Unkown")))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IF(orders[[#This Row],[Customer Gender]] = "M", "Male", IF(orders[[#This Row],[Customer Gender]] = "F", "Female", IF(orders[[#This Row],[Customer Gender]] = "O", "Other",  "Unkown")))</f>
        <v>Female</v>
      </c>
    </row>
    <row r="522" spans="1:15" hidden="1"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IF(orders[[#This Row],[Customer Gender]] = "M", "Male", IF(orders[[#This Row],[Customer Gender]] = "F", "Female", IF(orders[[#This Row],[Customer Gender]] = "O", "Other",  "Unkown")))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IF(orders[[#This Row],[Customer Gender]] = "M", "Male", IF(orders[[#This Row],[Customer Gender]] = "F", "Female", IF(orders[[#This Row],[Customer Gender]] = "O", "Other",  "Unkown")))</f>
        <v>Female</v>
      </c>
    </row>
    <row r="524" spans="1:15" hidden="1"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IF(orders[[#This Row],[Customer Gender]] = "M", "Male", IF(orders[[#This Row],[Customer Gender]] = "F", "Female", IF(orders[[#This Row],[Customer Gender]] = "O", "Other",  "Unkown")))</f>
        <v>Unkown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IF(orders[[#This Row],[Customer Gender]] = "M", "Male", IF(orders[[#This Row],[Customer Gender]] = "F", "Female", IF(orders[[#This Row],[Customer Gender]] = "O", "Other",  "Unkown")))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IF(orders[[#This Row],[Customer Gender]] = "M", "Male", IF(orders[[#This Row],[Customer Gender]] = "F", "Female", IF(orders[[#This Row],[Customer Gender]] = "O", "Other",  "Unkown")))</f>
        <v>Female</v>
      </c>
    </row>
    <row r="527" spans="1:15" hidden="1"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IF(orders[[#This Row],[Customer Gender]] = "M", "Male", IF(orders[[#This Row],[Customer Gender]] = "F", "Female", IF(orders[[#This Row],[Customer Gender]] = "O", "Other",  "Unkown")))</f>
        <v>Male</v>
      </c>
    </row>
    <row r="528" spans="1:15" hidden="1"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IF(orders[[#This Row],[Customer Gender]] = "M", "Male", IF(orders[[#This Row],[Customer Gender]] = "F", "Female", IF(orders[[#This Row],[Customer Gender]] = "O", "Other",  "Unkown")))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IF(orders[[#This Row],[Customer Gender]] = "M", "Male", IF(orders[[#This Row],[Customer Gender]] = "F", "Female", IF(orders[[#This Row],[Customer Gender]] = "O", "Other",  "Unkown")))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IF(orders[[#This Row],[Customer Gender]] = "M", "Male", IF(orders[[#This Row],[Customer Gender]] = "F", "Female", IF(orders[[#This Row],[Customer Gender]] = "O", "Other",  "Unkown")))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IF(orders[[#This Row],[Customer Gender]] = "M", "Male", IF(orders[[#This Row],[Customer Gender]] = "F", "Female", IF(orders[[#This Row],[Customer Gender]] = "O", "Other",  "Unkown")))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IF(orders[[#This Row],[Customer Gender]] = "M", "Male", IF(orders[[#This Row],[Customer Gender]] = "F", "Female", IF(orders[[#This Row],[Customer Gender]] = "O", "Other",  "Unkown")))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IF(orders[[#This Row],[Customer Gender]] = "M", "Male", IF(orders[[#This Row],[Customer Gender]] = "F", "Female", IF(orders[[#This Row],[Customer Gender]] = "O", "Other",  "Unkown")))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IF(orders[[#This Row],[Customer Gender]] = "M", "Male", IF(orders[[#This Row],[Customer Gender]] = "F", "Female", IF(orders[[#This Row],[Customer Gender]] = "O", "Other",  "Unkown")))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IF(orders[[#This Row],[Customer Gender]] = "M", "Male", IF(orders[[#This Row],[Customer Gender]] = "F", "Female", IF(orders[[#This Row],[Customer Gender]] = "O", "Other",  "Unkown")))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IF(orders[[#This Row],[Customer Gender]] = "M", "Male", IF(orders[[#This Row],[Customer Gender]] = "F", "Female", IF(orders[[#This Row],[Customer Gender]] = "O", "Other",  "Unkown")))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IF(orders[[#This Row],[Customer Gender]] = "M", "Male", IF(orders[[#This Row],[Customer Gender]] = "F", "Female", IF(orders[[#This Row],[Customer Gender]] = "O", "Other",  "Unkown")))</f>
        <v>Female</v>
      </c>
    </row>
    <row r="538" spans="1:15" hidden="1"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IF(orders[[#This Row],[Customer Gender]] = "M", "Male", IF(orders[[#This Row],[Customer Gender]] = "F", "Female", IF(orders[[#This Row],[Customer Gender]] = "O", "Other",  "Unkown")))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IF(orders[[#This Row],[Customer Gender]] = "M", "Male", IF(orders[[#This Row],[Customer Gender]] = "F", "Female", IF(orders[[#This Row],[Customer Gender]] = "O", "Other",  "Unkown")))</f>
        <v>Female</v>
      </c>
    </row>
    <row r="540" spans="1:15" hidden="1"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IF(orders[[#This Row],[Customer Gender]] = "M", "Male", IF(orders[[#This Row],[Customer Gender]] = "F", "Female", IF(orders[[#This Row],[Customer Gender]] = "O", "Other",  "Unkown")))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IF(orders[[#This Row],[Customer Gender]] = "M", "Male", IF(orders[[#This Row],[Customer Gender]] = "F", "Female", IF(orders[[#This Row],[Customer Gender]] = "O", "Other",  "Unkown")))</f>
        <v>Female</v>
      </c>
    </row>
    <row r="542" spans="1:15" hidden="1"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IF(orders[[#This Row],[Customer Gender]] = "M", "Male", IF(orders[[#This Row],[Customer Gender]] = "F", "Female", IF(orders[[#This Row],[Customer Gender]] = "O", "Other",  "Unkown")))</f>
        <v>Male</v>
      </c>
    </row>
    <row r="543" spans="1:15" hidden="1"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IF(orders[[#This Row],[Customer Gender]] = "M", "Male", IF(orders[[#This Row],[Customer Gender]] = "F", "Female", IF(orders[[#This Row],[Customer Gender]] = "O", "Other",  "Unkown")))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IF(orders[[#This Row],[Customer Gender]] = "M", "Male", IF(orders[[#This Row],[Customer Gender]] = "F", "Female", IF(orders[[#This Row],[Customer Gender]] = "O", "Other",  "Unkown")))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IF(orders[[#This Row],[Customer Gender]] = "M", "Male", IF(orders[[#This Row],[Customer Gender]] = "F", "Female", IF(orders[[#This Row],[Customer Gender]] = "O", "Other",  "Unkown")))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IF(orders[[#This Row],[Customer Gender]] = "M", "Male", IF(orders[[#This Row],[Customer Gender]] = "F", "Female", IF(orders[[#This Row],[Customer Gender]] = "O", "Other",  "Unkown")))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IF(orders[[#This Row],[Customer Gender]] = "M", "Male", IF(orders[[#This Row],[Customer Gender]] = "F", "Female", IF(orders[[#This Row],[Customer Gender]] = "O", "Other",  "Unkown")))</f>
        <v>Female</v>
      </c>
    </row>
    <row r="548" spans="1:15" hidden="1"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IF(orders[[#This Row],[Customer Gender]] = "M", "Male", IF(orders[[#This Row],[Customer Gender]] = "F", "Female", IF(orders[[#This Row],[Customer Gender]] = "O", "Other",  "Unkown")))</f>
        <v>Unkown</v>
      </c>
    </row>
    <row r="549" spans="1:15" hidden="1"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IF(orders[[#This Row],[Customer Gender]] = "M", "Male", IF(orders[[#This Row],[Customer Gender]] = "F", "Female", IF(orders[[#This Row],[Customer Gender]] = "O", "Other",  "Unkown")))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IF(orders[[#This Row],[Customer Gender]] = "M", "Male", IF(orders[[#This Row],[Customer Gender]] = "F", "Female", IF(orders[[#This Row],[Customer Gender]] = "O", "Other",  "Unkown")))</f>
        <v>Female</v>
      </c>
    </row>
    <row r="551" spans="1:15" hidden="1"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IF(orders[[#This Row],[Customer Gender]] = "M", "Male", IF(orders[[#This Row],[Customer Gender]] = "F", "Female", IF(orders[[#This Row],[Customer Gender]] = "O", "Other",  "Unkown")))</f>
        <v>Other</v>
      </c>
    </row>
    <row r="552" spans="1:15" hidden="1"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IF(orders[[#This Row],[Customer Gender]] = "M", "Male", IF(orders[[#This Row],[Customer Gender]] = "F", "Female", IF(orders[[#This Row],[Customer Gender]] = "O", "Other",  "Unkown")))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IF(orders[[#This Row],[Customer Gender]] = "M", "Male", IF(orders[[#This Row],[Customer Gender]] = "F", "Female", IF(orders[[#This Row],[Customer Gender]] = "O", "Other",  "Unkown")))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IF(orders[[#This Row],[Customer Gender]] = "M", "Male", IF(orders[[#This Row],[Customer Gender]] = "F", "Female", IF(orders[[#This Row],[Customer Gender]] = "O", "Other",  "Unkown")))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IF(orders[[#This Row],[Customer Gender]] = "M", "Male", IF(orders[[#This Row],[Customer Gender]] = "F", "Female", IF(orders[[#This Row],[Customer Gender]] = "O", "Other",  "Unkown")))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IF(orders[[#This Row],[Customer Gender]] = "M", "Male", IF(orders[[#This Row],[Customer Gender]] = "F", "Female", IF(orders[[#This Row],[Customer Gender]] = "O", "Other",  "Unkown")))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IF(orders[[#This Row],[Customer Gender]] = "M", "Male", IF(orders[[#This Row],[Customer Gender]] = "F", "Female", IF(orders[[#This Row],[Customer Gender]] = "O", "Other",  "Unkown")))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IF(orders[[#This Row],[Customer Gender]] = "M", "Male", IF(orders[[#This Row],[Customer Gender]] = "F", "Female", IF(orders[[#This Row],[Customer Gender]] = "O", "Other",  "Unkown")))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IF(orders[[#This Row],[Customer Gender]] = "M", "Male", IF(orders[[#This Row],[Customer Gender]] = "F", "Female", IF(orders[[#This Row],[Customer Gender]] = "O", "Other",  "Unkown")))</f>
        <v>Female</v>
      </c>
    </row>
    <row r="560" spans="1:15" hidden="1"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IF(orders[[#This Row],[Customer Gender]] = "M", "Male", IF(orders[[#This Row],[Customer Gender]] = "F", "Female", IF(orders[[#This Row],[Customer Gender]] = "O", "Other",  "Unkown")))</f>
        <v>Male</v>
      </c>
    </row>
    <row r="561" spans="1:15" hidden="1"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IF(orders[[#This Row],[Customer Gender]] = "M", "Male", IF(orders[[#This Row],[Customer Gender]] = "F", "Female", IF(orders[[#This Row],[Customer Gender]] = "O", "Other",  "Unkown")))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IF(orders[[#This Row],[Customer Gender]] = "M", "Male", IF(orders[[#This Row],[Customer Gender]] = "F", "Female", IF(orders[[#This Row],[Customer Gender]] = "O", "Other",  "Unkown")))</f>
        <v>Female</v>
      </c>
    </row>
    <row r="563" spans="1:15" hidden="1"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IF(orders[[#This Row],[Customer Gender]] = "M", "Male", IF(orders[[#This Row],[Customer Gender]] = "F", "Female", IF(orders[[#This Row],[Customer Gender]] = "O", "Other",  "Unkown")))</f>
        <v>Male</v>
      </c>
    </row>
    <row r="564" spans="1:15" hidden="1"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IF(orders[[#This Row],[Customer Gender]] = "M", "Male", IF(orders[[#This Row],[Customer Gender]] = "F", "Female", IF(orders[[#This Row],[Customer Gender]] = "O", "Other",  "Unkown")))</f>
        <v>Male</v>
      </c>
    </row>
    <row r="565" spans="1:15" hidden="1"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IF(orders[[#This Row],[Customer Gender]] = "M", "Male", IF(orders[[#This Row],[Customer Gender]] = "F", "Female", IF(orders[[#This Row],[Customer Gender]] = "O", "Other",  "Unkown")))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IF(orders[[#This Row],[Customer Gender]] = "M", "Male", IF(orders[[#This Row],[Customer Gender]] = "F", "Female", IF(orders[[#This Row],[Customer Gender]] = "O", "Other",  "Unkown")))</f>
        <v>Female</v>
      </c>
    </row>
    <row r="567" spans="1:15" hidden="1"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IF(orders[[#This Row],[Customer Gender]] = "M", "Male", IF(orders[[#This Row],[Customer Gender]] = "F", "Female", IF(orders[[#This Row],[Customer Gender]] = "O", "Other",  "Unkown")))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IF(orders[[#This Row],[Customer Gender]] = "M", "Male", IF(orders[[#This Row],[Customer Gender]] = "F", "Female", IF(orders[[#This Row],[Customer Gender]] = "O", "Other",  "Unkown")))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IF(orders[[#This Row],[Customer Gender]] = "M", "Male", IF(orders[[#This Row],[Customer Gender]] = "F", "Female", IF(orders[[#This Row],[Customer Gender]] = "O", "Other",  "Unkown")))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IF(orders[[#This Row],[Customer Gender]] = "M", "Male", IF(orders[[#This Row],[Customer Gender]] = "F", "Female", IF(orders[[#This Row],[Customer Gender]] = "O", "Other",  "Unkown")))</f>
        <v>Female</v>
      </c>
    </row>
    <row r="571" spans="1:15" hidden="1"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IF(orders[[#This Row],[Customer Gender]] = "M", "Male", IF(orders[[#This Row],[Customer Gender]] = "F", "Female", IF(orders[[#This Row],[Customer Gender]] = "O", "Other",  "Unkown")))</f>
        <v>Male</v>
      </c>
    </row>
    <row r="572" spans="1:15" hidden="1"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IF(orders[[#This Row],[Customer Gender]] = "M", "Male", IF(orders[[#This Row],[Customer Gender]] = "F", "Female", IF(orders[[#This Row],[Customer Gender]] = "O", "Other",  "Unkown")))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IF(orders[[#This Row],[Customer Gender]] = "M", "Male", IF(orders[[#This Row],[Customer Gender]] = "F", "Female", IF(orders[[#This Row],[Customer Gender]] = "O", "Other",  "Unkown")))</f>
        <v>Female</v>
      </c>
    </row>
    <row r="574" spans="1:15" hidden="1"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IF(orders[[#This Row],[Customer Gender]] = "M", "Male", IF(orders[[#This Row],[Customer Gender]] = "F", "Female", IF(orders[[#This Row],[Customer Gender]] = "O", "Other",  "Unkown")))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IF(orders[[#This Row],[Customer Gender]] = "M", "Male", IF(orders[[#This Row],[Customer Gender]] = "F", "Female", IF(orders[[#This Row],[Customer Gender]] = "O", "Other",  "Unkown")))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IF(orders[[#This Row],[Customer Gender]] = "M", "Male", IF(orders[[#This Row],[Customer Gender]] = "F", "Female", IF(orders[[#This Row],[Customer Gender]] = "O", "Other",  "Unkown")))</f>
        <v>Female</v>
      </c>
    </row>
    <row r="577" spans="1:15" hidden="1"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IF(orders[[#This Row],[Customer Gender]] = "M", "Male", IF(orders[[#This Row],[Customer Gender]] = "F", "Female", IF(orders[[#This Row],[Customer Gender]] = "O", "Other",  "Unkown")))</f>
        <v>Male</v>
      </c>
    </row>
    <row r="578" spans="1:15" hidden="1"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IF(orders[[#This Row],[Customer Gender]] = "M", "Male", IF(orders[[#This Row],[Customer Gender]] = "F", "Female", IF(orders[[#This Row],[Customer Gender]] = "O", "Other",  "Unkown")))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IF(orders[[#This Row],[Customer Gender]] = "M", "Male", IF(orders[[#This Row],[Customer Gender]] = "F", "Female", IF(orders[[#This Row],[Customer Gender]] = "O", "Other",  "Unkown")))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IF(orders[[#This Row],[Customer Gender]] = "M", "Male", IF(orders[[#This Row],[Customer Gender]] = "F", "Female", IF(orders[[#This Row],[Customer Gender]] = "O", "Other",  "Unkown")))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IF(orders[[#This Row],[Customer Gender]] = "M", "Male", IF(orders[[#This Row],[Customer Gender]] = "F", "Female", IF(orders[[#This Row],[Customer Gender]] = "O", "Other",  "Unkown")))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IF(orders[[#This Row],[Customer Gender]] = "M", "Male", IF(orders[[#This Row],[Customer Gender]] = "F", "Female", IF(orders[[#This Row],[Customer Gender]] = "O", "Other",  "Unkown")))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IF(orders[[#This Row],[Customer Gender]] = "M", "Male", IF(orders[[#This Row],[Customer Gender]] = "F", "Female", IF(orders[[#This Row],[Customer Gender]] = "O", "Other",  "Unkown")))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IF(orders[[#This Row],[Customer Gender]] = "M", "Male", IF(orders[[#This Row],[Customer Gender]] = "F", "Female", IF(orders[[#This Row],[Customer Gender]] = "O", "Other",  "Unkown")))</f>
        <v>Female</v>
      </c>
    </row>
    <row r="585" spans="1:15" hidden="1"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IF(orders[[#This Row],[Customer Gender]] = "M", "Male", IF(orders[[#This Row],[Customer Gender]] = "F", "Female", IF(orders[[#This Row],[Customer Gender]] = "O", "Other",  "Unkown")))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IF(orders[[#This Row],[Customer Gender]] = "M", "Male", IF(orders[[#This Row],[Customer Gender]] = "F", "Female", IF(orders[[#This Row],[Customer Gender]] = "O", "Other",  "Unkown")))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IF(orders[[#This Row],[Customer Gender]] = "M", "Male", IF(orders[[#This Row],[Customer Gender]] = "F", "Female", IF(orders[[#This Row],[Customer Gender]] = "O", "Other",  "Unkown")))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IF(orders[[#This Row],[Customer Gender]] = "M", "Male", IF(orders[[#This Row],[Customer Gender]] = "F", "Female", IF(orders[[#This Row],[Customer Gender]] = "O", "Other",  "Unkown")))</f>
        <v>Female</v>
      </c>
    </row>
    <row r="589" spans="1:15" hidden="1"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IF(orders[[#This Row],[Customer Gender]] = "M", "Male", IF(orders[[#This Row],[Customer Gender]] = "F", "Female", IF(orders[[#This Row],[Customer Gender]] = "O", "Other",  "Unkown")))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IF(orders[[#This Row],[Customer Gender]] = "M", "Male", IF(orders[[#This Row],[Customer Gender]] = "F", "Female", IF(orders[[#This Row],[Customer Gender]] = "O", "Other",  "Unkown")))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IF(orders[[#This Row],[Customer Gender]] = "M", "Male", IF(orders[[#This Row],[Customer Gender]] = "F", "Female", IF(orders[[#This Row],[Customer Gender]] = "O", "Other",  "Unkown")))</f>
        <v>Female</v>
      </c>
    </row>
    <row r="592" spans="1:15" hidden="1"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IF(orders[[#This Row],[Customer Gender]] = "M", "Male", IF(orders[[#This Row],[Customer Gender]] = "F", "Female", IF(orders[[#This Row],[Customer Gender]] = "O", "Other",  "Unkown")))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IF(orders[[#This Row],[Customer Gender]] = "M", "Male", IF(orders[[#This Row],[Customer Gender]] = "F", "Female", IF(orders[[#This Row],[Customer Gender]] = "O", "Other",  "Unkown")))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IF(orders[[#This Row],[Customer Gender]] = "M", "Male", IF(orders[[#This Row],[Customer Gender]] = "F", "Female", IF(orders[[#This Row],[Customer Gender]] = "O", "Other",  "Unkown")))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IF(orders[[#This Row],[Customer Gender]] = "M", "Male", IF(orders[[#This Row],[Customer Gender]] = "F", "Female", IF(orders[[#This Row],[Customer Gender]] = "O", "Other",  "Unkown")))</f>
        <v>Female</v>
      </c>
    </row>
    <row r="596" spans="1:15" hidden="1"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IF(orders[[#This Row],[Customer Gender]] = "M", "Male", IF(orders[[#This Row],[Customer Gender]] = "F", "Female", IF(orders[[#This Row],[Customer Gender]] = "O", "Other",  "Unkown")))</f>
        <v>Male</v>
      </c>
    </row>
    <row r="597" spans="1:15" hidden="1"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IF(orders[[#This Row],[Customer Gender]] = "M", "Male", IF(orders[[#This Row],[Customer Gender]] = "F", "Female", IF(orders[[#This Row],[Customer Gender]] = "O", "Other",  "Unkown")))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IF(orders[[#This Row],[Customer Gender]] = "M", "Male", IF(orders[[#This Row],[Customer Gender]] = "F", "Female", IF(orders[[#This Row],[Customer Gender]] = "O", "Other",  "Unkown")))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IF(orders[[#This Row],[Customer Gender]] = "M", "Male", IF(orders[[#This Row],[Customer Gender]] = "F", "Female", IF(orders[[#This Row],[Customer Gender]] = "O", "Other",  "Unkown")))</f>
        <v>Female</v>
      </c>
    </row>
    <row r="600" spans="1:15" hidden="1"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IF(orders[[#This Row],[Customer Gender]] = "M", "Male", IF(orders[[#This Row],[Customer Gender]] = "F", "Female", IF(orders[[#This Row],[Customer Gender]] = "O", "Other",  "Unkown")))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IF(orders[[#This Row],[Customer Gender]] = "M", "Male", IF(orders[[#This Row],[Customer Gender]] = "F", "Female", IF(orders[[#This Row],[Customer Gender]] = "O", "Other",  "Unkown")))</f>
        <v>Female</v>
      </c>
    </row>
    <row r="602" spans="1:15" hidden="1"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IF(orders[[#This Row],[Customer Gender]] = "M", "Male", IF(orders[[#This Row],[Customer Gender]] = "F", "Female", IF(orders[[#This Row],[Customer Gender]] = "O", "Other",  "Unkown")))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IF(orders[[#This Row],[Customer Gender]] = "M", "Male", IF(orders[[#This Row],[Customer Gender]] = "F", "Female", IF(orders[[#This Row],[Customer Gender]] = "O", "Other",  "Unkown")))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IF(orders[[#This Row],[Customer Gender]] = "M", "Male", IF(orders[[#This Row],[Customer Gender]] = "F", "Female", IF(orders[[#This Row],[Customer Gender]] = "O", "Other",  "Unkown")))</f>
        <v>Female</v>
      </c>
    </row>
    <row r="605" spans="1:15" hidden="1"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IF(orders[[#This Row],[Customer Gender]] = "M", "Male", IF(orders[[#This Row],[Customer Gender]] = "F", "Female", IF(orders[[#This Row],[Customer Gender]] = "O", "Other",  "Unkown")))</f>
        <v>Male</v>
      </c>
    </row>
    <row r="606" spans="1:15" hidden="1"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IF(orders[[#This Row],[Customer Gender]] = "M", "Male", IF(orders[[#This Row],[Customer Gender]] = "F", "Female", IF(orders[[#This Row],[Customer Gender]] = "O", "Other",  "Unkown")))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IF(orders[[#This Row],[Customer Gender]] = "M", "Male", IF(orders[[#This Row],[Customer Gender]] = "F", "Female", IF(orders[[#This Row],[Customer Gender]] = "O", "Other",  "Unkown")))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IF(orders[[#This Row],[Customer Gender]] = "M", "Male", IF(orders[[#This Row],[Customer Gender]] = "F", "Female", IF(orders[[#This Row],[Customer Gender]] = "O", "Other",  "Unkown")))</f>
        <v>Female</v>
      </c>
    </row>
    <row r="609" spans="1:15" hidden="1"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IF(orders[[#This Row],[Customer Gender]] = "M", "Male", IF(orders[[#This Row],[Customer Gender]] = "F", "Female", IF(orders[[#This Row],[Customer Gender]] = "O", "Other",  "Unkown")))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IF(orders[[#This Row],[Customer Gender]] = "M", "Male", IF(orders[[#This Row],[Customer Gender]] = "F", "Female", IF(orders[[#This Row],[Customer Gender]] = "O", "Other",  "Unkown")))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IF(orders[[#This Row],[Customer Gender]] = "M", "Male", IF(orders[[#This Row],[Customer Gender]] = "F", "Female", IF(orders[[#This Row],[Customer Gender]] = "O", "Other",  "Unkown")))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IF(orders[[#This Row],[Customer Gender]] = "M", "Male", IF(orders[[#This Row],[Customer Gender]] = "F", "Female", IF(orders[[#This Row],[Customer Gender]] = "O", "Other",  "Unkown")))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IF(orders[[#This Row],[Customer Gender]] = "M", "Male", IF(orders[[#This Row],[Customer Gender]] = "F", "Female", IF(orders[[#This Row],[Customer Gender]] = "O", "Other",  "Unkown")))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IF(orders[[#This Row],[Customer Gender]] = "M", "Male", IF(orders[[#This Row],[Customer Gender]] = "F", "Female", IF(orders[[#This Row],[Customer Gender]] = "O", "Other",  "Unkown")))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IF(orders[[#This Row],[Customer Gender]] = "M", "Male", IF(orders[[#This Row],[Customer Gender]] = "F", "Female", IF(orders[[#This Row],[Customer Gender]] = "O", "Other",  "Unkown")))</f>
        <v>Female</v>
      </c>
    </row>
    <row r="616" spans="1:15" hidden="1"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IF(orders[[#This Row],[Customer Gender]] = "M", "Male", IF(orders[[#This Row],[Customer Gender]] = "F", "Female", IF(orders[[#This Row],[Customer Gender]] = "O", "Other",  "Unkown")))</f>
        <v>Male</v>
      </c>
    </row>
    <row r="617" spans="1:15" hidden="1"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IF(orders[[#This Row],[Customer Gender]] = "M", "Male", IF(orders[[#This Row],[Customer Gender]] = "F", "Female", IF(orders[[#This Row],[Customer Gender]] = "O", "Other",  "Unkown")))</f>
        <v>Male</v>
      </c>
    </row>
    <row r="618" spans="1:15" hidden="1"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IF(orders[[#This Row],[Customer Gender]] = "M", "Male", IF(orders[[#This Row],[Customer Gender]] = "F", "Female", IF(orders[[#This Row],[Customer Gender]] = "O", "Other",  "Unkown")))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IF(orders[[#This Row],[Customer Gender]] = "M", "Male", IF(orders[[#This Row],[Customer Gender]] = "F", "Female", IF(orders[[#This Row],[Customer Gender]] = "O", "Other",  "Unkown")))</f>
        <v>Female</v>
      </c>
    </row>
    <row r="620" spans="1:15" hidden="1"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IF(orders[[#This Row],[Customer Gender]] = "M", "Male", IF(orders[[#This Row],[Customer Gender]] = "F", "Female", IF(orders[[#This Row],[Customer Gender]] = "O", "Other",  "Unkown")))</f>
        <v>Male</v>
      </c>
    </row>
    <row r="621" spans="1:15" hidden="1"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IF(orders[[#This Row],[Customer Gender]] = "M", "Male", IF(orders[[#This Row],[Customer Gender]] = "F", "Female", IF(orders[[#This Row],[Customer Gender]] = "O", "Other",  "Unkown")))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IF(orders[[#This Row],[Customer Gender]] = "M", "Male", IF(orders[[#This Row],[Customer Gender]] = "F", "Female", IF(orders[[#This Row],[Customer Gender]] = "O", "Other",  "Unkown")))</f>
        <v>Female</v>
      </c>
    </row>
    <row r="623" spans="1:15" hidden="1"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IF(orders[[#This Row],[Customer Gender]] = "M", "Male", IF(orders[[#This Row],[Customer Gender]] = "F", "Female", IF(orders[[#This Row],[Customer Gender]] = "O", "Other",  "Unkown")))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IF(orders[[#This Row],[Customer Gender]] = "M", "Male", IF(orders[[#This Row],[Customer Gender]] = "F", "Female", IF(orders[[#This Row],[Customer Gender]] = "O", "Other",  "Unkown")))</f>
        <v>Female</v>
      </c>
    </row>
    <row r="625" spans="1:15" hidden="1"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IF(orders[[#This Row],[Customer Gender]] = "M", "Male", IF(orders[[#This Row],[Customer Gender]] = "F", "Female", IF(orders[[#This Row],[Customer Gender]] = "O", "Other",  "Unkown")))</f>
        <v>Unkown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IF(orders[[#This Row],[Customer Gender]] = "M", "Male", IF(orders[[#This Row],[Customer Gender]] = "F", "Female", IF(orders[[#This Row],[Customer Gender]] = "O", "Other",  "Unkown")))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IF(orders[[#This Row],[Customer Gender]] = "M", "Male", IF(orders[[#This Row],[Customer Gender]] = "F", "Female", IF(orders[[#This Row],[Customer Gender]] = "O", "Other",  "Unkown")))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IF(orders[[#This Row],[Customer Gender]] = "M", "Male", IF(orders[[#This Row],[Customer Gender]] = "F", "Female", IF(orders[[#This Row],[Customer Gender]] = "O", "Other",  "Unkown")))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IF(orders[[#This Row],[Customer Gender]] = "M", "Male", IF(orders[[#This Row],[Customer Gender]] = "F", "Female", IF(orders[[#This Row],[Customer Gender]] = "O", "Other",  "Unkown")))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IF(orders[[#This Row],[Customer Gender]] = "M", "Male", IF(orders[[#This Row],[Customer Gender]] = "F", "Female", IF(orders[[#This Row],[Customer Gender]] = "O", "Other",  "Unkown")))</f>
        <v>Female</v>
      </c>
    </row>
    <row r="631" spans="1:15" hidden="1"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IF(orders[[#This Row],[Customer Gender]] = "M", "Male", IF(orders[[#This Row],[Customer Gender]] = "F", "Female", IF(orders[[#This Row],[Customer Gender]] = "O", "Other",  "Unkown")))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IF(orders[[#This Row],[Customer Gender]] = "M", "Male", IF(orders[[#This Row],[Customer Gender]] = "F", "Female", IF(orders[[#This Row],[Customer Gender]] = "O", "Other",  "Unkown")))</f>
        <v>Female</v>
      </c>
    </row>
    <row r="633" spans="1:15" hidden="1"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IF(orders[[#This Row],[Customer Gender]] = "M", "Male", IF(orders[[#This Row],[Customer Gender]] = "F", "Female", IF(orders[[#This Row],[Customer Gender]] = "O", "Other",  "Unkown")))</f>
        <v>Male</v>
      </c>
    </row>
    <row r="634" spans="1:15" hidden="1"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IF(orders[[#This Row],[Customer Gender]] = "M", "Male", IF(orders[[#This Row],[Customer Gender]] = "F", "Female", IF(orders[[#This Row],[Customer Gender]] = "O", "Other",  "Unkown")))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IF(orders[[#This Row],[Customer Gender]] = "M", "Male", IF(orders[[#This Row],[Customer Gender]] = "F", "Female", IF(orders[[#This Row],[Customer Gender]] = "O", "Other",  "Unkown")))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IF(orders[[#This Row],[Customer Gender]] = "M", "Male", IF(orders[[#This Row],[Customer Gender]] = "F", "Female", IF(orders[[#This Row],[Customer Gender]] = "O", "Other",  "Unkown")))</f>
        <v>Female</v>
      </c>
    </row>
    <row r="637" spans="1:15" hidden="1"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IF(orders[[#This Row],[Customer Gender]] = "M", "Male", IF(orders[[#This Row],[Customer Gender]] = "F", "Female", IF(orders[[#This Row],[Customer Gender]] = "O", "Other",  "Unkown")))</f>
        <v>Male</v>
      </c>
    </row>
    <row r="638" spans="1:15" hidden="1"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IF(orders[[#This Row],[Customer Gender]] = "M", "Male", IF(orders[[#This Row],[Customer Gender]] = "F", "Female", IF(orders[[#This Row],[Customer Gender]] = "O", "Other",  "Unkown")))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IF(orders[[#This Row],[Customer Gender]] = "M", "Male", IF(orders[[#This Row],[Customer Gender]] = "F", "Female", IF(orders[[#This Row],[Customer Gender]] = "O", "Other",  "Unkown")))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IF(orders[[#This Row],[Customer Gender]] = "M", "Male", IF(orders[[#This Row],[Customer Gender]] = "F", "Female", IF(orders[[#This Row],[Customer Gender]] = "O", "Other",  "Unkown")))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IF(orders[[#This Row],[Customer Gender]] = "M", "Male", IF(orders[[#This Row],[Customer Gender]] = "F", "Female", IF(orders[[#This Row],[Customer Gender]] = "O", "Other",  "Unkown")))</f>
        <v>Female</v>
      </c>
    </row>
    <row r="642" spans="1:15" hidden="1"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IF(orders[[#This Row],[Customer Gender]] = "M", "Male", IF(orders[[#This Row],[Customer Gender]] = "F", "Female", IF(orders[[#This Row],[Customer Gender]] = "O", "Other",  "Unkown")))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IF(orders[[#This Row],[Customer Gender]] = "M", "Male", IF(orders[[#This Row],[Customer Gender]] = "F", "Female", IF(orders[[#This Row],[Customer Gender]] = "O", "Other",  "Unkown")))</f>
        <v>Female</v>
      </c>
    </row>
    <row r="644" spans="1:15" hidden="1"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IF(orders[[#This Row],[Customer Gender]] = "M", "Male", IF(orders[[#This Row],[Customer Gender]] = "F", "Female", IF(orders[[#This Row],[Customer Gender]] = "O", "Other",  "Unkown")))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IF(orders[[#This Row],[Customer Gender]] = "M", "Male", IF(orders[[#This Row],[Customer Gender]] = "F", "Female", IF(orders[[#This Row],[Customer Gender]] = "O", "Other",  "Unkown")))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IF(orders[[#This Row],[Customer Gender]] = "M", "Male", IF(orders[[#This Row],[Customer Gender]] = "F", "Female", IF(orders[[#This Row],[Customer Gender]] = "O", "Other",  "Unkown")))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IF(orders[[#This Row],[Customer Gender]] = "M", "Male", IF(orders[[#This Row],[Customer Gender]] = "F", "Female", IF(orders[[#This Row],[Customer Gender]] = "O", "Other",  "Unkown")))</f>
        <v>Female</v>
      </c>
    </row>
    <row r="648" spans="1:15" hidden="1"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IF(orders[[#This Row],[Customer Gender]] = "M", "Male", IF(orders[[#This Row],[Customer Gender]] = "F", "Female", IF(orders[[#This Row],[Customer Gender]] = "O", "Other",  "Unkown")))</f>
        <v>Unkown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IF(orders[[#This Row],[Customer Gender]] = "M", "Male", IF(orders[[#This Row],[Customer Gender]] = "F", "Female", IF(orders[[#This Row],[Customer Gender]] = "O", "Other",  "Unkown")))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IF(orders[[#This Row],[Customer Gender]] = "M", "Male", IF(orders[[#This Row],[Customer Gender]] = "F", "Female", IF(orders[[#This Row],[Customer Gender]] = "O", "Other",  "Unkown")))</f>
        <v>Female</v>
      </c>
    </row>
    <row r="651" spans="1:15" hidden="1"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IF(orders[[#This Row],[Customer Gender]] = "M", "Male", IF(orders[[#This Row],[Customer Gender]] = "F", "Female", IF(orders[[#This Row],[Customer Gender]] = "O", "Other",  "Unkown")))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IF(orders[[#This Row],[Customer Gender]] = "M", "Male", IF(orders[[#This Row],[Customer Gender]] = "F", "Female", IF(orders[[#This Row],[Customer Gender]] = "O", "Other",  "Unkown")))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IF(orders[[#This Row],[Customer Gender]] = "M", "Male", IF(orders[[#This Row],[Customer Gender]] = "F", "Female", IF(orders[[#This Row],[Customer Gender]] = "O", "Other",  "Unkown")))</f>
        <v>Female</v>
      </c>
    </row>
    <row r="654" spans="1:15" hidden="1"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IF(orders[[#This Row],[Customer Gender]] = "M", "Male", IF(orders[[#This Row],[Customer Gender]] = "F", "Female", IF(orders[[#This Row],[Customer Gender]] = "O", "Other",  "Unkown")))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IF(orders[[#This Row],[Customer Gender]] = "M", "Male", IF(orders[[#This Row],[Customer Gender]] = "F", "Female", IF(orders[[#This Row],[Customer Gender]] = "O", "Other",  "Unkown")))</f>
        <v>Female</v>
      </c>
    </row>
    <row r="656" spans="1:15" hidden="1"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IF(orders[[#This Row],[Customer Gender]] = "M", "Male", IF(orders[[#This Row],[Customer Gender]] = "F", "Female", IF(orders[[#This Row],[Customer Gender]] = "O", "Other",  "Unkown")))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IF(orders[[#This Row],[Customer Gender]] = "M", "Male", IF(orders[[#This Row],[Customer Gender]] = "F", "Female", IF(orders[[#This Row],[Customer Gender]] = "O", "Other",  "Unkown")))</f>
        <v>Female</v>
      </c>
    </row>
    <row r="658" spans="1:15" hidden="1"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IF(orders[[#This Row],[Customer Gender]] = "M", "Male", IF(orders[[#This Row],[Customer Gender]] = "F", "Female", IF(orders[[#This Row],[Customer Gender]] = "O", "Other",  "Unkown")))</f>
        <v>Male</v>
      </c>
    </row>
    <row r="659" spans="1:15" hidden="1"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IF(orders[[#This Row],[Customer Gender]] = "M", "Male", IF(orders[[#This Row],[Customer Gender]] = "F", "Female", IF(orders[[#This Row],[Customer Gender]] = "O", "Other",  "Unkown")))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IF(orders[[#This Row],[Customer Gender]] = "M", "Male", IF(orders[[#This Row],[Customer Gender]] = "F", "Female", IF(orders[[#This Row],[Customer Gender]] = "O", "Other",  "Unkown")))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IF(orders[[#This Row],[Customer Gender]] = "M", "Male", IF(orders[[#This Row],[Customer Gender]] = "F", "Female", IF(orders[[#This Row],[Customer Gender]] = "O", "Other",  "Unkown")))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IF(orders[[#This Row],[Customer Gender]] = "M", "Male", IF(orders[[#This Row],[Customer Gender]] = "F", "Female", IF(orders[[#This Row],[Customer Gender]] = "O", "Other",  "Unkown")))</f>
        <v>Female</v>
      </c>
    </row>
    <row r="663" spans="1:15" hidden="1"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IF(orders[[#This Row],[Customer Gender]] = "M", "Male", IF(orders[[#This Row],[Customer Gender]] = "F", "Female", IF(orders[[#This Row],[Customer Gender]] = "O", "Other",  "Unkown")))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IF(orders[[#This Row],[Customer Gender]] = "M", "Male", IF(orders[[#This Row],[Customer Gender]] = "F", "Female", IF(orders[[#This Row],[Customer Gender]] = "O", "Other",  "Unkown")))</f>
        <v>Female</v>
      </c>
    </row>
    <row r="665" spans="1:15" hidden="1"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IF(orders[[#This Row],[Customer Gender]] = "M", "Male", IF(orders[[#This Row],[Customer Gender]] = "F", "Female", IF(orders[[#This Row],[Customer Gender]] = "O", "Other",  "Unkown")))</f>
        <v>Male</v>
      </c>
    </row>
    <row r="666" spans="1:15" hidden="1"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IF(orders[[#This Row],[Customer Gender]] = "M", "Male", IF(orders[[#This Row],[Customer Gender]] = "F", "Female", IF(orders[[#This Row],[Customer Gender]] = "O", "Other",  "Unkown")))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IF(orders[[#This Row],[Customer Gender]] = "M", "Male", IF(orders[[#This Row],[Customer Gender]] = "F", "Female", IF(orders[[#This Row],[Customer Gender]] = "O", "Other",  "Unkown")))</f>
        <v>Female</v>
      </c>
    </row>
    <row r="668" spans="1:15" hidden="1"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IF(orders[[#This Row],[Customer Gender]] = "M", "Male", IF(orders[[#This Row],[Customer Gender]] = "F", "Female", IF(orders[[#This Row],[Customer Gender]] = "O", "Other",  "Unkown")))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IF(orders[[#This Row],[Customer Gender]] = "M", "Male", IF(orders[[#This Row],[Customer Gender]] = "F", "Female", IF(orders[[#This Row],[Customer Gender]] = "O", "Other",  "Unkown")))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IF(orders[[#This Row],[Customer Gender]] = "M", "Male", IF(orders[[#This Row],[Customer Gender]] = "F", "Female", IF(orders[[#This Row],[Customer Gender]] = "O", "Other",  "Unkown")))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IF(orders[[#This Row],[Customer Gender]] = "M", "Male", IF(orders[[#This Row],[Customer Gender]] = "F", "Female", IF(orders[[#This Row],[Customer Gender]] = "O", "Other",  "Unkown")))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IF(orders[[#This Row],[Customer Gender]] = "M", "Male", IF(orders[[#This Row],[Customer Gender]] = "F", "Female", IF(orders[[#This Row],[Customer Gender]] = "O", "Other",  "Unkown")))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IF(orders[[#This Row],[Customer Gender]] = "M", "Male", IF(orders[[#This Row],[Customer Gender]] = "F", "Female", IF(orders[[#This Row],[Customer Gender]] = "O", "Other",  "Unkown")))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IF(orders[[#This Row],[Customer Gender]] = "M", "Male", IF(orders[[#This Row],[Customer Gender]] = "F", "Female", IF(orders[[#This Row],[Customer Gender]] = "O", "Other",  "Unkown")))</f>
        <v>Female</v>
      </c>
    </row>
    <row r="675" spans="1:15" hidden="1"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IF(orders[[#This Row],[Customer Gender]] = "M", "Male", IF(orders[[#This Row],[Customer Gender]] = "F", "Female", IF(orders[[#This Row],[Customer Gender]] = "O", "Other",  "Unkown")))</f>
        <v>Unkown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IF(orders[[#This Row],[Customer Gender]] = "M", "Male", IF(orders[[#This Row],[Customer Gender]] = "F", "Female", IF(orders[[#This Row],[Customer Gender]] = "O", "Other",  "Unkown")))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IF(orders[[#This Row],[Customer Gender]] = "M", "Male", IF(orders[[#This Row],[Customer Gender]] = "F", "Female", IF(orders[[#This Row],[Customer Gender]] = "O", "Other",  "Unkown")))</f>
        <v>Female</v>
      </c>
    </row>
    <row r="678" spans="1:15" hidden="1"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IF(orders[[#This Row],[Customer Gender]] = "M", "Male", IF(orders[[#This Row],[Customer Gender]] = "F", "Female", IF(orders[[#This Row],[Customer Gender]] = "O", "Other",  "Unkown")))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IF(orders[[#This Row],[Customer Gender]] = "M", "Male", IF(orders[[#This Row],[Customer Gender]] = "F", "Female", IF(orders[[#This Row],[Customer Gender]] = "O", "Other",  "Unkown")))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IF(orders[[#This Row],[Customer Gender]] = "M", "Male", IF(orders[[#This Row],[Customer Gender]] = "F", "Female", IF(orders[[#This Row],[Customer Gender]] = "O", "Other",  "Unkown")))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IF(orders[[#This Row],[Customer Gender]] = "M", "Male", IF(orders[[#This Row],[Customer Gender]] = "F", "Female", IF(orders[[#This Row],[Customer Gender]] = "O", "Other",  "Unkown")))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IF(orders[[#This Row],[Customer Gender]] = "M", "Male", IF(orders[[#This Row],[Customer Gender]] = "F", "Female", IF(orders[[#This Row],[Customer Gender]] = "O", "Other",  "Unkown")))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IF(orders[[#This Row],[Customer Gender]] = "M", "Male", IF(orders[[#This Row],[Customer Gender]] = "F", "Female", IF(orders[[#This Row],[Customer Gender]] = "O", "Other",  "Unkown")))</f>
        <v>Female</v>
      </c>
    </row>
    <row r="684" spans="1:15" hidden="1"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IF(orders[[#This Row],[Customer Gender]] = "M", "Male", IF(orders[[#This Row],[Customer Gender]] = "F", "Female", IF(orders[[#This Row],[Customer Gender]] = "O", "Other",  "Unkown")))</f>
        <v>Male</v>
      </c>
    </row>
    <row r="685" spans="1:15" hidden="1"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IF(orders[[#This Row],[Customer Gender]] = "M", "Male", IF(orders[[#This Row],[Customer Gender]] = "F", "Female", IF(orders[[#This Row],[Customer Gender]] = "O", "Other",  "Unkown")))</f>
        <v>Male</v>
      </c>
    </row>
    <row r="686" spans="1:15" hidden="1"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IF(orders[[#This Row],[Customer Gender]] = "M", "Male", IF(orders[[#This Row],[Customer Gender]] = "F", "Female", IF(orders[[#This Row],[Customer Gender]] = "O", "Other",  "Unkown")))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IF(orders[[#This Row],[Customer Gender]] = "M", "Male", IF(orders[[#This Row],[Customer Gender]] = "F", "Female", IF(orders[[#This Row],[Customer Gender]] = "O", "Other",  "Unkown")))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IF(orders[[#This Row],[Customer Gender]] = "M", "Male", IF(orders[[#This Row],[Customer Gender]] = "F", "Female", IF(orders[[#This Row],[Customer Gender]] = "O", "Other",  "Unkown")))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IF(orders[[#This Row],[Customer Gender]] = "M", "Male", IF(orders[[#This Row],[Customer Gender]] = "F", "Female", IF(orders[[#This Row],[Customer Gender]] = "O", "Other",  "Unkown")))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IF(orders[[#This Row],[Customer Gender]] = "M", "Male", IF(orders[[#This Row],[Customer Gender]] = "F", "Female", IF(orders[[#This Row],[Customer Gender]] = "O", "Other",  "Unkown")))</f>
        <v>Female</v>
      </c>
    </row>
    <row r="691" spans="1:15" hidden="1"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IF(orders[[#This Row],[Customer Gender]] = "M", "Male", IF(orders[[#This Row],[Customer Gender]] = "F", "Female", IF(orders[[#This Row],[Customer Gender]] = "O", "Other",  "Unkown")))</f>
        <v>Unkown</v>
      </c>
    </row>
    <row r="692" spans="1:15" hidden="1"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IF(orders[[#This Row],[Customer Gender]] = "M", "Male", IF(orders[[#This Row],[Customer Gender]] = "F", "Female", IF(orders[[#This Row],[Customer Gender]] = "O", "Other",  "Unkown")))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IF(orders[[#This Row],[Customer Gender]] = "M", "Male", IF(orders[[#This Row],[Customer Gender]] = "F", "Female", IF(orders[[#This Row],[Customer Gender]] = "O", "Other",  "Unkown")))</f>
        <v>Female</v>
      </c>
    </row>
    <row r="694" spans="1:15" hidden="1"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IF(orders[[#This Row],[Customer Gender]] = "M", "Male", IF(orders[[#This Row],[Customer Gender]] = "F", "Female", IF(orders[[#This Row],[Customer Gender]] = "O", "Other",  "Unkown")))</f>
        <v>Male</v>
      </c>
    </row>
    <row r="695" spans="1:15" hidden="1"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IF(orders[[#This Row],[Customer Gender]] = "M", "Male", IF(orders[[#This Row],[Customer Gender]] = "F", "Female", IF(orders[[#This Row],[Customer Gender]] = "O", "Other",  "Unkown")))</f>
        <v>Male</v>
      </c>
    </row>
    <row r="696" spans="1:15" hidden="1"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IF(orders[[#This Row],[Customer Gender]] = "M", "Male", IF(orders[[#This Row],[Customer Gender]] = "F", "Female", IF(orders[[#This Row],[Customer Gender]] = "O", "Other",  "Unkown")))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IF(orders[[#This Row],[Customer Gender]] = "M", "Male", IF(orders[[#This Row],[Customer Gender]] = "F", "Female", IF(orders[[#This Row],[Customer Gender]] = "O", "Other",  "Unkown")))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IF(orders[[#This Row],[Customer Gender]] = "M", "Male", IF(orders[[#This Row],[Customer Gender]] = "F", "Female", IF(orders[[#This Row],[Customer Gender]] = "O", "Other",  "Unkown")))</f>
        <v>Female</v>
      </c>
    </row>
    <row r="699" spans="1:15" hidden="1"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IF(orders[[#This Row],[Customer Gender]] = "M", "Male", IF(orders[[#This Row],[Customer Gender]] = "F", "Female", IF(orders[[#This Row],[Customer Gender]] = "O", "Other",  "Unkown")))</f>
        <v>Male</v>
      </c>
    </row>
    <row r="700" spans="1:15" hidden="1"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IF(orders[[#This Row],[Customer Gender]] = "M", "Male", IF(orders[[#This Row],[Customer Gender]] = "F", "Female", IF(orders[[#This Row],[Customer Gender]] = "O", "Other",  "Unkown")))</f>
        <v>Unkown</v>
      </c>
    </row>
    <row r="701" spans="1:15" hidden="1"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IF(orders[[#This Row],[Customer Gender]] = "M", "Male", IF(orders[[#This Row],[Customer Gender]] = "F", "Female", IF(orders[[#This Row],[Customer Gender]] = "O", "Other",  "Unkown")))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IF(orders[[#This Row],[Customer Gender]] = "M", "Male", IF(orders[[#This Row],[Customer Gender]] = "F", "Female", IF(orders[[#This Row],[Customer Gender]] = "O", "Other",  "Unkown")))</f>
        <v>Female</v>
      </c>
    </row>
    <row r="703" spans="1:15" hidden="1"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IF(orders[[#This Row],[Customer Gender]] = "M", "Male", IF(orders[[#This Row],[Customer Gender]] = "F", "Female", IF(orders[[#This Row],[Customer Gender]] = "O", "Other",  "Unkown")))</f>
        <v>Male</v>
      </c>
    </row>
    <row r="704" spans="1:15" hidden="1"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IF(orders[[#This Row],[Customer Gender]] = "M", "Male", IF(orders[[#This Row],[Customer Gender]] = "F", "Female", IF(orders[[#This Row],[Customer Gender]] = "O", "Other",  "Unkown")))</f>
        <v>Male</v>
      </c>
    </row>
    <row r="705" spans="1:15" hidden="1"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IF(orders[[#This Row],[Customer Gender]] = "M", "Male", IF(orders[[#This Row],[Customer Gender]] = "F", "Female", IF(orders[[#This Row],[Customer Gender]] = "O", "Other",  "Unkown")))</f>
        <v>Male</v>
      </c>
    </row>
    <row r="706" spans="1:15" hidden="1"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IF(orders[[#This Row],[Customer Gender]] = "M", "Male", IF(orders[[#This Row],[Customer Gender]] = "F", "Female", IF(orders[[#This Row],[Customer Gender]] = "O", "Other",  "Unkown")))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IF(orders[[#This Row],[Customer Gender]] = "M", "Male", IF(orders[[#This Row],[Customer Gender]] = "F", "Female", IF(orders[[#This Row],[Customer Gender]] = "O", "Other",  "Unkown")))</f>
        <v>Female</v>
      </c>
    </row>
    <row r="708" spans="1:15" hidden="1"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IF(orders[[#This Row],[Customer Gender]] = "M", "Male", IF(orders[[#This Row],[Customer Gender]] = "F", "Female", IF(orders[[#This Row],[Customer Gender]] = "O", "Other",  "Unkown")))</f>
        <v>Male</v>
      </c>
    </row>
    <row r="709" spans="1:15" hidden="1"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IF(orders[[#This Row],[Customer Gender]] = "M", "Male", IF(orders[[#This Row],[Customer Gender]] = "F", "Female", IF(orders[[#This Row],[Customer Gender]] = "O", "Other",  "Unkown")))</f>
        <v>Male</v>
      </c>
    </row>
    <row r="710" spans="1:15" hidden="1"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IF(orders[[#This Row],[Customer Gender]] = "M", "Male", IF(orders[[#This Row],[Customer Gender]] = "F", "Female", IF(orders[[#This Row],[Customer Gender]] = "O", "Other",  "Unkown")))</f>
        <v>Male</v>
      </c>
    </row>
    <row r="711" spans="1:15" hidden="1"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IF(orders[[#This Row],[Customer Gender]] = "M", "Male", IF(orders[[#This Row],[Customer Gender]] = "F", "Female", IF(orders[[#This Row],[Customer Gender]] = "O", "Other",  "Unkown")))</f>
        <v>Male</v>
      </c>
    </row>
    <row r="712" spans="1:15" hidden="1"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IF(orders[[#This Row],[Customer Gender]] = "M", "Male", IF(orders[[#This Row],[Customer Gender]] = "F", "Female", IF(orders[[#This Row],[Customer Gender]] = "O", "Other",  "Unkown")))</f>
        <v>Unkown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IF(orders[[#This Row],[Customer Gender]] = "M", "Male", IF(orders[[#This Row],[Customer Gender]] = "F", "Female", IF(orders[[#This Row],[Customer Gender]] = "O", "Other",  "Unkown")))</f>
        <v>Female</v>
      </c>
    </row>
    <row r="714" spans="1:15" hidden="1"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IF(orders[[#This Row],[Customer Gender]] = "M", "Male", IF(orders[[#This Row],[Customer Gender]] = "F", "Female", IF(orders[[#This Row],[Customer Gender]] = "O", "Other",  "Unkown")))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IF(orders[[#This Row],[Customer Gender]] = "M", "Male", IF(orders[[#This Row],[Customer Gender]] = "F", "Female", IF(orders[[#This Row],[Customer Gender]] = "O", "Other",  "Unkown")))</f>
        <v>Female</v>
      </c>
    </row>
    <row r="716" spans="1:15" hidden="1"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IF(orders[[#This Row],[Customer Gender]] = "M", "Male", IF(orders[[#This Row],[Customer Gender]] = "F", "Female", IF(orders[[#This Row],[Customer Gender]] = "O", "Other",  "Unkown")))</f>
        <v>Male</v>
      </c>
    </row>
    <row r="717" spans="1:15" hidden="1"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IF(orders[[#This Row],[Customer Gender]] = "M", "Male", IF(orders[[#This Row],[Customer Gender]] = "F", "Female", IF(orders[[#This Row],[Customer Gender]] = "O", "Other",  "Unkown")))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IF(orders[[#This Row],[Customer Gender]] = "M", "Male", IF(orders[[#This Row],[Customer Gender]] = "F", "Female", IF(orders[[#This Row],[Customer Gender]] = "O", "Other",  "Unkown")))</f>
        <v>Female</v>
      </c>
    </row>
    <row r="719" spans="1:15" hidden="1"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IF(orders[[#This Row],[Customer Gender]] = "M", "Male", IF(orders[[#This Row],[Customer Gender]] = "F", "Female", IF(orders[[#This Row],[Customer Gender]] = "O", "Other",  "Unkown")))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IF(orders[[#This Row],[Customer Gender]] = "M", "Male", IF(orders[[#This Row],[Customer Gender]] = "F", "Female", IF(orders[[#This Row],[Customer Gender]] = "O", "Other",  "Unkown")))</f>
        <v>Female</v>
      </c>
    </row>
    <row r="721" spans="1:15" hidden="1"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IF(orders[[#This Row],[Customer Gender]] = "M", "Male", IF(orders[[#This Row],[Customer Gender]] = "F", "Female", IF(orders[[#This Row],[Customer Gender]] = "O", "Other",  "Unkown")))</f>
        <v>Male</v>
      </c>
    </row>
    <row r="722" spans="1:15" hidden="1"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IF(orders[[#This Row],[Customer Gender]] = "M", "Male", IF(orders[[#This Row],[Customer Gender]] = "F", "Female", IF(orders[[#This Row],[Customer Gender]] = "O", "Other",  "Unkown")))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IF(orders[[#This Row],[Customer Gender]] = "M", "Male", IF(orders[[#This Row],[Customer Gender]] = "F", "Female", IF(orders[[#This Row],[Customer Gender]] = "O", "Other",  "Unkown")))</f>
        <v>Female</v>
      </c>
    </row>
    <row r="724" spans="1:15" hidden="1"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IF(orders[[#This Row],[Customer Gender]] = "M", "Male", IF(orders[[#This Row],[Customer Gender]] = "F", "Female", IF(orders[[#This Row],[Customer Gender]] = "O", "Other",  "Unkown")))</f>
        <v>Male</v>
      </c>
    </row>
    <row r="725" spans="1:15" hidden="1"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IF(orders[[#This Row],[Customer Gender]] = "M", "Male", IF(orders[[#This Row],[Customer Gender]] = "F", "Female", IF(orders[[#This Row],[Customer Gender]] = "O", "Other",  "Unkown")))</f>
        <v>Male</v>
      </c>
    </row>
    <row r="726" spans="1:15" hidden="1"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IF(orders[[#This Row],[Customer Gender]] = "M", "Male", IF(orders[[#This Row],[Customer Gender]] = "F", "Female", IF(orders[[#This Row],[Customer Gender]] = "O", "Other",  "Unkown")))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IF(orders[[#This Row],[Customer Gender]] = "M", "Male", IF(orders[[#This Row],[Customer Gender]] = "F", "Female", IF(orders[[#This Row],[Customer Gender]] = "O", "Other",  "Unkown")))</f>
        <v>Female</v>
      </c>
    </row>
    <row r="728" spans="1:15" hidden="1"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IF(orders[[#This Row],[Customer Gender]] = "M", "Male", IF(orders[[#This Row],[Customer Gender]] = "F", "Female", IF(orders[[#This Row],[Customer Gender]] = "O", "Other",  "Unkown")))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IF(orders[[#This Row],[Customer Gender]] = "M", "Male", IF(orders[[#This Row],[Customer Gender]] = "F", "Female", IF(orders[[#This Row],[Customer Gender]] = "O", "Other",  "Unkown")))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IF(orders[[#This Row],[Customer Gender]] = "M", "Male", IF(orders[[#This Row],[Customer Gender]] = "F", "Female", IF(orders[[#This Row],[Customer Gender]] = "O", "Other",  "Unkown")))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IF(orders[[#This Row],[Customer Gender]] = "M", "Male", IF(orders[[#This Row],[Customer Gender]] = "F", "Female", IF(orders[[#This Row],[Customer Gender]] = "O", "Other",  "Unkown")))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IF(orders[[#This Row],[Customer Gender]] = "M", "Male", IF(orders[[#This Row],[Customer Gender]] = "F", "Female", IF(orders[[#This Row],[Customer Gender]] = "O", "Other",  "Unkown")))</f>
        <v>Female</v>
      </c>
    </row>
    <row r="733" spans="1:15" hidden="1"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IF(orders[[#This Row],[Customer Gender]] = "M", "Male", IF(orders[[#This Row],[Customer Gender]] = "F", "Female", IF(orders[[#This Row],[Customer Gender]] = "O", "Other",  "Unkown")))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IF(orders[[#This Row],[Customer Gender]] = "M", "Male", IF(orders[[#This Row],[Customer Gender]] = "F", "Female", IF(orders[[#This Row],[Customer Gender]] = "O", "Other",  "Unkown")))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IF(orders[[#This Row],[Customer Gender]] = "M", "Male", IF(orders[[#This Row],[Customer Gender]] = "F", "Female", IF(orders[[#This Row],[Customer Gender]] = "O", "Other",  "Unkown")))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IF(orders[[#This Row],[Customer Gender]] = "M", "Male", IF(orders[[#This Row],[Customer Gender]] = "F", "Female", IF(orders[[#This Row],[Customer Gender]] = "O", "Other",  "Unkown")))</f>
        <v>Female</v>
      </c>
    </row>
    <row r="737" spans="1:15" hidden="1"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IF(orders[[#This Row],[Customer Gender]] = "M", "Male", IF(orders[[#This Row],[Customer Gender]] = "F", "Female", IF(orders[[#This Row],[Customer Gender]] = "O", "Other",  "Unkown")))</f>
        <v>Unkown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IF(orders[[#This Row],[Customer Gender]] = "M", "Male", IF(orders[[#This Row],[Customer Gender]] = "F", "Female", IF(orders[[#This Row],[Customer Gender]] = "O", "Other",  "Unkown")))</f>
        <v>Female</v>
      </c>
    </row>
    <row r="739" spans="1:15" hidden="1"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IF(orders[[#This Row],[Customer Gender]] = "M", "Male", IF(orders[[#This Row],[Customer Gender]] = "F", "Female", IF(orders[[#This Row],[Customer Gender]] = "O", "Other",  "Unkown")))</f>
        <v>Unkown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IF(orders[[#This Row],[Customer Gender]] = "M", "Male", IF(orders[[#This Row],[Customer Gender]] = "F", "Female", IF(orders[[#This Row],[Customer Gender]] = "O", "Other",  "Unkown")))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IF(orders[[#This Row],[Customer Gender]] = "M", "Male", IF(orders[[#This Row],[Customer Gender]] = "F", "Female", IF(orders[[#This Row],[Customer Gender]] = "O", "Other",  "Unkown")))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IF(orders[[#This Row],[Customer Gender]] = "M", "Male", IF(orders[[#This Row],[Customer Gender]] = "F", "Female", IF(orders[[#This Row],[Customer Gender]] = "O", "Other",  "Unkown")))</f>
        <v>Female</v>
      </c>
    </row>
    <row r="743" spans="1:15" hidden="1"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IF(orders[[#This Row],[Customer Gender]] = "M", "Male", IF(orders[[#This Row],[Customer Gender]] = "F", "Female", IF(orders[[#This Row],[Customer Gender]] = "O", "Other",  "Unkown")))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IF(orders[[#This Row],[Customer Gender]] = "M", "Male", IF(orders[[#This Row],[Customer Gender]] = "F", "Female", IF(orders[[#This Row],[Customer Gender]] = "O", "Other",  "Unkown")))</f>
        <v>Female</v>
      </c>
    </row>
    <row r="745" spans="1:15" hidden="1"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IF(orders[[#This Row],[Customer Gender]] = "M", "Male", IF(orders[[#This Row],[Customer Gender]] = "F", "Female", IF(orders[[#This Row],[Customer Gender]] = "O", "Other",  "Unkown")))</f>
        <v>Unkown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IF(orders[[#This Row],[Customer Gender]] = "M", "Male", IF(orders[[#This Row],[Customer Gender]] = "F", "Female", IF(orders[[#This Row],[Customer Gender]] = "O", "Other",  "Unkown")))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IF(orders[[#This Row],[Customer Gender]] = "M", "Male", IF(orders[[#This Row],[Customer Gender]] = "F", "Female", IF(orders[[#This Row],[Customer Gender]] = "O", "Other",  "Unkown")))</f>
        <v>Female</v>
      </c>
    </row>
    <row r="748" spans="1:15" hidden="1"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IF(orders[[#This Row],[Customer Gender]] = "M", "Male", IF(orders[[#This Row],[Customer Gender]] = "F", "Female", IF(orders[[#This Row],[Customer Gender]] = "O", "Other",  "Unkown")))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IF(orders[[#This Row],[Customer Gender]] = "M", "Male", IF(orders[[#This Row],[Customer Gender]] = "F", "Female", IF(orders[[#This Row],[Customer Gender]] = "O", "Other",  "Unkown")))</f>
        <v>Female</v>
      </c>
    </row>
    <row r="750" spans="1:15" hidden="1"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IF(orders[[#This Row],[Customer Gender]] = "M", "Male", IF(orders[[#This Row],[Customer Gender]] = "F", "Female", IF(orders[[#This Row],[Customer Gender]] = "O", "Other",  "Unkown")))</f>
        <v>Male</v>
      </c>
    </row>
    <row r="751" spans="1:15" hidden="1"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IF(orders[[#This Row],[Customer Gender]] = "M", "Male", IF(orders[[#This Row],[Customer Gender]] = "F", "Female", IF(orders[[#This Row],[Customer Gender]] = "O", "Other",  "Unkown")))</f>
        <v>Unkown</v>
      </c>
    </row>
    <row r="752" spans="1:15" hidden="1"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IF(orders[[#This Row],[Customer Gender]] = "M", "Male", IF(orders[[#This Row],[Customer Gender]] = "F", "Female", IF(orders[[#This Row],[Customer Gender]] = "O", "Other",  "Unkown")))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IF(orders[[#This Row],[Customer Gender]] = "M", "Male", IF(orders[[#This Row],[Customer Gender]] = "F", "Female", IF(orders[[#This Row],[Customer Gender]] = "O", "Other",  "Unkown")))</f>
        <v>Female</v>
      </c>
    </row>
    <row r="754" spans="1:15" hidden="1"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IF(orders[[#This Row],[Customer Gender]] = "M", "Male", IF(orders[[#This Row],[Customer Gender]] = "F", "Female", IF(orders[[#This Row],[Customer Gender]] = "O", "Other",  "Unkown")))</f>
        <v>Male</v>
      </c>
    </row>
    <row r="755" spans="1:15" hidden="1"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IF(orders[[#This Row],[Customer Gender]] = "M", "Male", IF(orders[[#This Row],[Customer Gender]] = "F", "Female", IF(orders[[#This Row],[Customer Gender]] = "O", "Other",  "Unkown")))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IF(orders[[#This Row],[Customer Gender]] = "M", "Male", IF(orders[[#This Row],[Customer Gender]] = "F", "Female", IF(orders[[#This Row],[Customer Gender]] = "O", "Other",  "Unkown")))</f>
        <v>Female</v>
      </c>
    </row>
    <row r="757" spans="1:15" hidden="1"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IF(orders[[#This Row],[Customer Gender]] = "M", "Male", IF(orders[[#This Row],[Customer Gender]] = "F", "Female", IF(orders[[#This Row],[Customer Gender]] = "O", "Other",  "Unkown")))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IF(orders[[#This Row],[Customer Gender]] = "M", "Male", IF(orders[[#This Row],[Customer Gender]] = "F", "Female", IF(orders[[#This Row],[Customer Gender]] = "O", "Other",  "Unkown")))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IF(orders[[#This Row],[Customer Gender]] = "M", "Male", IF(orders[[#This Row],[Customer Gender]] = "F", "Female", IF(orders[[#This Row],[Customer Gender]] = "O", "Other",  "Unkown")))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IF(orders[[#This Row],[Customer Gender]] = "M", "Male", IF(orders[[#This Row],[Customer Gender]] = "F", "Female", IF(orders[[#This Row],[Customer Gender]] = "O", "Other",  "Unkown")))</f>
        <v>Female</v>
      </c>
    </row>
    <row r="761" spans="1:15" hidden="1"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IF(orders[[#This Row],[Customer Gender]] = "M", "Male", IF(orders[[#This Row],[Customer Gender]] = "F", "Female", IF(orders[[#This Row],[Customer Gender]] = "O", "Other",  "Unkown")))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IF(orders[[#This Row],[Customer Gender]] = "M", "Male", IF(orders[[#This Row],[Customer Gender]] = "F", "Female", IF(orders[[#This Row],[Customer Gender]] = "O", "Other",  "Unkown")))</f>
        <v>Female</v>
      </c>
    </row>
    <row r="763" spans="1:15" hidden="1"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IF(orders[[#This Row],[Customer Gender]] = "M", "Male", IF(orders[[#This Row],[Customer Gender]] = "F", "Female", IF(orders[[#This Row],[Customer Gender]] = "O", "Other",  "Unkown")))</f>
        <v>Male</v>
      </c>
    </row>
    <row r="764" spans="1:15" hidden="1"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IF(orders[[#This Row],[Customer Gender]] = "M", "Male", IF(orders[[#This Row],[Customer Gender]] = "F", "Female", IF(orders[[#This Row],[Customer Gender]] = "O", "Other",  "Unkown")))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IF(orders[[#This Row],[Customer Gender]] = "M", "Male", IF(orders[[#This Row],[Customer Gender]] = "F", "Female", IF(orders[[#This Row],[Customer Gender]] = "O", "Other",  "Unkown")))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IF(orders[[#This Row],[Customer Gender]] = "M", "Male", IF(orders[[#This Row],[Customer Gender]] = "F", "Female", IF(orders[[#This Row],[Customer Gender]] = "O", "Other",  "Unkown")))</f>
        <v>Female</v>
      </c>
    </row>
    <row r="767" spans="1:15" hidden="1"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IF(orders[[#This Row],[Customer Gender]] = "M", "Male", IF(orders[[#This Row],[Customer Gender]] = "F", "Female", IF(orders[[#This Row],[Customer Gender]] = "O", "Other",  "Unkown")))</f>
        <v>Male</v>
      </c>
    </row>
    <row r="768" spans="1:15" hidden="1"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IF(orders[[#This Row],[Customer Gender]] = "M", "Male", IF(orders[[#This Row],[Customer Gender]] = "F", "Female", IF(orders[[#This Row],[Customer Gender]] = "O", "Other",  "Unkown")))</f>
        <v>Male</v>
      </c>
    </row>
    <row r="769" spans="1:15" hidden="1"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IF(orders[[#This Row],[Customer Gender]] = "M", "Male", IF(orders[[#This Row],[Customer Gender]] = "F", "Female", IF(orders[[#This Row],[Customer Gender]] = "O", "Other",  "Unkown")))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IF(orders[[#This Row],[Customer Gender]] = "M", "Male", IF(orders[[#This Row],[Customer Gender]] = "F", "Female", IF(orders[[#This Row],[Customer Gender]] = "O", "Other",  "Unkown")))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IF(orders[[#This Row],[Customer Gender]] = "M", "Male", IF(orders[[#This Row],[Customer Gender]] = "F", "Female", IF(orders[[#This Row],[Customer Gender]] = "O", "Other",  "Unkown")))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IF(orders[[#This Row],[Customer Gender]] = "M", "Male", IF(orders[[#This Row],[Customer Gender]] = "F", "Female", IF(orders[[#This Row],[Customer Gender]] = "O", "Other",  "Unkown")))</f>
        <v>Female</v>
      </c>
    </row>
    <row r="773" spans="1:15" hidden="1"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IF(orders[[#This Row],[Customer Gender]] = "M", "Male", IF(orders[[#This Row],[Customer Gender]] = "F", "Female", IF(orders[[#This Row],[Customer Gender]] = "O", "Other",  "Unkown")))</f>
        <v>Male</v>
      </c>
    </row>
    <row r="774" spans="1:15" hidden="1"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IF(orders[[#This Row],[Customer Gender]] = "M", "Male", IF(orders[[#This Row],[Customer Gender]] = "F", "Female", IF(orders[[#This Row],[Customer Gender]] = "O", "Other",  "Unkown")))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IF(orders[[#This Row],[Customer Gender]] = "M", "Male", IF(orders[[#This Row],[Customer Gender]] = "F", "Female", IF(orders[[#This Row],[Customer Gender]] = "O", "Other",  "Unkown")))</f>
        <v>Female</v>
      </c>
    </row>
    <row r="776" spans="1:15" hidden="1"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IF(orders[[#This Row],[Customer Gender]] = "M", "Male", IF(orders[[#This Row],[Customer Gender]] = "F", "Female", IF(orders[[#This Row],[Customer Gender]] = "O", "Other",  "Unkown")))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IF(orders[[#This Row],[Customer Gender]] = "M", "Male", IF(orders[[#This Row],[Customer Gender]] = "F", "Female", IF(orders[[#This Row],[Customer Gender]] = "O", "Other",  "Unkown")))</f>
        <v>Female</v>
      </c>
    </row>
    <row r="778" spans="1:15" hidden="1"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IF(orders[[#This Row],[Customer Gender]] = "M", "Male", IF(orders[[#This Row],[Customer Gender]] = "F", "Female", IF(orders[[#This Row],[Customer Gender]] = "O", "Other",  "Unkown")))</f>
        <v>Unkown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IF(orders[[#This Row],[Customer Gender]] = "M", "Male", IF(orders[[#This Row],[Customer Gender]] = "F", "Female", IF(orders[[#This Row],[Customer Gender]] = "O", "Other",  "Unkown")))</f>
        <v>Female</v>
      </c>
    </row>
    <row r="780" spans="1:15" hidden="1"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IF(orders[[#This Row],[Customer Gender]] = "M", "Male", IF(orders[[#This Row],[Customer Gender]] = "F", "Female", IF(orders[[#This Row],[Customer Gender]] = "O", "Other",  "Unkown")))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IF(orders[[#This Row],[Customer Gender]] = "M", "Male", IF(orders[[#This Row],[Customer Gender]] = "F", "Female", IF(orders[[#This Row],[Customer Gender]] = "O", "Other",  "Unkown")))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IF(orders[[#This Row],[Customer Gender]] = "M", "Male", IF(orders[[#This Row],[Customer Gender]] = "F", "Female", IF(orders[[#This Row],[Customer Gender]] = "O", "Other",  "Unkown")))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IF(orders[[#This Row],[Customer Gender]] = "M", "Male", IF(orders[[#This Row],[Customer Gender]] = "F", "Female", IF(orders[[#This Row],[Customer Gender]] = "O", "Other",  "Unkown")))</f>
        <v>Female</v>
      </c>
    </row>
    <row r="784" spans="1:15" hidden="1"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IF(orders[[#This Row],[Customer Gender]] = "M", "Male", IF(orders[[#This Row],[Customer Gender]] = "F", "Female", IF(orders[[#This Row],[Customer Gender]] = "O", "Other",  "Unkown")))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IF(orders[[#This Row],[Customer Gender]] = "M", "Male", IF(orders[[#This Row],[Customer Gender]] = "F", "Female", IF(orders[[#This Row],[Customer Gender]] = "O", "Other",  "Unkown")))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IF(orders[[#This Row],[Customer Gender]] = "M", "Male", IF(orders[[#This Row],[Customer Gender]] = "F", "Female", IF(orders[[#This Row],[Customer Gender]] = "O", "Other",  "Unkown")))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IF(orders[[#This Row],[Customer Gender]] = "M", "Male", IF(orders[[#This Row],[Customer Gender]] = "F", "Female", IF(orders[[#This Row],[Customer Gender]] = "O", "Other",  "Unkown")))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IF(orders[[#This Row],[Customer Gender]] = "M", "Male", IF(orders[[#This Row],[Customer Gender]] = "F", "Female", IF(orders[[#This Row],[Customer Gender]] = "O", "Other",  "Unkown")))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IF(orders[[#This Row],[Customer Gender]] = "M", "Male", IF(orders[[#This Row],[Customer Gender]] = "F", "Female", IF(orders[[#This Row],[Customer Gender]] = "O", "Other",  "Unkown")))</f>
        <v>Female</v>
      </c>
    </row>
    <row r="790" spans="1:15" hidden="1"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IF(orders[[#This Row],[Customer Gender]] = "M", "Male", IF(orders[[#This Row],[Customer Gender]] = "F", "Female", IF(orders[[#This Row],[Customer Gender]] = "O", "Other",  "Unkown")))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IF(orders[[#This Row],[Customer Gender]] = "M", "Male", IF(orders[[#This Row],[Customer Gender]] = "F", "Female", IF(orders[[#This Row],[Customer Gender]] = "O", "Other",  "Unkown")))</f>
        <v>Female</v>
      </c>
    </row>
    <row r="792" spans="1:15" hidden="1"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IF(orders[[#This Row],[Customer Gender]] = "M", "Male", IF(orders[[#This Row],[Customer Gender]] = "F", "Female", IF(orders[[#This Row],[Customer Gender]] = "O", "Other",  "Unkown")))</f>
        <v>Male</v>
      </c>
    </row>
    <row r="793" spans="1:15" hidden="1"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IF(orders[[#This Row],[Customer Gender]] = "M", "Male", IF(orders[[#This Row],[Customer Gender]] = "F", "Female", IF(orders[[#This Row],[Customer Gender]] = "O", "Other",  "Unkown")))</f>
        <v>Male</v>
      </c>
    </row>
    <row r="794" spans="1:15" hidden="1"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IF(orders[[#This Row],[Customer Gender]] = "M", "Male", IF(orders[[#This Row],[Customer Gender]] = "F", "Female", IF(orders[[#This Row],[Customer Gender]] = "O", "Other",  "Unkown")))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IF(orders[[#This Row],[Customer Gender]] = "M", "Male", IF(orders[[#This Row],[Customer Gender]] = "F", "Female", IF(orders[[#This Row],[Customer Gender]] = "O", "Other",  "Unkown")))</f>
        <v>Female</v>
      </c>
    </row>
    <row r="796" spans="1:15" hidden="1"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IF(orders[[#This Row],[Customer Gender]] = "M", "Male", IF(orders[[#This Row],[Customer Gender]] = "F", "Female", IF(orders[[#This Row],[Customer Gender]] = "O", "Other",  "Unkown")))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IF(orders[[#This Row],[Customer Gender]] = "M", "Male", IF(orders[[#This Row],[Customer Gender]] = "F", "Female", IF(orders[[#This Row],[Customer Gender]] = "O", "Other",  "Unkown")))</f>
        <v>Female</v>
      </c>
    </row>
    <row r="798" spans="1:15" hidden="1"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IF(orders[[#This Row],[Customer Gender]] = "M", "Male", IF(orders[[#This Row],[Customer Gender]] = "F", "Female", IF(orders[[#This Row],[Customer Gender]] = "O", "Other",  "Unkown")))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IF(orders[[#This Row],[Customer Gender]] = "M", "Male", IF(orders[[#This Row],[Customer Gender]] = "F", "Female", IF(orders[[#This Row],[Customer Gender]] = "O", "Other",  "Unkown")))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IF(orders[[#This Row],[Customer Gender]] = "M", "Male", IF(orders[[#This Row],[Customer Gender]] = "F", "Female", IF(orders[[#This Row],[Customer Gender]] = "O", "Other",  "Unkown")))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IF(orders[[#This Row],[Customer Gender]] = "M", "Male", IF(orders[[#This Row],[Customer Gender]] = "F", "Female", IF(orders[[#This Row],[Customer Gender]] = "O", "Other",  "Unkown")))</f>
        <v>Female</v>
      </c>
    </row>
    <row r="802" spans="1:15" hidden="1"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IF(orders[[#This Row],[Customer Gender]] = "M", "Male", IF(orders[[#This Row],[Customer Gender]] = "F", "Female", IF(orders[[#This Row],[Customer Gender]] = "O", "Other",  "Unkown")))</f>
        <v>Male</v>
      </c>
    </row>
    <row r="803" spans="1:15" hidden="1"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IF(orders[[#This Row],[Customer Gender]] = "M", "Male", IF(orders[[#This Row],[Customer Gender]] = "F", "Female", IF(orders[[#This Row],[Customer Gender]] = "O", "Other",  "Unkown")))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IF(orders[[#This Row],[Customer Gender]] = "M", "Male", IF(orders[[#This Row],[Customer Gender]] = "F", "Female", IF(orders[[#This Row],[Customer Gender]] = "O", "Other",  "Unkown")))</f>
        <v>Female</v>
      </c>
    </row>
    <row r="805" spans="1:15" hidden="1"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IF(orders[[#This Row],[Customer Gender]] = "M", "Male", IF(orders[[#This Row],[Customer Gender]] = "F", "Female", IF(orders[[#This Row],[Customer Gender]] = "O", "Other",  "Unkown")))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IF(orders[[#This Row],[Customer Gender]] = "M", "Male", IF(orders[[#This Row],[Customer Gender]] = "F", "Female", IF(orders[[#This Row],[Customer Gender]] = "O", "Other",  "Unkown")))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IF(orders[[#This Row],[Customer Gender]] = "M", "Male", IF(orders[[#This Row],[Customer Gender]] = "F", "Female", IF(orders[[#This Row],[Customer Gender]] = "O", "Other",  "Unkown")))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IF(orders[[#This Row],[Customer Gender]] = "M", "Male", IF(orders[[#This Row],[Customer Gender]] = "F", "Female", IF(orders[[#This Row],[Customer Gender]] = "O", "Other",  "Unkown")))</f>
        <v>Female</v>
      </c>
    </row>
    <row r="809" spans="1:15" hidden="1"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IF(orders[[#This Row],[Customer Gender]] = "M", "Male", IF(orders[[#This Row],[Customer Gender]] = "F", "Female", IF(orders[[#This Row],[Customer Gender]] = "O", "Other",  "Unkown")))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IF(orders[[#This Row],[Customer Gender]] = "M", "Male", IF(orders[[#This Row],[Customer Gender]] = "F", "Female", IF(orders[[#This Row],[Customer Gender]] = "O", "Other",  "Unkown")))</f>
        <v>Female</v>
      </c>
    </row>
    <row r="811" spans="1:15" hidden="1"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IF(orders[[#This Row],[Customer Gender]] = "M", "Male", IF(orders[[#This Row],[Customer Gender]] = "F", "Female", IF(orders[[#This Row],[Customer Gender]] = "O", "Other",  "Unkown")))</f>
        <v>Unkown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IF(orders[[#This Row],[Customer Gender]] = "M", "Male", IF(orders[[#This Row],[Customer Gender]] = "F", "Female", IF(orders[[#This Row],[Customer Gender]] = "O", "Other",  "Unkown")))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IF(orders[[#This Row],[Customer Gender]] = "M", "Male", IF(orders[[#This Row],[Customer Gender]] = "F", "Female", IF(orders[[#This Row],[Customer Gender]] = "O", "Other",  "Unkown")))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IF(orders[[#This Row],[Customer Gender]] = "M", "Male", IF(orders[[#This Row],[Customer Gender]] = "F", "Female", IF(orders[[#This Row],[Customer Gender]] = "O", "Other",  "Unkown")))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IF(orders[[#This Row],[Customer Gender]] = "M", "Male", IF(orders[[#This Row],[Customer Gender]] = "F", "Female", IF(orders[[#This Row],[Customer Gender]] = "O", "Other",  "Unkown")))</f>
        <v>Female</v>
      </c>
    </row>
    <row r="816" spans="1:15" hidden="1"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IF(orders[[#This Row],[Customer Gender]] = "M", "Male", IF(orders[[#This Row],[Customer Gender]] = "F", "Female", IF(orders[[#This Row],[Customer Gender]] = "O", "Other",  "Unkown")))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IF(orders[[#This Row],[Customer Gender]] = "M", "Male", IF(orders[[#This Row],[Customer Gender]] = "F", "Female", IF(orders[[#This Row],[Customer Gender]] = "O", "Other",  "Unkown")))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IF(orders[[#This Row],[Customer Gender]] = "M", "Male", IF(orders[[#This Row],[Customer Gender]] = "F", "Female", IF(orders[[#This Row],[Customer Gender]] = "O", "Other",  "Unkown")))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IF(orders[[#This Row],[Customer Gender]] = "M", "Male", IF(orders[[#This Row],[Customer Gender]] = "F", "Female", IF(orders[[#This Row],[Customer Gender]] = "O", "Other",  "Unkown")))</f>
        <v>Female</v>
      </c>
    </row>
    <row r="820" spans="1:15" hidden="1"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IF(orders[[#This Row],[Customer Gender]] = "M", "Male", IF(orders[[#This Row],[Customer Gender]] = "F", "Female", IF(orders[[#This Row],[Customer Gender]] = "O", "Other",  "Unkown")))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IF(orders[[#This Row],[Customer Gender]] = "M", "Male", IF(orders[[#This Row],[Customer Gender]] = "F", "Female", IF(orders[[#This Row],[Customer Gender]] = "O", "Other",  "Unkown")))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IF(orders[[#This Row],[Customer Gender]] = "M", "Male", IF(orders[[#This Row],[Customer Gender]] = "F", "Female", IF(orders[[#This Row],[Customer Gender]] = "O", "Other",  "Unkown")))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IF(orders[[#This Row],[Customer Gender]] = "M", "Male", IF(orders[[#This Row],[Customer Gender]] = "F", "Female", IF(orders[[#This Row],[Customer Gender]] = "O", "Other",  "Unkown")))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IF(orders[[#This Row],[Customer Gender]] = "M", "Male", IF(orders[[#This Row],[Customer Gender]] = "F", "Female", IF(orders[[#This Row],[Customer Gender]] = "O", "Other",  "Unkown")))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IF(orders[[#This Row],[Customer Gender]] = "M", "Male", IF(orders[[#This Row],[Customer Gender]] = "F", "Female", IF(orders[[#This Row],[Customer Gender]] = "O", "Other",  "Unkown")))</f>
        <v>Female</v>
      </c>
    </row>
    <row r="826" spans="1:15" hidden="1"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IF(orders[[#This Row],[Customer Gender]] = "M", "Male", IF(orders[[#This Row],[Customer Gender]] = "F", "Female", IF(orders[[#This Row],[Customer Gender]] = "O", "Other",  "Unkown")))</f>
        <v>Male</v>
      </c>
    </row>
    <row r="827" spans="1:15" hidden="1"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IF(orders[[#This Row],[Customer Gender]] = "M", "Male", IF(orders[[#This Row],[Customer Gender]] = "F", "Female", IF(orders[[#This Row],[Customer Gender]] = "O", "Other",  "Unkown")))</f>
        <v>Male</v>
      </c>
    </row>
    <row r="828" spans="1:15" hidden="1"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IF(orders[[#This Row],[Customer Gender]] = "M", "Male", IF(orders[[#This Row],[Customer Gender]] = "F", "Female", IF(orders[[#This Row],[Customer Gender]] = "O", "Other",  "Unkown")))</f>
        <v>Unkown</v>
      </c>
    </row>
    <row r="829" spans="1:15" hidden="1"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IF(orders[[#This Row],[Customer Gender]] = "M", "Male", IF(orders[[#This Row],[Customer Gender]] = "F", "Female", IF(orders[[#This Row],[Customer Gender]] = "O", "Other",  "Unkown")))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IF(orders[[#This Row],[Customer Gender]] = "M", "Male", IF(orders[[#This Row],[Customer Gender]] = "F", "Female", IF(orders[[#This Row],[Customer Gender]] = "O", "Other",  "Unkown")))</f>
        <v>Female</v>
      </c>
    </row>
    <row r="831" spans="1:15" hidden="1"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IF(orders[[#This Row],[Customer Gender]] = "M", "Male", IF(orders[[#This Row],[Customer Gender]] = "F", "Female", IF(orders[[#This Row],[Customer Gender]] = "O", "Other",  "Unkown")))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IF(orders[[#This Row],[Customer Gender]] = "M", "Male", IF(orders[[#This Row],[Customer Gender]] = "F", "Female", IF(orders[[#This Row],[Customer Gender]] = "O", "Other",  "Unkown")))</f>
        <v>Female</v>
      </c>
    </row>
    <row r="833" spans="1:15" hidden="1"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IF(orders[[#This Row],[Customer Gender]] = "M", "Male", IF(orders[[#This Row],[Customer Gender]] = "F", "Female", IF(orders[[#This Row],[Customer Gender]] = "O", "Other",  "Unkown")))</f>
        <v>Unkown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IF(orders[[#This Row],[Customer Gender]] = "M", "Male", IF(orders[[#This Row],[Customer Gender]] = "F", "Female", IF(orders[[#This Row],[Customer Gender]] = "O", "Other",  "Unkown")))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IF(orders[[#This Row],[Customer Gender]] = "M", "Male", IF(orders[[#This Row],[Customer Gender]] = "F", "Female", IF(orders[[#This Row],[Customer Gender]] = "O", "Other",  "Unkown")))</f>
        <v>Female</v>
      </c>
    </row>
    <row r="836" spans="1:15" hidden="1"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IF(orders[[#This Row],[Customer Gender]] = "M", "Male", IF(orders[[#This Row],[Customer Gender]] = "F", "Female", IF(orders[[#This Row],[Customer Gender]] = "O", "Other",  "Unkown")))</f>
        <v>Male</v>
      </c>
    </row>
    <row r="837" spans="1:15" hidden="1"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IF(orders[[#This Row],[Customer Gender]] = "M", "Male", IF(orders[[#This Row],[Customer Gender]] = "F", "Female", IF(orders[[#This Row],[Customer Gender]] = "O", "Other",  "Unkown")))</f>
        <v>Male</v>
      </c>
    </row>
    <row r="838" spans="1:15" hidden="1"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IF(orders[[#This Row],[Customer Gender]] = "M", "Male", IF(orders[[#This Row],[Customer Gender]] = "F", "Female", IF(orders[[#This Row],[Customer Gender]] = "O", "Other",  "Unkown")))</f>
        <v>Unkown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IF(orders[[#This Row],[Customer Gender]] = "M", "Male", IF(orders[[#This Row],[Customer Gender]] = "F", "Female", IF(orders[[#This Row],[Customer Gender]] = "O", "Other",  "Unkown")))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IF(orders[[#This Row],[Customer Gender]] = "M", "Male", IF(orders[[#This Row],[Customer Gender]] = "F", "Female", IF(orders[[#This Row],[Customer Gender]] = "O", "Other",  "Unkown")))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IF(orders[[#This Row],[Customer Gender]] = "M", "Male", IF(orders[[#This Row],[Customer Gender]] = "F", "Female", IF(orders[[#This Row],[Customer Gender]] = "O", "Other",  "Unkown")))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IF(orders[[#This Row],[Customer Gender]] = "M", "Male", IF(orders[[#This Row],[Customer Gender]] = "F", "Female", IF(orders[[#This Row],[Customer Gender]] = "O", "Other",  "Unkown")))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IF(orders[[#This Row],[Customer Gender]] = "M", "Male", IF(orders[[#This Row],[Customer Gender]] = "F", "Female", IF(orders[[#This Row],[Customer Gender]] = "O", "Other",  "Unkown")))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IF(orders[[#This Row],[Customer Gender]] = "M", "Male", IF(orders[[#This Row],[Customer Gender]] = "F", "Female", IF(orders[[#This Row],[Customer Gender]] = "O", "Other",  "Unkown")))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IF(orders[[#This Row],[Customer Gender]] = "M", "Male", IF(orders[[#This Row],[Customer Gender]] = "F", "Female", IF(orders[[#This Row],[Customer Gender]] = "O", "Other",  "Unkown")))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IF(orders[[#This Row],[Customer Gender]] = "M", "Male", IF(orders[[#This Row],[Customer Gender]] = "F", "Female", IF(orders[[#This Row],[Customer Gender]] = "O", "Other",  "Unkown")))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IF(orders[[#This Row],[Customer Gender]] = "M", "Male", IF(orders[[#This Row],[Customer Gender]] = "F", "Female", IF(orders[[#This Row],[Customer Gender]] = "O", "Other",  "Unkown")))</f>
        <v>Female</v>
      </c>
    </row>
    <row r="848" spans="1:15" hidden="1"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IF(orders[[#This Row],[Customer Gender]] = "M", "Male", IF(orders[[#This Row],[Customer Gender]] = "F", "Female", IF(orders[[#This Row],[Customer Gender]] = "O", "Other",  "Unkown")))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IF(orders[[#This Row],[Customer Gender]] = "M", "Male", IF(orders[[#This Row],[Customer Gender]] = "F", "Female", IF(orders[[#This Row],[Customer Gender]] = "O", "Other",  "Unkown")))</f>
        <v>Female</v>
      </c>
    </row>
    <row r="850" spans="1:15" hidden="1"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IF(orders[[#This Row],[Customer Gender]] = "M", "Male", IF(orders[[#This Row],[Customer Gender]] = "F", "Female", IF(orders[[#This Row],[Customer Gender]] = "O", "Other",  "Unkown")))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IF(orders[[#This Row],[Customer Gender]] = "M", "Male", IF(orders[[#This Row],[Customer Gender]] = "F", "Female", IF(orders[[#This Row],[Customer Gender]] = "O", "Other",  "Unkown")))</f>
        <v>Female</v>
      </c>
    </row>
    <row r="852" spans="1:15" hidden="1"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IF(orders[[#This Row],[Customer Gender]] = "M", "Male", IF(orders[[#This Row],[Customer Gender]] = "F", "Female", IF(orders[[#This Row],[Customer Gender]] = "O", "Other",  "Unkown")))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IF(orders[[#This Row],[Customer Gender]] = "M", "Male", IF(orders[[#This Row],[Customer Gender]] = "F", "Female", IF(orders[[#This Row],[Customer Gender]] = "O", "Other",  "Unkown")))</f>
        <v>Female</v>
      </c>
    </row>
    <row r="854" spans="1:15" hidden="1"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IF(orders[[#This Row],[Customer Gender]] = "M", "Male", IF(orders[[#This Row],[Customer Gender]] = "F", "Female", IF(orders[[#This Row],[Customer Gender]] = "O", "Other",  "Unkown")))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IF(orders[[#This Row],[Customer Gender]] = "M", "Male", IF(orders[[#This Row],[Customer Gender]] = "F", "Female", IF(orders[[#This Row],[Customer Gender]] = "O", "Other",  "Unkown")))</f>
        <v>Female</v>
      </c>
    </row>
    <row r="856" spans="1:15" hidden="1"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IF(orders[[#This Row],[Customer Gender]] = "M", "Male", IF(orders[[#This Row],[Customer Gender]] = "F", "Female", IF(orders[[#This Row],[Customer Gender]] = "O", "Other",  "Unkown")))</f>
        <v>Male</v>
      </c>
    </row>
    <row r="857" spans="1:15" hidden="1"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IF(orders[[#This Row],[Customer Gender]] = "M", "Male", IF(orders[[#This Row],[Customer Gender]] = "F", "Female", IF(orders[[#This Row],[Customer Gender]] = "O", "Other",  "Unkown")))</f>
        <v>Unkown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IF(orders[[#This Row],[Customer Gender]] = "M", "Male", IF(orders[[#This Row],[Customer Gender]] = "F", "Female", IF(orders[[#This Row],[Customer Gender]] = "O", "Other",  "Unkown")))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IF(orders[[#This Row],[Customer Gender]] = "M", "Male", IF(orders[[#This Row],[Customer Gender]] = "F", "Female", IF(orders[[#This Row],[Customer Gender]] = "O", "Other",  "Unkown")))</f>
        <v>Female</v>
      </c>
    </row>
    <row r="860" spans="1:15" hidden="1"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IF(orders[[#This Row],[Customer Gender]] = "M", "Male", IF(orders[[#This Row],[Customer Gender]] = "F", "Female", IF(orders[[#This Row],[Customer Gender]] = "O", "Other",  "Unkown")))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IF(orders[[#This Row],[Customer Gender]] = "M", "Male", IF(orders[[#This Row],[Customer Gender]] = "F", "Female", IF(orders[[#This Row],[Customer Gender]] = "O", "Other",  "Unkown")))</f>
        <v>Female</v>
      </c>
    </row>
    <row r="862" spans="1:15" hidden="1"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IF(orders[[#This Row],[Customer Gender]] = "M", "Male", IF(orders[[#This Row],[Customer Gender]] = "F", "Female", IF(orders[[#This Row],[Customer Gender]] = "O", "Other",  "Unkown")))</f>
        <v>Unkown</v>
      </c>
    </row>
    <row r="863" spans="1:15" hidden="1"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IF(orders[[#This Row],[Customer Gender]] = "M", "Male", IF(orders[[#This Row],[Customer Gender]] = "F", "Female", IF(orders[[#This Row],[Customer Gender]] = "O", "Other",  "Unkown")))</f>
        <v>Male</v>
      </c>
    </row>
    <row r="864" spans="1:15" hidden="1"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IF(orders[[#This Row],[Customer Gender]] = "M", "Male", IF(orders[[#This Row],[Customer Gender]] = "F", "Female", IF(orders[[#This Row],[Customer Gender]] = "O", "Other",  "Unkown")))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IF(orders[[#This Row],[Customer Gender]] = "M", "Male", IF(orders[[#This Row],[Customer Gender]] = "F", "Female", IF(orders[[#This Row],[Customer Gender]] = "O", "Other",  "Unkown")))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IF(orders[[#This Row],[Customer Gender]] = "M", "Male", IF(orders[[#This Row],[Customer Gender]] = "F", "Female", IF(orders[[#This Row],[Customer Gender]] = "O", "Other",  "Unkown")))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IF(orders[[#This Row],[Customer Gender]] = "M", "Male", IF(orders[[#This Row],[Customer Gender]] = "F", "Female", IF(orders[[#This Row],[Customer Gender]] = "O", "Other",  "Unkown")))</f>
        <v>Female</v>
      </c>
    </row>
    <row r="868" spans="1:15" hidden="1"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IF(orders[[#This Row],[Customer Gender]] = "M", "Male", IF(orders[[#This Row],[Customer Gender]] = "F", "Female", IF(orders[[#This Row],[Customer Gender]] = "O", "Other",  "Unkown")))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IF(orders[[#This Row],[Customer Gender]] = "M", "Male", IF(orders[[#This Row],[Customer Gender]] = "F", "Female", IF(orders[[#This Row],[Customer Gender]] = "O", "Other",  "Unkown")))</f>
        <v>Female</v>
      </c>
    </row>
    <row r="870" spans="1:15" hidden="1"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IF(orders[[#This Row],[Customer Gender]] = "M", "Male", IF(orders[[#This Row],[Customer Gender]] = "F", "Female", IF(orders[[#This Row],[Customer Gender]] = "O", "Other",  "Unkown")))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IF(orders[[#This Row],[Customer Gender]] = "M", "Male", IF(orders[[#This Row],[Customer Gender]] = "F", "Female", IF(orders[[#This Row],[Customer Gender]] = "O", "Other",  "Unkown")))</f>
        <v>Female</v>
      </c>
    </row>
    <row r="872" spans="1:15" hidden="1"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IF(orders[[#This Row],[Customer Gender]] = "M", "Male", IF(orders[[#This Row],[Customer Gender]] = "F", "Female", IF(orders[[#This Row],[Customer Gender]] = "O", "Other",  "Unkown")))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IF(orders[[#This Row],[Customer Gender]] = "M", "Male", IF(orders[[#This Row],[Customer Gender]] = "F", "Female", IF(orders[[#This Row],[Customer Gender]] = "O", "Other",  "Unkown")))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IF(orders[[#This Row],[Customer Gender]] = "M", "Male", IF(orders[[#This Row],[Customer Gender]] = "F", "Female", IF(orders[[#This Row],[Customer Gender]] = "O", "Other",  "Unkown")))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IF(orders[[#This Row],[Customer Gender]] = "M", "Male", IF(orders[[#This Row],[Customer Gender]] = "F", "Female", IF(orders[[#This Row],[Customer Gender]] = "O", "Other",  "Unkown")))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IF(orders[[#This Row],[Customer Gender]] = "M", "Male", IF(orders[[#This Row],[Customer Gender]] = "F", "Female", IF(orders[[#This Row],[Customer Gender]] = "O", "Other",  "Unkown")))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IF(orders[[#This Row],[Customer Gender]] = "M", "Male", IF(orders[[#This Row],[Customer Gender]] = "F", "Female", IF(orders[[#This Row],[Customer Gender]] = "O", "Other",  "Unkown")))</f>
        <v>Female</v>
      </c>
    </row>
    <row r="878" spans="1:15" hidden="1"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IF(orders[[#This Row],[Customer Gender]] = "M", "Male", IF(orders[[#This Row],[Customer Gender]] = "F", "Female", IF(orders[[#This Row],[Customer Gender]] = "O", "Other",  "Unkown")))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IF(orders[[#This Row],[Customer Gender]] = "M", "Male", IF(orders[[#This Row],[Customer Gender]] = "F", "Female", IF(orders[[#This Row],[Customer Gender]] = "O", "Other",  "Unkown")))</f>
        <v>Female</v>
      </c>
    </row>
    <row r="880" spans="1:15" hidden="1"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IF(orders[[#This Row],[Customer Gender]] = "M", "Male", IF(orders[[#This Row],[Customer Gender]] = "F", "Female", IF(orders[[#This Row],[Customer Gender]] = "O", "Other",  "Unkown")))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IF(orders[[#This Row],[Customer Gender]] = "M", "Male", IF(orders[[#This Row],[Customer Gender]] = "F", "Female", IF(orders[[#This Row],[Customer Gender]] = "O", "Other",  "Unkown")))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IF(orders[[#This Row],[Customer Gender]] = "M", "Male", IF(orders[[#This Row],[Customer Gender]] = "F", "Female", IF(orders[[#This Row],[Customer Gender]] = "O", "Other",  "Unkown")))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IF(orders[[#This Row],[Customer Gender]] = "M", "Male", IF(orders[[#This Row],[Customer Gender]] = "F", "Female", IF(orders[[#This Row],[Customer Gender]] = "O", "Other",  "Unkown")))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IF(orders[[#This Row],[Customer Gender]] = "M", "Male", IF(orders[[#This Row],[Customer Gender]] = "F", "Female", IF(orders[[#This Row],[Customer Gender]] = "O", "Other",  "Unkown")))</f>
        <v>Female</v>
      </c>
    </row>
    <row r="885" spans="1:15" hidden="1"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IF(orders[[#This Row],[Customer Gender]] = "M", "Male", IF(orders[[#This Row],[Customer Gender]] = "F", "Female", IF(orders[[#This Row],[Customer Gender]] = "O", "Other",  "Unkown")))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IF(orders[[#This Row],[Customer Gender]] = "M", "Male", IF(orders[[#This Row],[Customer Gender]] = "F", "Female", IF(orders[[#This Row],[Customer Gender]] = "O", "Other",  "Unkown")))</f>
        <v>Female</v>
      </c>
    </row>
    <row r="887" spans="1:15" hidden="1"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IF(orders[[#This Row],[Customer Gender]] = "M", "Male", IF(orders[[#This Row],[Customer Gender]] = "F", "Female", IF(orders[[#This Row],[Customer Gender]] = "O", "Other",  "Unkown")))</f>
        <v>Male</v>
      </c>
    </row>
    <row r="888" spans="1:15" hidden="1"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IF(orders[[#This Row],[Customer Gender]] = "M", "Male", IF(orders[[#This Row],[Customer Gender]] = "F", "Female", IF(orders[[#This Row],[Customer Gender]] = "O", "Other",  "Unkown")))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IF(orders[[#This Row],[Customer Gender]] = "M", "Male", IF(orders[[#This Row],[Customer Gender]] = "F", "Female", IF(orders[[#This Row],[Customer Gender]] = "O", "Other",  "Unkown")))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IF(orders[[#This Row],[Customer Gender]] = "M", "Male", IF(orders[[#This Row],[Customer Gender]] = "F", "Female", IF(orders[[#This Row],[Customer Gender]] = "O", "Other",  "Unkown")))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IF(orders[[#This Row],[Customer Gender]] = "M", "Male", IF(orders[[#This Row],[Customer Gender]] = "F", "Female", IF(orders[[#This Row],[Customer Gender]] = "O", "Other",  "Unkown")))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IF(orders[[#This Row],[Customer Gender]] = "M", "Male", IF(orders[[#This Row],[Customer Gender]] = "F", "Female", IF(orders[[#This Row],[Customer Gender]] = "O", "Other",  "Unkown")))</f>
        <v>Female</v>
      </c>
    </row>
    <row r="893" spans="1:15" hidden="1"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IF(orders[[#This Row],[Customer Gender]] = "M", "Male", IF(orders[[#This Row],[Customer Gender]] = "F", "Female", IF(orders[[#This Row],[Customer Gender]] = "O", "Other",  "Unkown")))</f>
        <v>Male</v>
      </c>
    </row>
    <row r="894" spans="1:15" hidden="1"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IF(orders[[#This Row],[Customer Gender]] = "M", "Male", IF(orders[[#This Row],[Customer Gender]] = "F", "Female", IF(orders[[#This Row],[Customer Gender]] = "O", "Other",  "Unkown")))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IF(orders[[#This Row],[Customer Gender]] = "M", "Male", IF(orders[[#This Row],[Customer Gender]] = "F", "Female", IF(orders[[#This Row],[Customer Gender]] = "O", "Other",  "Unkown")))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IF(orders[[#This Row],[Customer Gender]] = "M", "Male", IF(orders[[#This Row],[Customer Gender]] = "F", "Female", IF(orders[[#This Row],[Customer Gender]] = "O", "Other",  "Unkown")))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IF(orders[[#This Row],[Customer Gender]] = "M", "Male", IF(orders[[#This Row],[Customer Gender]] = "F", "Female", IF(orders[[#This Row],[Customer Gender]] = "O", "Other",  "Unkown")))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IF(orders[[#This Row],[Customer Gender]] = "M", "Male", IF(orders[[#This Row],[Customer Gender]] = "F", "Female", IF(orders[[#This Row],[Customer Gender]] = "O", "Other",  "Unkown")))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IF(orders[[#This Row],[Customer Gender]] = "M", "Male", IF(orders[[#This Row],[Customer Gender]] = "F", "Female", IF(orders[[#This Row],[Customer Gender]] = "O", "Other",  "Unkown")))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IF(orders[[#This Row],[Customer Gender]] = "M", "Male", IF(orders[[#This Row],[Customer Gender]] = "F", "Female", IF(orders[[#This Row],[Customer Gender]] = "O", "Other",  "Unkown")))</f>
        <v>Female</v>
      </c>
    </row>
    <row r="901" spans="1:15" hidden="1"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IF(orders[[#This Row],[Customer Gender]] = "M", "Male", IF(orders[[#This Row],[Customer Gender]] = "F", "Female", IF(orders[[#This Row],[Customer Gender]] = "O", "Other",  "Unkown")))</f>
        <v>Unkown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IF(orders[[#This Row],[Customer Gender]] = "M", "Male", IF(orders[[#This Row],[Customer Gender]] = "F", "Female", IF(orders[[#This Row],[Customer Gender]] = "O", "Other",  "Unkown")))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IF(orders[[#This Row],[Customer Gender]] = "M", "Male", IF(orders[[#This Row],[Customer Gender]] = "F", "Female", IF(orders[[#This Row],[Customer Gender]] = "O", "Other",  "Unkown")))</f>
        <v>Female</v>
      </c>
    </row>
    <row r="904" spans="1:15" hidden="1"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IF(orders[[#This Row],[Customer Gender]] = "M", "Male", IF(orders[[#This Row],[Customer Gender]] = "F", "Female", IF(orders[[#This Row],[Customer Gender]] = "O", "Other",  "Unkown")))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IF(orders[[#This Row],[Customer Gender]] = "M", "Male", IF(orders[[#This Row],[Customer Gender]] = "F", "Female", IF(orders[[#This Row],[Customer Gender]] = "O", "Other",  "Unkown")))</f>
        <v>Female</v>
      </c>
    </row>
    <row r="906" spans="1:15" hidden="1"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IF(orders[[#This Row],[Customer Gender]] = "M", "Male", IF(orders[[#This Row],[Customer Gender]] = "F", "Female", IF(orders[[#This Row],[Customer Gender]] = "O", "Other",  "Unkown")))</f>
        <v>Other</v>
      </c>
    </row>
    <row r="907" spans="1:15" hidden="1"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IF(orders[[#This Row],[Customer Gender]] = "M", "Male", IF(orders[[#This Row],[Customer Gender]] = "F", "Female", IF(orders[[#This Row],[Customer Gender]] = "O", "Other",  "Unkown")))</f>
        <v>Unkown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IF(orders[[#This Row],[Customer Gender]] = "M", "Male", IF(orders[[#This Row],[Customer Gender]] = "F", "Female", IF(orders[[#This Row],[Customer Gender]] = "O", "Other",  "Unkown")))</f>
        <v>Female</v>
      </c>
    </row>
    <row r="909" spans="1:15" hidden="1"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IF(orders[[#This Row],[Customer Gender]] = "M", "Male", IF(orders[[#This Row],[Customer Gender]] = "F", "Female", IF(orders[[#This Row],[Customer Gender]] = "O", "Other",  "Unkown")))</f>
        <v>Male</v>
      </c>
    </row>
    <row r="910" spans="1:15" hidden="1"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IF(orders[[#This Row],[Customer Gender]] = "M", "Male", IF(orders[[#This Row],[Customer Gender]] = "F", "Female", IF(orders[[#This Row],[Customer Gender]] = "O", "Other",  "Unkown")))</f>
        <v>Male</v>
      </c>
    </row>
    <row r="911" spans="1:15" hidden="1"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IF(orders[[#This Row],[Customer Gender]] = "M", "Male", IF(orders[[#This Row],[Customer Gender]] = "F", "Female", IF(orders[[#This Row],[Customer Gender]] = "O", "Other",  "Unkown")))</f>
        <v>Unkown</v>
      </c>
    </row>
    <row r="912" spans="1:15" hidden="1"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IF(orders[[#This Row],[Customer Gender]] = "M", "Male", IF(orders[[#This Row],[Customer Gender]] = "F", "Female", IF(orders[[#This Row],[Customer Gender]] = "O", "Other",  "Unkown")))</f>
        <v>Male</v>
      </c>
    </row>
    <row r="913" spans="1:15" hidden="1"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IF(orders[[#This Row],[Customer Gender]] = "M", "Male", IF(orders[[#This Row],[Customer Gender]] = "F", "Female", IF(orders[[#This Row],[Customer Gender]] = "O", "Other",  "Unkown")))</f>
        <v>Male</v>
      </c>
    </row>
    <row r="914" spans="1:15" hidden="1"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IF(orders[[#This Row],[Customer Gender]] = "M", "Male", IF(orders[[#This Row],[Customer Gender]] = "F", "Female", IF(orders[[#This Row],[Customer Gender]] = "O", "Other",  "Unkown")))</f>
        <v>Male</v>
      </c>
    </row>
    <row r="915" spans="1:15" hidden="1"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IF(orders[[#This Row],[Customer Gender]] = "M", "Male", IF(orders[[#This Row],[Customer Gender]] = "F", "Female", IF(orders[[#This Row],[Customer Gender]] = "O", "Other",  "Unkown")))</f>
        <v>Unkown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IF(orders[[#This Row],[Customer Gender]] = "M", "Male", IF(orders[[#This Row],[Customer Gender]] = "F", "Female", IF(orders[[#This Row],[Customer Gender]] = "O", "Other",  "Unkown")))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IF(orders[[#This Row],[Customer Gender]] = "M", "Male", IF(orders[[#This Row],[Customer Gender]] = "F", "Female", IF(orders[[#This Row],[Customer Gender]] = "O", "Other",  "Unkown")))</f>
        <v>Female</v>
      </c>
    </row>
    <row r="918" spans="1:15" hidden="1"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IF(orders[[#This Row],[Customer Gender]] = "M", "Male", IF(orders[[#This Row],[Customer Gender]] = "F", "Female", IF(orders[[#This Row],[Customer Gender]] = "O", "Other",  "Unkown")))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IF(orders[[#This Row],[Customer Gender]] = "M", "Male", IF(orders[[#This Row],[Customer Gender]] = "F", "Female", IF(orders[[#This Row],[Customer Gender]] = "O", "Other",  "Unkown")))</f>
        <v>Female</v>
      </c>
    </row>
    <row r="920" spans="1:15" hidden="1"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IF(orders[[#This Row],[Customer Gender]] = "M", "Male", IF(orders[[#This Row],[Customer Gender]] = "F", "Female", IF(orders[[#This Row],[Customer Gender]] = "O", "Other",  "Unkown")))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IF(orders[[#This Row],[Customer Gender]] = "M", "Male", IF(orders[[#This Row],[Customer Gender]] = "F", "Female", IF(orders[[#This Row],[Customer Gender]] = "O", "Other",  "Unkown")))</f>
        <v>Female</v>
      </c>
    </row>
    <row r="922" spans="1:15" hidden="1"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IF(orders[[#This Row],[Customer Gender]] = "M", "Male", IF(orders[[#This Row],[Customer Gender]] = "F", "Female", IF(orders[[#This Row],[Customer Gender]] = "O", "Other",  "Unkown")))</f>
        <v>Unkown</v>
      </c>
    </row>
    <row r="923" spans="1:15" hidden="1"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IF(orders[[#This Row],[Customer Gender]] = "M", "Male", IF(orders[[#This Row],[Customer Gender]] = "F", "Female", IF(orders[[#This Row],[Customer Gender]] = "O", "Other",  "Unkown")))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IF(orders[[#This Row],[Customer Gender]] = "M", "Male", IF(orders[[#This Row],[Customer Gender]] = "F", "Female", IF(orders[[#This Row],[Customer Gender]] = "O", "Other",  "Unkown")))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IF(orders[[#This Row],[Customer Gender]] = "M", "Male", IF(orders[[#This Row],[Customer Gender]] = "F", "Female", IF(orders[[#This Row],[Customer Gender]] = "O", "Other",  "Unkown")))</f>
        <v>Female</v>
      </c>
    </row>
    <row r="926" spans="1:15" hidden="1"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IF(orders[[#This Row],[Customer Gender]] = "M", "Male", IF(orders[[#This Row],[Customer Gender]] = "F", "Female", IF(orders[[#This Row],[Customer Gender]] = "O", "Other",  "Unkown")))</f>
        <v>Male</v>
      </c>
    </row>
    <row r="927" spans="1:15" hidden="1"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IF(orders[[#This Row],[Customer Gender]] = "M", "Male", IF(orders[[#This Row],[Customer Gender]] = "F", "Female", IF(orders[[#This Row],[Customer Gender]] = "O", "Other",  "Unkown")))</f>
        <v>Unkown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IF(orders[[#This Row],[Customer Gender]] = "M", "Male", IF(orders[[#This Row],[Customer Gender]] = "F", "Female", IF(orders[[#This Row],[Customer Gender]] = "O", "Other",  "Unkown")))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IF(orders[[#This Row],[Customer Gender]] = "M", "Male", IF(orders[[#This Row],[Customer Gender]] = "F", "Female", IF(orders[[#This Row],[Customer Gender]] = "O", "Other",  "Unkown")))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IF(orders[[#This Row],[Customer Gender]] = "M", "Male", IF(orders[[#This Row],[Customer Gender]] = "F", "Female", IF(orders[[#This Row],[Customer Gender]] = "O", "Other",  "Unkown")))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IF(orders[[#This Row],[Customer Gender]] = "M", "Male", IF(orders[[#This Row],[Customer Gender]] = "F", "Female", IF(orders[[#This Row],[Customer Gender]] = "O", "Other",  "Unkown")))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IF(orders[[#This Row],[Customer Gender]] = "M", "Male", IF(orders[[#This Row],[Customer Gender]] = "F", "Female", IF(orders[[#This Row],[Customer Gender]] = "O", "Other",  "Unkown")))</f>
        <v>Female</v>
      </c>
    </row>
    <row r="933" spans="1:15" hidden="1"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IF(orders[[#This Row],[Customer Gender]] = "M", "Male", IF(orders[[#This Row],[Customer Gender]] = "F", "Female", IF(orders[[#This Row],[Customer Gender]] = "O", "Other",  "Unkown")))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IF(orders[[#This Row],[Customer Gender]] = "M", "Male", IF(orders[[#This Row],[Customer Gender]] = "F", "Female", IF(orders[[#This Row],[Customer Gender]] = "O", "Other",  "Unkown")))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IF(orders[[#This Row],[Customer Gender]] = "M", "Male", IF(orders[[#This Row],[Customer Gender]] = "F", "Female", IF(orders[[#This Row],[Customer Gender]] = "O", "Other",  "Unkown")))</f>
        <v>Female</v>
      </c>
    </row>
    <row r="936" spans="1:15" hidden="1"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IF(orders[[#This Row],[Customer Gender]] = "M", "Male", IF(orders[[#This Row],[Customer Gender]] = "F", "Female", IF(orders[[#This Row],[Customer Gender]] = "O", "Other",  "Unkown")))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IF(orders[[#This Row],[Customer Gender]] = "M", "Male", IF(orders[[#This Row],[Customer Gender]] = "F", "Female", IF(orders[[#This Row],[Customer Gender]] = "O", "Other",  "Unkown")))</f>
        <v>Female</v>
      </c>
    </row>
    <row r="938" spans="1:15" hidden="1"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IF(orders[[#This Row],[Customer Gender]] = "M", "Male", IF(orders[[#This Row],[Customer Gender]] = "F", "Female", IF(orders[[#This Row],[Customer Gender]] = "O", "Other",  "Unkown")))</f>
        <v>Male</v>
      </c>
    </row>
    <row r="939" spans="1:15" hidden="1"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IF(orders[[#This Row],[Customer Gender]] = "M", "Male", IF(orders[[#This Row],[Customer Gender]] = "F", "Female", IF(orders[[#This Row],[Customer Gender]] = "O", "Other",  "Unkown")))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IF(orders[[#This Row],[Customer Gender]] = "M", "Male", IF(orders[[#This Row],[Customer Gender]] = "F", "Female", IF(orders[[#This Row],[Customer Gender]] = "O", "Other",  "Unkown")))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IF(orders[[#This Row],[Customer Gender]] = "M", "Male", IF(orders[[#This Row],[Customer Gender]] = "F", "Female", IF(orders[[#This Row],[Customer Gender]] = "O", "Other",  "Unkown")))</f>
        <v>Female</v>
      </c>
    </row>
    <row r="942" spans="1:15" hidden="1"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IF(orders[[#This Row],[Customer Gender]] = "M", "Male", IF(orders[[#This Row],[Customer Gender]] = "F", "Female", IF(orders[[#This Row],[Customer Gender]] = "O", "Other",  "Unkown")))</f>
        <v>Male</v>
      </c>
    </row>
    <row r="943" spans="1:15" hidden="1"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IF(orders[[#This Row],[Customer Gender]] = "M", "Male", IF(orders[[#This Row],[Customer Gender]] = "F", "Female", IF(orders[[#This Row],[Customer Gender]] = "O", "Other",  "Unkown")))</f>
        <v>Male</v>
      </c>
    </row>
    <row r="944" spans="1:15" hidden="1"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IF(orders[[#This Row],[Customer Gender]] = "M", "Male", IF(orders[[#This Row],[Customer Gender]] = "F", "Female", IF(orders[[#This Row],[Customer Gender]] = "O", "Other",  "Unkown")))</f>
        <v>Unkown</v>
      </c>
    </row>
    <row r="945" spans="1:15" hidden="1"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IF(orders[[#This Row],[Customer Gender]] = "M", "Male", IF(orders[[#This Row],[Customer Gender]] = "F", "Female", IF(orders[[#This Row],[Customer Gender]] = "O", "Other",  "Unkown")))</f>
        <v>Male</v>
      </c>
    </row>
    <row r="946" spans="1:15" hidden="1"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IF(orders[[#This Row],[Customer Gender]] = "M", "Male", IF(orders[[#This Row],[Customer Gender]] = "F", "Female", IF(orders[[#This Row],[Customer Gender]] = "O", "Other",  "Unkown")))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IF(orders[[#This Row],[Customer Gender]] = "M", "Male", IF(orders[[#This Row],[Customer Gender]] = "F", "Female", IF(orders[[#This Row],[Customer Gender]] = "O", "Other",  "Unkown")))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IF(orders[[#This Row],[Customer Gender]] = "M", "Male", IF(orders[[#This Row],[Customer Gender]] = "F", "Female", IF(orders[[#This Row],[Customer Gender]] = "O", "Other",  "Unkown")))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IF(orders[[#This Row],[Customer Gender]] = "M", "Male", IF(orders[[#This Row],[Customer Gender]] = "F", "Female", IF(orders[[#This Row],[Customer Gender]] = "O", "Other",  "Unkown")))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IF(orders[[#This Row],[Customer Gender]] = "M", "Male", IF(orders[[#This Row],[Customer Gender]] = "F", "Female", IF(orders[[#This Row],[Customer Gender]] = "O", "Other",  "Unkown")))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IF(orders[[#This Row],[Customer Gender]] = "M", "Male", IF(orders[[#This Row],[Customer Gender]] = "F", "Female", IF(orders[[#This Row],[Customer Gender]] = "O", "Other",  "Unkown")))</f>
        <v>Female</v>
      </c>
    </row>
    <row r="952" spans="1:15" hidden="1"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IF(orders[[#This Row],[Customer Gender]] = "M", "Male", IF(orders[[#This Row],[Customer Gender]] = "F", "Female", IF(orders[[#This Row],[Customer Gender]] = "O", "Other",  "Unkown")))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IF(orders[[#This Row],[Customer Gender]] = "M", "Male", IF(orders[[#This Row],[Customer Gender]] = "F", "Female", IF(orders[[#This Row],[Customer Gender]] = "O", "Other",  "Unkown")))</f>
        <v>Female</v>
      </c>
    </row>
    <row r="954" spans="1:15" hidden="1"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IF(orders[[#This Row],[Customer Gender]] = "M", "Male", IF(orders[[#This Row],[Customer Gender]] = "F", "Female", IF(orders[[#This Row],[Customer Gender]] = "O", "Other",  "Unkown")))</f>
        <v>Male</v>
      </c>
    </row>
    <row r="955" spans="1:15" hidden="1"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IF(orders[[#This Row],[Customer Gender]] = "M", "Male", IF(orders[[#This Row],[Customer Gender]] = "F", "Female", IF(orders[[#This Row],[Customer Gender]] = "O", "Other",  "Unkown")))</f>
        <v>Male</v>
      </c>
    </row>
    <row r="956" spans="1:15" hidden="1"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IF(orders[[#This Row],[Customer Gender]] = "M", "Male", IF(orders[[#This Row],[Customer Gender]] = "F", "Female", IF(orders[[#This Row],[Customer Gender]] = "O", "Other",  "Unkown")))</f>
        <v>Male</v>
      </c>
    </row>
    <row r="957" spans="1:15" hidden="1"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IF(orders[[#This Row],[Customer Gender]] = "M", "Male", IF(orders[[#This Row],[Customer Gender]] = "F", "Female", IF(orders[[#This Row],[Customer Gender]] = "O", "Other",  "Unkown")))</f>
        <v>Male</v>
      </c>
    </row>
    <row r="958" spans="1:15" hidden="1"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IF(orders[[#This Row],[Customer Gender]] = "M", "Male", IF(orders[[#This Row],[Customer Gender]] = "F", "Female", IF(orders[[#This Row],[Customer Gender]] = "O", "Other",  "Unkown")))</f>
        <v>Male</v>
      </c>
    </row>
    <row r="959" spans="1:15" hidden="1"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IF(orders[[#This Row],[Customer Gender]] = "M", "Male", IF(orders[[#This Row],[Customer Gender]] = "F", "Female", IF(orders[[#This Row],[Customer Gender]] = "O", "Other",  "Unkown")))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IF(orders[[#This Row],[Customer Gender]] = "M", "Male", IF(orders[[#This Row],[Customer Gender]] = "F", "Female", IF(orders[[#This Row],[Customer Gender]] = "O", "Other",  "Unkown")))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IF(orders[[#This Row],[Customer Gender]] = "M", "Male", IF(orders[[#This Row],[Customer Gender]] = "F", "Female", IF(orders[[#This Row],[Customer Gender]] = "O", "Other",  "Unkown")))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IF(orders[[#This Row],[Customer Gender]] = "M", "Male", IF(orders[[#This Row],[Customer Gender]] = "F", "Female", IF(orders[[#This Row],[Customer Gender]] = "O", "Other",  "Unkown")))</f>
        <v>Female</v>
      </c>
    </row>
    <row r="963" spans="1:15" hidden="1"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IF(orders[[#This Row],[Customer Gender]] = "M", "Male", IF(orders[[#This Row],[Customer Gender]] = "F", "Female", IF(orders[[#This Row],[Customer Gender]] = "O", "Other",  "Unkown")))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IF(orders[[#This Row],[Customer Gender]] = "M", "Male", IF(orders[[#This Row],[Customer Gender]] = "F", "Female", IF(orders[[#This Row],[Customer Gender]] = "O", "Other",  "Unkown")))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IF(orders[[#This Row],[Customer Gender]] = "M", "Male", IF(orders[[#This Row],[Customer Gender]] = "F", "Female", IF(orders[[#This Row],[Customer Gender]] = "O", "Other",  "Unkown")))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IF(orders[[#This Row],[Customer Gender]] = "M", "Male", IF(orders[[#This Row],[Customer Gender]] = "F", "Female", IF(orders[[#This Row],[Customer Gender]] = "O", "Other",  "Unkown")))</f>
        <v>Female</v>
      </c>
    </row>
    <row r="967" spans="1:15" hidden="1"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IF(orders[[#This Row],[Customer Gender]] = "M", "Male", IF(orders[[#This Row],[Customer Gender]] = "F", "Female", IF(orders[[#This Row],[Customer Gender]] = "O", "Other",  "Unkown")))</f>
        <v>Male</v>
      </c>
    </row>
    <row r="968" spans="1:15" hidden="1"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IF(orders[[#This Row],[Customer Gender]] = "M", "Male", IF(orders[[#This Row],[Customer Gender]] = "F", "Female", IF(orders[[#This Row],[Customer Gender]] = "O", "Other",  "Unkown")))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IF(orders[[#This Row],[Customer Gender]] = "M", "Male", IF(orders[[#This Row],[Customer Gender]] = "F", "Female", IF(orders[[#This Row],[Customer Gender]] = "O", "Other",  "Unkown")))</f>
        <v>Female</v>
      </c>
    </row>
    <row r="970" spans="1:15" hidden="1"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IF(orders[[#This Row],[Customer Gender]] = "M", "Male", IF(orders[[#This Row],[Customer Gender]] = "F", "Female", IF(orders[[#This Row],[Customer Gender]] = "O", "Other",  "Unkown")))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IF(orders[[#This Row],[Customer Gender]] = "M", "Male", IF(orders[[#This Row],[Customer Gender]] = "F", "Female", IF(orders[[#This Row],[Customer Gender]] = "O", "Other",  "Unkown")))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IF(orders[[#This Row],[Customer Gender]] = "M", "Male", IF(orders[[#This Row],[Customer Gender]] = "F", "Female", IF(orders[[#This Row],[Customer Gender]] = "O", "Other",  "Unkown")))</f>
        <v>Female</v>
      </c>
    </row>
    <row r="973" spans="1:15" hidden="1"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IF(orders[[#This Row],[Customer Gender]] = "M", "Male", IF(orders[[#This Row],[Customer Gender]] = "F", "Female", IF(orders[[#This Row],[Customer Gender]] = "O", "Other",  "Unkown")))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IF(orders[[#This Row],[Customer Gender]] = "M", "Male", IF(orders[[#This Row],[Customer Gender]] = "F", "Female", IF(orders[[#This Row],[Customer Gender]] = "O", "Other",  "Unkown")))</f>
        <v>Female</v>
      </c>
    </row>
    <row r="975" spans="1:15" hidden="1"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IF(orders[[#This Row],[Customer Gender]] = "M", "Male", IF(orders[[#This Row],[Customer Gender]] = "F", "Female", IF(orders[[#This Row],[Customer Gender]] = "O", "Other",  "Unkown")))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IF(orders[[#This Row],[Customer Gender]] = "M", "Male", IF(orders[[#This Row],[Customer Gender]] = "F", "Female", IF(orders[[#This Row],[Customer Gender]] = "O", "Other",  "Unkown")))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IF(orders[[#This Row],[Customer Gender]] = "M", "Male", IF(orders[[#This Row],[Customer Gender]] = "F", "Female", IF(orders[[#This Row],[Customer Gender]] = "O", "Other",  "Unkown")))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IF(orders[[#This Row],[Customer Gender]] = "M", "Male", IF(orders[[#This Row],[Customer Gender]] = "F", "Female", IF(orders[[#This Row],[Customer Gender]] = "O", "Other",  "Unkown")))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IF(orders[[#This Row],[Customer Gender]] = "M", "Male", IF(orders[[#This Row],[Customer Gender]] = "F", "Female", IF(orders[[#This Row],[Customer Gender]] = "O", "Other",  "Unkown")))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IF(orders[[#This Row],[Customer Gender]] = "M", "Male", IF(orders[[#This Row],[Customer Gender]] = "F", "Female", IF(orders[[#This Row],[Customer Gender]] = "O", "Other",  "Unkown")))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IF(orders[[#This Row],[Customer Gender]] = "M", "Male", IF(orders[[#This Row],[Customer Gender]] = "F", "Female", IF(orders[[#This Row],[Customer Gender]] = "O", "Other",  "Unkown")))</f>
        <v>Female</v>
      </c>
    </row>
    <row r="982" spans="1:15" hidden="1"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IF(orders[[#This Row],[Customer Gender]] = "M", "Male", IF(orders[[#This Row],[Customer Gender]] = "F", "Female", IF(orders[[#This Row],[Customer Gender]] = "O", "Other",  "Unkown")))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IF(orders[[#This Row],[Customer Gender]] = "M", "Male", IF(orders[[#This Row],[Customer Gender]] = "F", "Female", IF(orders[[#This Row],[Customer Gender]] = "O", "Other",  "Unkown")))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IF(orders[[#This Row],[Customer Gender]] = "M", "Male", IF(orders[[#This Row],[Customer Gender]] = "F", "Female", IF(orders[[#This Row],[Customer Gender]] = "O", "Other",  "Unkown")))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IF(orders[[#This Row],[Customer Gender]] = "M", "Male", IF(orders[[#This Row],[Customer Gender]] = "F", "Female", IF(orders[[#This Row],[Customer Gender]] = "O", "Other",  "Unkown")))</f>
        <v>Female</v>
      </c>
    </row>
    <row r="986" spans="1:15" hidden="1"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IF(orders[[#This Row],[Customer Gender]] = "M", "Male", IF(orders[[#This Row],[Customer Gender]] = "F", "Female", IF(orders[[#This Row],[Customer Gender]] = "O", "Other",  "Unkown")))</f>
        <v>Male</v>
      </c>
    </row>
    <row r="987" spans="1:15" hidden="1"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IF(orders[[#This Row],[Customer Gender]] = "M", "Male", IF(orders[[#This Row],[Customer Gender]] = "F", "Female", IF(orders[[#This Row],[Customer Gender]] = "O", "Other",  "Unkown")))</f>
        <v>Male</v>
      </c>
    </row>
    <row r="988" spans="1:15" hidden="1"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IF(orders[[#This Row],[Customer Gender]] = "M", "Male", IF(orders[[#This Row],[Customer Gender]] = "F", "Female", IF(orders[[#This Row],[Customer Gender]] = "O", "Other",  "Unkown")))</f>
        <v>Unkown</v>
      </c>
    </row>
    <row r="989" spans="1:15" hidden="1"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IF(orders[[#This Row],[Customer Gender]] = "M", "Male", IF(orders[[#This Row],[Customer Gender]] = "F", "Female", IF(orders[[#This Row],[Customer Gender]] = "O", "Other",  "Unkown")))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IF(orders[[#This Row],[Customer Gender]] = "M", "Male", IF(orders[[#This Row],[Customer Gender]] = "F", "Female", IF(orders[[#This Row],[Customer Gender]] = "O", "Other",  "Unkown")))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IF(orders[[#This Row],[Customer Gender]] = "M", "Male", IF(orders[[#This Row],[Customer Gender]] = "F", "Female", IF(orders[[#This Row],[Customer Gender]] = "O", "Other",  "Unkown")))</f>
        <v>Female</v>
      </c>
    </row>
    <row r="992" spans="1:15" hidden="1"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IF(orders[[#This Row],[Customer Gender]] = "M", "Male", IF(orders[[#This Row],[Customer Gender]] = "F", "Female", IF(orders[[#This Row],[Customer Gender]] = "O", "Other",  "Unkown")))</f>
        <v>Unkown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IF(orders[[#This Row],[Customer Gender]] = "M", "Male", IF(orders[[#This Row],[Customer Gender]] = "F", "Female", IF(orders[[#This Row],[Customer Gender]] = "O", "Other",  "Unkown")))</f>
        <v>Female</v>
      </c>
    </row>
    <row r="994" spans="1:15" hidden="1"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IF(orders[[#This Row],[Customer Gender]] = "M", "Male", IF(orders[[#This Row],[Customer Gender]] = "F", "Female", IF(orders[[#This Row],[Customer Gender]] = "O", "Other",  "Unkown")))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IF(orders[[#This Row],[Customer Gender]] = "M", "Male", IF(orders[[#This Row],[Customer Gender]] = "F", "Female", IF(orders[[#This Row],[Customer Gender]] = "O", "Other",  "Unkown")))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IF(orders[[#This Row],[Customer Gender]] = "M", "Male", IF(orders[[#This Row],[Customer Gender]] = "F", "Female", IF(orders[[#This Row],[Customer Gender]] = "O", "Other",  "Unkown")))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IF(orders[[#This Row],[Customer Gender]] = "M", "Male", IF(orders[[#This Row],[Customer Gender]] = "F", "Female", IF(orders[[#This Row],[Customer Gender]] = "O", "Other",  "Unkown")))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IF(orders[[#This Row],[Customer Gender]] = "M", "Male", IF(orders[[#This Row],[Customer Gender]] = "F", "Female", IF(orders[[#This Row],[Customer Gender]] = "O", "Other",  "Unkown")))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IF(orders[[#This Row],[Customer Gender]] = "M", "Male", IF(orders[[#This Row],[Customer Gender]] = "F", "Female", IF(orders[[#This Row],[Customer Gender]] = "O", "Other",  "Unkown")))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IF(orders[[#This Row],[Customer Gender]] = "M", "Male", IF(orders[[#This Row],[Customer Gender]] = "F", "Female", IF(orders[[#This Row],[Customer Gender]] = "O", "Other",  "Unkown")))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IF(orders[[#This Row],[Customer Gender]] = "M", "Male", IF(orders[[#This Row],[Customer Gender]] = "F", "Female", IF(orders[[#This Row],[Customer Gender]] = "O", "Other",  "Unkown")))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IF(orders[[#This Row],[Customer Gender]] = "M", "Male", IF(orders[[#This Row],[Customer Gender]] = "F", "Female", IF(orders[[#This Row],[Customer Gender]] = "O", "Other",  "Unkown")))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IF(orders[[#This Row],[Customer Gender]] = "M", "Male", IF(orders[[#This Row],[Customer Gender]] = "F", "Female", IF(orders[[#This Row],[Customer Gender]] = "O", "Other",  "Unkown")))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IF(orders[[#This Row],[Customer Gender]] = "M", "Male", IF(orders[[#This Row],[Customer Gender]] = "F", "Female", IF(orders[[#This Row],[Customer Gender]] = "O", "Other",  "Unkown")))</f>
        <v>Female</v>
      </c>
    </row>
    <row r="1005" spans="1:15" hidden="1"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IF(orders[[#This Row],[Customer Gender]] = "M", "Male", IF(orders[[#This Row],[Customer Gender]] = "F", "Female", IF(orders[[#This Row],[Customer Gender]] = "O", "Other",  "Unkown")))</f>
        <v>Male</v>
      </c>
    </row>
    <row r="1006" spans="1:15" hidden="1"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IF(orders[[#This Row],[Customer Gender]] = "M", "Male", IF(orders[[#This Row],[Customer Gender]] = "F", "Female", IF(orders[[#This Row],[Customer Gender]] = "O", "Other",  "Unkown")))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IF(orders[[#This Row],[Customer Gender]] = "M", "Male", IF(orders[[#This Row],[Customer Gender]] = "F", "Female", IF(orders[[#This Row],[Customer Gender]] = "O", "Other",  "Unkown")))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IF(orders[[#This Row],[Customer Gender]] = "M", "Male", IF(orders[[#This Row],[Customer Gender]] = "F", "Female", IF(orders[[#This Row],[Customer Gender]] = "O", "Other",  "Unkown")))</f>
        <v>Female</v>
      </c>
    </row>
    <row r="1009" spans="1:15" hidden="1"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IF(orders[[#This Row],[Customer Gender]] = "M", "Male", IF(orders[[#This Row],[Customer Gender]] = "F", "Female", IF(orders[[#This Row],[Customer Gender]] = "O", "Other",  "Unkown")))</f>
        <v>Unkown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IF(orders[[#This Row],[Customer Gender]] = "M", "Male", IF(orders[[#This Row],[Customer Gender]] = "F", "Female", IF(orders[[#This Row],[Customer Gender]] = "O", "Other",  "Unkown")))</f>
        <v>Female</v>
      </c>
    </row>
    <row r="1011" spans="1:15" hidden="1"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IF(orders[[#This Row],[Customer Gender]] = "M", "Male", IF(orders[[#This Row],[Customer Gender]] = "F", "Female", IF(orders[[#This Row],[Customer Gender]] = "O", "Other",  "Unkown")))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IF(orders[[#This Row],[Customer Gender]] = "M", "Male", IF(orders[[#This Row],[Customer Gender]] = "F", "Female", IF(orders[[#This Row],[Customer Gender]] = "O", "Other",  "Unkown")))</f>
        <v>Female</v>
      </c>
    </row>
    <row r="1013" spans="1:15" hidden="1"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IF(orders[[#This Row],[Customer Gender]] = "M", "Male", IF(orders[[#This Row],[Customer Gender]] = "F", "Female", IF(orders[[#This Row],[Customer Gender]] = "O", "Other",  "Unkown")))</f>
        <v>Other</v>
      </c>
    </row>
    <row r="1014" spans="1:15" hidden="1"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IF(orders[[#This Row],[Customer Gender]] = "M", "Male", IF(orders[[#This Row],[Customer Gender]] = "F", "Female", IF(orders[[#This Row],[Customer Gender]] = "O", "Other",  "Unkown")))</f>
        <v>Unkown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IF(orders[[#This Row],[Customer Gender]] = "M", "Male", IF(orders[[#This Row],[Customer Gender]] = "F", "Female", IF(orders[[#This Row],[Customer Gender]] = "O", "Other",  "Unkown")))</f>
        <v>Female</v>
      </c>
    </row>
    <row r="1016" spans="1:15" hidden="1"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IF(orders[[#This Row],[Customer Gender]] = "M", "Male", IF(orders[[#This Row],[Customer Gender]] = "F", "Female", IF(orders[[#This Row],[Customer Gender]] = "O", "Other",  "Unkown")))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IF(orders[[#This Row],[Customer Gender]] = "M", "Male", IF(orders[[#This Row],[Customer Gender]] = "F", "Female", IF(orders[[#This Row],[Customer Gender]] = "O", "Other",  "Unkown")))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IF(orders[[#This Row],[Customer Gender]] = "M", "Male", IF(orders[[#This Row],[Customer Gender]] = "F", "Female", IF(orders[[#This Row],[Customer Gender]] = "O", "Other",  "Unkown")))</f>
        <v>Female</v>
      </c>
    </row>
    <row r="1019" spans="1:15" hidden="1"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IF(orders[[#This Row],[Customer Gender]] = "M", "Male", IF(orders[[#This Row],[Customer Gender]] = "F", "Female", IF(orders[[#This Row],[Customer Gender]] = "O", "Other",  "Unkown")))</f>
        <v>Unkown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IF(orders[[#This Row],[Customer Gender]] = "M", "Male", IF(orders[[#This Row],[Customer Gender]] = "F", "Female", IF(orders[[#This Row],[Customer Gender]] = "O", "Other",  "Unkown")))</f>
        <v>Female</v>
      </c>
    </row>
    <row r="1021" spans="1:15" hidden="1"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IF(orders[[#This Row],[Customer Gender]] = "M", "Male", IF(orders[[#This Row],[Customer Gender]] = "F", "Female", IF(orders[[#This Row],[Customer Gender]] = "O", "Other",  "Unkown")))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IF(orders[[#This Row],[Customer Gender]] = "M", "Male", IF(orders[[#This Row],[Customer Gender]] = "F", "Female", IF(orders[[#This Row],[Customer Gender]] = "O", "Other",  "Unkown")))</f>
        <v>Female</v>
      </c>
    </row>
    <row r="1023" spans="1:15" hidden="1"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IF(orders[[#This Row],[Customer Gender]] = "M", "Male", IF(orders[[#This Row],[Customer Gender]] = "F", "Female", IF(orders[[#This Row],[Customer Gender]] = "O", "Other",  "Unkown")))</f>
        <v>Male</v>
      </c>
    </row>
    <row r="1024" spans="1:15" hidden="1"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IF(orders[[#This Row],[Customer Gender]] = "M", "Male", IF(orders[[#This Row],[Customer Gender]] = "F", "Female", IF(orders[[#This Row],[Customer Gender]] = "O", "Other",  "Unkown")))</f>
        <v>Male</v>
      </c>
    </row>
    <row r="1025" spans="1:15" hidden="1"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IF(orders[[#This Row],[Customer Gender]] = "M", "Male", IF(orders[[#This Row],[Customer Gender]] = "F", "Female", IF(orders[[#This Row],[Customer Gender]] = "O", "Other",  "Unkown")))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IF(orders[[#This Row],[Customer Gender]] = "M", "Male", IF(orders[[#This Row],[Customer Gender]] = "F", "Female", IF(orders[[#This Row],[Customer Gender]] = "O", "Other",  "Unkown")))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IF(orders[[#This Row],[Customer Gender]] = "M", "Male", IF(orders[[#This Row],[Customer Gender]] = "F", "Female", IF(orders[[#This Row],[Customer Gender]] = "O", "Other",  "Unkown")))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IF(orders[[#This Row],[Customer Gender]] = "M", "Male", IF(orders[[#This Row],[Customer Gender]] = "F", "Female", IF(orders[[#This Row],[Customer Gender]] = "O", "Other",  "Unkown")))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IF(orders[[#This Row],[Customer Gender]] = "M", "Male", IF(orders[[#This Row],[Customer Gender]] = "F", "Female", IF(orders[[#This Row],[Customer Gender]] = "O", "Other",  "Unkown")))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IF(orders[[#This Row],[Customer Gender]] = "M", "Male", IF(orders[[#This Row],[Customer Gender]] = "F", "Female", IF(orders[[#This Row],[Customer Gender]] = "O", "Other",  "Unkown")))</f>
        <v>Female</v>
      </c>
    </row>
    <row r="1031" spans="1:15" hidden="1"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IF(orders[[#This Row],[Customer Gender]] = "M", "Male", IF(orders[[#This Row],[Customer Gender]] = "F", "Female", IF(orders[[#This Row],[Customer Gender]] = "O", "Other",  "Unkown")))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IF(orders[[#This Row],[Customer Gender]] = "M", "Male", IF(orders[[#This Row],[Customer Gender]] = "F", "Female", IF(orders[[#This Row],[Customer Gender]] = "O", "Other",  "Unkown")))</f>
        <v>Female</v>
      </c>
    </row>
    <row r="1033" spans="1:15" hidden="1"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IF(orders[[#This Row],[Customer Gender]] = "M", "Male", IF(orders[[#This Row],[Customer Gender]] = "F", "Female", IF(orders[[#This Row],[Customer Gender]] = "O", "Other",  "Unkown")))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IF(orders[[#This Row],[Customer Gender]] = "M", "Male", IF(orders[[#This Row],[Customer Gender]] = "F", "Female", IF(orders[[#This Row],[Customer Gender]] = "O", "Other",  "Unkown")))</f>
        <v>Female</v>
      </c>
    </row>
    <row r="1035" spans="1:15" hidden="1"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IF(orders[[#This Row],[Customer Gender]] = "M", "Male", IF(orders[[#This Row],[Customer Gender]] = "F", "Female", IF(orders[[#This Row],[Customer Gender]] = "O", "Other",  "Unkown")))</f>
        <v>Unkown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IF(orders[[#This Row],[Customer Gender]] = "M", "Male", IF(orders[[#This Row],[Customer Gender]] = "F", "Female", IF(orders[[#This Row],[Customer Gender]] = "O", "Other",  "Unkown")))</f>
        <v>Female</v>
      </c>
    </row>
    <row r="1037" spans="1:15" hidden="1"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IF(orders[[#This Row],[Customer Gender]] = "M", "Male", IF(orders[[#This Row],[Customer Gender]] = "F", "Female", IF(orders[[#This Row],[Customer Gender]] = "O", "Other",  "Unkown")))</f>
        <v>Male</v>
      </c>
    </row>
    <row r="1038" spans="1:15" hidden="1"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IF(orders[[#This Row],[Customer Gender]] = "M", "Male", IF(orders[[#This Row],[Customer Gender]] = "F", "Female", IF(orders[[#This Row],[Customer Gender]] = "O", "Other",  "Unkown")))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IF(orders[[#This Row],[Customer Gender]] = "M", "Male", IF(orders[[#This Row],[Customer Gender]] = "F", "Female", IF(orders[[#This Row],[Customer Gender]] = "O", "Other",  "Unkown")))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IF(orders[[#This Row],[Customer Gender]] = "M", "Male", IF(orders[[#This Row],[Customer Gender]] = "F", "Female", IF(orders[[#This Row],[Customer Gender]] = "O", "Other",  "Unkown")))</f>
        <v>Female</v>
      </c>
    </row>
    <row r="1041" spans="1:15" hidden="1"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IF(orders[[#This Row],[Customer Gender]] = "M", "Male", IF(orders[[#This Row],[Customer Gender]] = "F", "Female", IF(orders[[#This Row],[Customer Gender]] = "O", "Other",  "Unkown")))</f>
        <v>Male</v>
      </c>
    </row>
    <row r="1042" spans="1:15" hidden="1"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IF(orders[[#This Row],[Customer Gender]] = "M", "Male", IF(orders[[#This Row],[Customer Gender]] = "F", "Female", IF(orders[[#This Row],[Customer Gender]] = "O", "Other",  "Unkown")))</f>
        <v>Unkown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IF(orders[[#This Row],[Customer Gender]] = "M", "Male", IF(orders[[#This Row],[Customer Gender]] = "F", "Female", IF(orders[[#This Row],[Customer Gender]] = "O", "Other",  "Unkown")))</f>
        <v>Female</v>
      </c>
    </row>
    <row r="1044" spans="1:15" hidden="1"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IF(orders[[#This Row],[Customer Gender]] = "M", "Male", IF(orders[[#This Row],[Customer Gender]] = "F", "Female", IF(orders[[#This Row],[Customer Gender]] = "O", "Other",  "Unkown")))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IF(orders[[#This Row],[Customer Gender]] = "M", "Male", IF(orders[[#This Row],[Customer Gender]] = "F", "Female", IF(orders[[#This Row],[Customer Gender]] = "O", "Other",  "Unkown")))</f>
        <v>Female</v>
      </c>
    </row>
    <row r="1046" spans="1:15" hidden="1"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IF(orders[[#This Row],[Customer Gender]] = "M", "Male", IF(orders[[#This Row],[Customer Gender]] = "F", "Female", IF(orders[[#This Row],[Customer Gender]] = "O", "Other",  "Unkown")))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IF(orders[[#This Row],[Customer Gender]] = "M", "Male", IF(orders[[#This Row],[Customer Gender]] = "F", "Female", IF(orders[[#This Row],[Customer Gender]] = "O", "Other",  "Unkown")))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IF(orders[[#This Row],[Customer Gender]] = "M", "Male", IF(orders[[#This Row],[Customer Gender]] = "F", "Female", IF(orders[[#This Row],[Customer Gender]] = "O", "Other",  "Unkown")))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IF(orders[[#This Row],[Customer Gender]] = "M", "Male", IF(orders[[#This Row],[Customer Gender]] = "F", "Female", IF(orders[[#This Row],[Customer Gender]] = "O", "Other",  "Unkown")))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IF(orders[[#This Row],[Customer Gender]] = "M", "Male", IF(orders[[#This Row],[Customer Gender]] = "F", "Female", IF(orders[[#This Row],[Customer Gender]] = "O", "Other",  "Unkown")))</f>
        <v>Female</v>
      </c>
    </row>
    <row r="1051" spans="1:15" hidden="1"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IF(orders[[#This Row],[Customer Gender]] = "M", "Male", IF(orders[[#This Row],[Customer Gender]] = "F", "Female", IF(orders[[#This Row],[Customer Gender]] = "O", "Other",  "Unkown")))</f>
        <v>Male</v>
      </c>
    </row>
    <row r="1052" spans="1:15" hidden="1"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IF(orders[[#This Row],[Customer Gender]] = "M", "Male", IF(orders[[#This Row],[Customer Gender]] = "F", "Female", IF(orders[[#This Row],[Customer Gender]] = "O", "Other",  "Unkown")))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IF(orders[[#This Row],[Customer Gender]] = "M", "Male", IF(orders[[#This Row],[Customer Gender]] = "F", "Female", IF(orders[[#This Row],[Customer Gender]] = "O", "Other",  "Unkown")))</f>
        <v>Female</v>
      </c>
    </row>
    <row r="1054" spans="1:15" hidden="1"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IF(orders[[#This Row],[Customer Gender]] = "M", "Male", IF(orders[[#This Row],[Customer Gender]] = "F", "Female", IF(orders[[#This Row],[Customer Gender]] = "O", "Other",  "Unkown")))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IF(orders[[#This Row],[Customer Gender]] = "M", "Male", IF(orders[[#This Row],[Customer Gender]] = "F", "Female", IF(orders[[#This Row],[Customer Gender]] = "O", "Other",  "Unkown")))</f>
        <v>Female</v>
      </c>
    </row>
    <row r="1056" spans="1:15" hidden="1"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IF(orders[[#This Row],[Customer Gender]] = "M", "Male", IF(orders[[#This Row],[Customer Gender]] = "F", "Female", IF(orders[[#This Row],[Customer Gender]] = "O", "Other",  "Unkown")))</f>
        <v>Male</v>
      </c>
    </row>
    <row r="1057" spans="1:15" hidden="1"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IF(orders[[#This Row],[Customer Gender]] = "M", "Male", IF(orders[[#This Row],[Customer Gender]] = "F", "Female", IF(orders[[#This Row],[Customer Gender]] = "O", "Other",  "Unkown")))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IF(orders[[#This Row],[Customer Gender]] = "M", "Male", IF(orders[[#This Row],[Customer Gender]] = "F", "Female", IF(orders[[#This Row],[Customer Gender]] = "O", "Other",  "Unkown")))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IF(orders[[#This Row],[Customer Gender]] = "M", "Male", IF(orders[[#This Row],[Customer Gender]] = "F", "Female", IF(orders[[#This Row],[Customer Gender]] = "O", "Other",  "Unkown")))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IF(orders[[#This Row],[Customer Gender]] = "M", "Male", IF(orders[[#This Row],[Customer Gender]] = "F", "Female", IF(orders[[#This Row],[Customer Gender]] = "O", "Other",  "Unkown")))</f>
        <v>Female</v>
      </c>
    </row>
    <row r="1061" spans="1:15" hidden="1"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IF(orders[[#This Row],[Customer Gender]] = "M", "Male", IF(orders[[#This Row],[Customer Gender]] = "F", "Female", IF(orders[[#This Row],[Customer Gender]] = "O", "Other",  "Unkown")))</f>
        <v>Male</v>
      </c>
    </row>
    <row r="1062" spans="1:15" hidden="1"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IF(orders[[#This Row],[Customer Gender]] = "M", "Male", IF(orders[[#This Row],[Customer Gender]] = "F", "Female", IF(orders[[#This Row],[Customer Gender]] = "O", "Other",  "Unkown")))</f>
        <v>Unkown</v>
      </c>
    </row>
    <row r="1063" spans="1:15" hidden="1"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IF(orders[[#This Row],[Customer Gender]] = "M", "Male", IF(orders[[#This Row],[Customer Gender]] = "F", "Female", IF(orders[[#This Row],[Customer Gender]] = "O", "Other",  "Unkown")))</f>
        <v>Male</v>
      </c>
    </row>
    <row r="1064" spans="1:15" hidden="1"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IF(orders[[#This Row],[Customer Gender]] = "M", "Male", IF(orders[[#This Row],[Customer Gender]] = "F", "Female", IF(orders[[#This Row],[Customer Gender]] = "O", "Other",  "Unkown")))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IF(orders[[#This Row],[Customer Gender]] = "M", "Male", IF(orders[[#This Row],[Customer Gender]] = "F", "Female", IF(orders[[#This Row],[Customer Gender]] = "O", "Other",  "Unkown")))</f>
        <v>Female</v>
      </c>
    </row>
    <row r="1066" spans="1:15" hidden="1"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IF(orders[[#This Row],[Customer Gender]] = "M", "Male", IF(orders[[#This Row],[Customer Gender]] = "F", "Female", IF(orders[[#This Row],[Customer Gender]] = "O", "Other",  "Unkown")))</f>
        <v>Male</v>
      </c>
    </row>
    <row r="1067" spans="1:15" hidden="1"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IF(orders[[#This Row],[Customer Gender]] = "M", "Male", IF(orders[[#This Row],[Customer Gender]] = "F", "Female", IF(orders[[#This Row],[Customer Gender]] = "O", "Other",  "Unkown")))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IF(orders[[#This Row],[Customer Gender]] = "M", "Male", IF(orders[[#This Row],[Customer Gender]] = "F", "Female", IF(orders[[#This Row],[Customer Gender]] = "O", "Other",  "Unkown")))</f>
        <v>Female</v>
      </c>
    </row>
    <row r="1069" spans="1:15" hidden="1"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IF(orders[[#This Row],[Customer Gender]] = "M", "Male", IF(orders[[#This Row],[Customer Gender]] = "F", "Female", IF(orders[[#This Row],[Customer Gender]] = "O", "Other",  "Unkown")))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IF(orders[[#This Row],[Customer Gender]] = "M", "Male", IF(orders[[#This Row],[Customer Gender]] = "F", "Female", IF(orders[[#This Row],[Customer Gender]] = "O", "Other",  "Unkown")))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IF(orders[[#This Row],[Customer Gender]] = "M", "Male", IF(orders[[#This Row],[Customer Gender]] = "F", "Female", IF(orders[[#This Row],[Customer Gender]] = "O", "Other",  "Unkown")))</f>
        <v>Female</v>
      </c>
    </row>
    <row r="1072" spans="1:15" hidden="1"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IF(orders[[#This Row],[Customer Gender]] = "M", "Male", IF(orders[[#This Row],[Customer Gender]] = "F", "Female", IF(orders[[#This Row],[Customer Gender]] = "O", "Other",  "Unkown")))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IF(orders[[#This Row],[Customer Gender]] = "M", "Male", IF(orders[[#This Row],[Customer Gender]] = "F", "Female", IF(orders[[#This Row],[Customer Gender]] = "O", "Other",  "Unkown")))</f>
        <v>Female</v>
      </c>
    </row>
    <row r="1074" spans="1:15" hidden="1"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IF(orders[[#This Row],[Customer Gender]] = "M", "Male", IF(orders[[#This Row],[Customer Gender]] = "F", "Female", IF(orders[[#This Row],[Customer Gender]] = "O", "Other",  "Unkown")))</f>
        <v>Male</v>
      </c>
    </row>
    <row r="1075" spans="1:15" hidden="1"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IF(orders[[#This Row],[Customer Gender]] = "M", "Male", IF(orders[[#This Row],[Customer Gender]] = "F", "Female", IF(orders[[#This Row],[Customer Gender]] = "O", "Other",  "Unkown")))</f>
        <v>Male</v>
      </c>
    </row>
    <row r="1076" spans="1:15" hidden="1"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IF(orders[[#This Row],[Customer Gender]] = "M", "Male", IF(orders[[#This Row],[Customer Gender]] = "F", "Female", IF(orders[[#This Row],[Customer Gender]] = "O", "Other",  "Unkown")))</f>
        <v>Male</v>
      </c>
    </row>
    <row r="1077" spans="1:15" hidden="1"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IF(orders[[#This Row],[Customer Gender]] = "M", "Male", IF(orders[[#This Row],[Customer Gender]] = "F", "Female", IF(orders[[#This Row],[Customer Gender]] = "O", "Other",  "Unkown")))</f>
        <v>Male</v>
      </c>
    </row>
    <row r="1078" spans="1:15" hidden="1"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IF(orders[[#This Row],[Customer Gender]] = "M", "Male", IF(orders[[#This Row],[Customer Gender]] = "F", "Female", IF(orders[[#This Row],[Customer Gender]] = "O", "Other",  "Unkown")))</f>
        <v>Male</v>
      </c>
    </row>
    <row r="1079" spans="1:15" hidden="1"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IF(orders[[#This Row],[Customer Gender]] = "M", "Male", IF(orders[[#This Row],[Customer Gender]] = "F", "Female", IF(orders[[#This Row],[Customer Gender]] = "O", "Other",  "Unkown")))</f>
        <v>Male</v>
      </c>
    </row>
    <row r="1080" spans="1:15" hidden="1"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IF(orders[[#This Row],[Customer Gender]] = "M", "Male", IF(orders[[#This Row],[Customer Gender]] = "F", "Female", IF(orders[[#This Row],[Customer Gender]] = "O", "Other",  "Unkown")))</f>
        <v>Male</v>
      </c>
    </row>
    <row r="1081" spans="1:15" hidden="1"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IF(orders[[#This Row],[Customer Gender]] = "M", "Male", IF(orders[[#This Row],[Customer Gender]] = "F", "Female", IF(orders[[#This Row],[Customer Gender]] = "O", "Other",  "Unkown")))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IF(orders[[#This Row],[Customer Gender]] = "M", "Male", IF(orders[[#This Row],[Customer Gender]] = "F", "Female", IF(orders[[#This Row],[Customer Gender]] = "O", "Other",  "Unkown")))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IF(orders[[#This Row],[Customer Gender]] = "M", "Male", IF(orders[[#This Row],[Customer Gender]] = "F", "Female", IF(orders[[#This Row],[Customer Gender]] = "O", "Other",  "Unkown")))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IF(orders[[#This Row],[Customer Gender]] = "M", "Male", IF(orders[[#This Row],[Customer Gender]] = "F", "Female", IF(orders[[#This Row],[Customer Gender]] = "O", "Other",  "Unkown")))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IF(orders[[#This Row],[Customer Gender]] = "M", "Male", IF(orders[[#This Row],[Customer Gender]] = "F", "Female", IF(orders[[#This Row],[Customer Gender]] = "O", "Other",  "Unkown")))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IF(orders[[#This Row],[Customer Gender]] = "M", "Male", IF(orders[[#This Row],[Customer Gender]] = "F", "Female", IF(orders[[#This Row],[Customer Gender]] = "O", "Other",  "Unkown")))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IF(orders[[#This Row],[Customer Gender]] = "M", "Male", IF(orders[[#This Row],[Customer Gender]] = "F", "Female", IF(orders[[#This Row],[Customer Gender]] = "O", "Other",  "Unkown")))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IF(orders[[#This Row],[Customer Gender]] = "M", "Male", IF(orders[[#This Row],[Customer Gender]] = "F", "Female", IF(orders[[#This Row],[Customer Gender]] = "O", "Other",  "Unkown")))</f>
        <v>Female</v>
      </c>
    </row>
    <row r="1089" spans="1:15" hidden="1"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IF(orders[[#This Row],[Customer Gender]] = "M", "Male", IF(orders[[#This Row],[Customer Gender]] = "F", "Female", IF(orders[[#This Row],[Customer Gender]] = "O", "Other",  "Unkown")))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IF(orders[[#This Row],[Customer Gender]] = "M", "Male", IF(orders[[#This Row],[Customer Gender]] = "F", "Female", IF(orders[[#This Row],[Customer Gender]] = "O", "Other",  "Unkown")))</f>
        <v>Female</v>
      </c>
    </row>
    <row r="1091" spans="1:15" hidden="1"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IF(orders[[#This Row],[Customer Gender]] = "M", "Male", IF(orders[[#This Row],[Customer Gender]] = "F", "Female", IF(orders[[#This Row],[Customer Gender]] = "O", "Other",  "Unkown")))</f>
        <v>Male</v>
      </c>
    </row>
    <row r="1092" spans="1:15" hidden="1"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IF(orders[[#This Row],[Customer Gender]] = "M", "Male", IF(orders[[#This Row],[Customer Gender]] = "F", "Female", IF(orders[[#This Row],[Customer Gender]] = "O", "Other",  "Unkown")))</f>
        <v>Unkown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IF(orders[[#This Row],[Customer Gender]] = "M", "Male", IF(orders[[#This Row],[Customer Gender]] = "F", "Female", IF(orders[[#This Row],[Customer Gender]] = "O", "Other",  "Unkown")))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IF(orders[[#This Row],[Customer Gender]] = "M", "Male", IF(orders[[#This Row],[Customer Gender]] = "F", "Female", IF(orders[[#This Row],[Customer Gender]] = "O", "Other",  "Unkown")))</f>
        <v>Female</v>
      </c>
    </row>
    <row r="1095" spans="1:15" hidden="1"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IF(orders[[#This Row],[Customer Gender]] = "M", "Male", IF(orders[[#This Row],[Customer Gender]] = "F", "Female", IF(orders[[#This Row],[Customer Gender]] = "O", "Other",  "Unkown")))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IF(orders[[#This Row],[Customer Gender]] = "M", "Male", IF(orders[[#This Row],[Customer Gender]] = "F", "Female", IF(orders[[#This Row],[Customer Gender]] = "O", "Other",  "Unkown")))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IF(orders[[#This Row],[Customer Gender]] = "M", "Male", IF(orders[[#This Row],[Customer Gender]] = "F", "Female", IF(orders[[#This Row],[Customer Gender]] = "O", "Other",  "Unkown")))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IF(orders[[#This Row],[Customer Gender]] = "M", "Male", IF(orders[[#This Row],[Customer Gender]] = "F", "Female", IF(orders[[#This Row],[Customer Gender]] = "O", "Other",  "Unkown")))</f>
        <v>Female</v>
      </c>
    </row>
    <row r="1099" spans="1:15" hidden="1"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IF(orders[[#This Row],[Customer Gender]] = "M", "Male", IF(orders[[#This Row],[Customer Gender]] = "F", "Female", IF(orders[[#This Row],[Customer Gender]] = "O", "Other",  "Unkown")))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IF(orders[[#This Row],[Customer Gender]] = "M", "Male", IF(orders[[#This Row],[Customer Gender]] = "F", "Female", IF(orders[[#This Row],[Customer Gender]] = "O", "Other",  "Unkown")))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IF(orders[[#This Row],[Customer Gender]] = "M", "Male", IF(orders[[#This Row],[Customer Gender]] = "F", "Female", IF(orders[[#This Row],[Customer Gender]] = "O", "Other",  "Unkown")))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IF(orders[[#This Row],[Customer Gender]] = "M", "Male", IF(orders[[#This Row],[Customer Gender]] = "F", "Female", IF(orders[[#This Row],[Customer Gender]] = "O", "Other",  "Unkown")))</f>
        <v>Female</v>
      </c>
    </row>
    <row r="1103" spans="1:15" hidden="1"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IF(orders[[#This Row],[Customer Gender]] = "M", "Male", IF(orders[[#This Row],[Customer Gender]] = "F", "Female", IF(orders[[#This Row],[Customer Gender]] = "O", "Other",  "Unkown")))</f>
        <v>Male</v>
      </c>
    </row>
    <row r="1104" spans="1:15" hidden="1"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IF(orders[[#This Row],[Customer Gender]] = "M", "Male", IF(orders[[#This Row],[Customer Gender]] = "F", "Female", IF(orders[[#This Row],[Customer Gender]] = "O", "Other",  "Unkown")))</f>
        <v>Unkown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IF(orders[[#This Row],[Customer Gender]] = "M", "Male", IF(orders[[#This Row],[Customer Gender]] = "F", "Female", IF(orders[[#This Row],[Customer Gender]] = "O", "Other",  "Unkown")))</f>
        <v>Female</v>
      </c>
    </row>
    <row r="1106" spans="1:15" hidden="1"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IF(orders[[#This Row],[Customer Gender]] = "M", "Male", IF(orders[[#This Row],[Customer Gender]] = "F", "Female", IF(orders[[#This Row],[Customer Gender]] = "O", "Other",  "Unkown")))</f>
        <v>Male</v>
      </c>
    </row>
    <row r="1107" spans="1:15" hidden="1"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IF(orders[[#This Row],[Customer Gender]] = "M", "Male", IF(orders[[#This Row],[Customer Gender]] = "F", "Female", IF(orders[[#This Row],[Customer Gender]] = "O", "Other",  "Unkown")))</f>
        <v>Other</v>
      </c>
    </row>
    <row r="1108" spans="1:15" hidden="1"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IF(orders[[#This Row],[Customer Gender]] = "M", "Male", IF(orders[[#This Row],[Customer Gender]] = "F", "Female", IF(orders[[#This Row],[Customer Gender]] = "O", "Other",  "Unkown")))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IF(orders[[#This Row],[Customer Gender]] = "M", "Male", IF(orders[[#This Row],[Customer Gender]] = "F", "Female", IF(orders[[#This Row],[Customer Gender]] = "O", "Other",  "Unkown")))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IF(orders[[#This Row],[Customer Gender]] = "M", "Male", IF(orders[[#This Row],[Customer Gender]] = "F", "Female", IF(orders[[#This Row],[Customer Gender]] = "O", "Other",  "Unkown")))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IF(orders[[#This Row],[Customer Gender]] = "M", "Male", IF(orders[[#This Row],[Customer Gender]] = "F", "Female", IF(orders[[#This Row],[Customer Gender]] = "O", "Other",  "Unkown")))</f>
        <v>Female</v>
      </c>
    </row>
    <row r="1112" spans="1:15" hidden="1"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IF(orders[[#This Row],[Customer Gender]] = "M", "Male", IF(orders[[#This Row],[Customer Gender]] = "F", "Female", IF(orders[[#This Row],[Customer Gender]] = "O", "Other",  "Unkown")))</f>
        <v>Male</v>
      </c>
    </row>
    <row r="1113" spans="1:15" hidden="1"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IF(orders[[#This Row],[Customer Gender]] = "M", "Male", IF(orders[[#This Row],[Customer Gender]] = "F", "Female", IF(orders[[#This Row],[Customer Gender]] = "O", "Other",  "Unkown")))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IF(orders[[#This Row],[Customer Gender]] = "M", "Male", IF(orders[[#This Row],[Customer Gender]] = "F", "Female", IF(orders[[#This Row],[Customer Gender]] = "O", "Other",  "Unkown")))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IF(orders[[#This Row],[Customer Gender]] = "M", "Male", IF(orders[[#This Row],[Customer Gender]] = "F", "Female", IF(orders[[#This Row],[Customer Gender]] = "O", "Other",  "Unkown")))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IF(orders[[#This Row],[Customer Gender]] = "M", "Male", IF(orders[[#This Row],[Customer Gender]] = "F", "Female", IF(orders[[#This Row],[Customer Gender]] = "O", "Other",  "Unkown")))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IF(orders[[#This Row],[Customer Gender]] = "M", "Male", IF(orders[[#This Row],[Customer Gender]] = "F", "Female", IF(orders[[#This Row],[Customer Gender]] = "O", "Other",  "Unkown")))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IF(orders[[#This Row],[Customer Gender]] = "M", "Male", IF(orders[[#This Row],[Customer Gender]] = "F", "Female", IF(orders[[#This Row],[Customer Gender]] = "O", "Other",  "Unkown")))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IF(orders[[#This Row],[Customer Gender]] = "M", "Male", IF(orders[[#This Row],[Customer Gender]] = "F", "Female", IF(orders[[#This Row],[Customer Gender]] = "O", "Other",  "Unkown")))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IF(orders[[#This Row],[Customer Gender]] = "M", "Male", IF(orders[[#This Row],[Customer Gender]] = "F", "Female", IF(orders[[#This Row],[Customer Gender]] = "O", "Other",  "Unkown")))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IF(orders[[#This Row],[Customer Gender]] = "M", "Male", IF(orders[[#This Row],[Customer Gender]] = "F", "Female", IF(orders[[#This Row],[Customer Gender]] = "O", "Other",  "Unkown")))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IF(orders[[#This Row],[Customer Gender]] = "M", "Male", IF(orders[[#This Row],[Customer Gender]] = "F", "Female", IF(orders[[#This Row],[Customer Gender]] = "O", "Other",  "Unkown")))</f>
        <v>Female</v>
      </c>
    </row>
    <row r="1123" spans="1:15" hidden="1"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IF(orders[[#This Row],[Customer Gender]] = "M", "Male", IF(orders[[#This Row],[Customer Gender]] = "F", "Female", IF(orders[[#This Row],[Customer Gender]] = "O", "Other",  "Unkown")))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IF(orders[[#This Row],[Customer Gender]] = "M", "Male", IF(orders[[#This Row],[Customer Gender]] = "F", "Female", IF(orders[[#This Row],[Customer Gender]] = "O", "Other",  "Unkown")))</f>
        <v>Female</v>
      </c>
    </row>
    <row r="1125" spans="1:15" hidden="1"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IF(orders[[#This Row],[Customer Gender]] = "M", "Male", IF(orders[[#This Row],[Customer Gender]] = "F", "Female", IF(orders[[#This Row],[Customer Gender]] = "O", "Other",  "Unkown")))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IF(orders[[#This Row],[Customer Gender]] = "M", "Male", IF(orders[[#This Row],[Customer Gender]] = "F", "Female", IF(orders[[#This Row],[Customer Gender]] = "O", "Other",  "Unkown")))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IF(orders[[#This Row],[Customer Gender]] = "M", "Male", IF(orders[[#This Row],[Customer Gender]] = "F", "Female", IF(orders[[#This Row],[Customer Gender]] = "O", "Other",  "Unkown")))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IF(orders[[#This Row],[Customer Gender]] = "M", "Male", IF(orders[[#This Row],[Customer Gender]] = "F", "Female", IF(orders[[#This Row],[Customer Gender]] = "O", "Other",  "Unkown")))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IF(orders[[#This Row],[Customer Gender]] = "M", "Male", IF(orders[[#This Row],[Customer Gender]] = "F", "Female", IF(orders[[#This Row],[Customer Gender]] = "O", "Other",  "Unkown")))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IF(orders[[#This Row],[Customer Gender]] = "M", "Male", IF(orders[[#This Row],[Customer Gender]] = "F", "Female", IF(orders[[#This Row],[Customer Gender]] = "O", "Other",  "Unkown")))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IF(orders[[#This Row],[Customer Gender]] = "M", "Male", IF(orders[[#This Row],[Customer Gender]] = "F", "Female", IF(orders[[#This Row],[Customer Gender]] = "O", "Other",  "Unkown")))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IF(orders[[#This Row],[Customer Gender]] = "M", "Male", IF(orders[[#This Row],[Customer Gender]] = "F", "Female", IF(orders[[#This Row],[Customer Gender]] = "O", "Other",  "Unkown")))</f>
        <v>Female</v>
      </c>
    </row>
    <row r="1133" spans="1:15" hidden="1"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IF(orders[[#This Row],[Customer Gender]] = "M", "Male", IF(orders[[#This Row],[Customer Gender]] = "F", "Female", IF(orders[[#This Row],[Customer Gender]] = "O", "Other",  "Unkown")))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IF(orders[[#This Row],[Customer Gender]] = "M", "Male", IF(orders[[#This Row],[Customer Gender]] = "F", "Female", IF(orders[[#This Row],[Customer Gender]] = "O", "Other",  "Unkown")))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IF(orders[[#This Row],[Customer Gender]] = "M", "Male", IF(orders[[#This Row],[Customer Gender]] = "F", "Female", IF(orders[[#This Row],[Customer Gender]] = "O", "Other",  "Unkown")))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IF(orders[[#This Row],[Customer Gender]] = "M", "Male", IF(orders[[#This Row],[Customer Gender]] = "F", "Female", IF(orders[[#This Row],[Customer Gender]] = "O", "Other",  "Unkown")))</f>
        <v>Female</v>
      </c>
    </row>
    <row r="1137" spans="1:15" hidden="1"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IF(orders[[#This Row],[Customer Gender]] = "M", "Male", IF(orders[[#This Row],[Customer Gender]] = "F", "Female", IF(orders[[#This Row],[Customer Gender]] = "O", "Other",  "Unkown")))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IF(orders[[#This Row],[Customer Gender]] = "M", "Male", IF(orders[[#This Row],[Customer Gender]] = "F", "Female", IF(orders[[#This Row],[Customer Gender]] = "O", "Other",  "Unkown")))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IF(orders[[#This Row],[Customer Gender]] = "M", "Male", IF(orders[[#This Row],[Customer Gender]] = "F", "Female", IF(orders[[#This Row],[Customer Gender]] = "O", "Other",  "Unkown")))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IF(orders[[#This Row],[Customer Gender]] = "M", "Male", IF(orders[[#This Row],[Customer Gender]] = "F", "Female", IF(orders[[#This Row],[Customer Gender]] = "O", "Other",  "Unkown")))</f>
        <v>Female</v>
      </c>
    </row>
    <row r="1141" spans="1:15" hidden="1"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IF(orders[[#This Row],[Customer Gender]] = "M", "Male", IF(orders[[#This Row],[Customer Gender]] = "F", "Female", IF(orders[[#This Row],[Customer Gender]] = "O", "Other",  "Unkown")))</f>
        <v>Male</v>
      </c>
    </row>
    <row r="1142" spans="1:15" hidden="1"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IF(orders[[#This Row],[Customer Gender]] = "M", "Male", IF(orders[[#This Row],[Customer Gender]] = "F", "Female", IF(orders[[#This Row],[Customer Gender]] = "O", "Other",  "Unkown")))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IF(orders[[#This Row],[Customer Gender]] = "M", "Male", IF(orders[[#This Row],[Customer Gender]] = "F", "Female", IF(orders[[#This Row],[Customer Gender]] = "O", "Other",  "Unkown")))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IF(orders[[#This Row],[Customer Gender]] = "M", "Male", IF(orders[[#This Row],[Customer Gender]] = "F", "Female", IF(orders[[#This Row],[Customer Gender]] = "O", "Other",  "Unkown")))</f>
        <v>Female</v>
      </c>
    </row>
    <row r="1145" spans="1:15" hidden="1"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IF(orders[[#This Row],[Customer Gender]] = "M", "Male", IF(orders[[#This Row],[Customer Gender]] = "F", "Female", IF(orders[[#This Row],[Customer Gender]] = "O", "Other",  "Unkown")))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IF(orders[[#This Row],[Customer Gender]] = "M", "Male", IF(orders[[#This Row],[Customer Gender]] = "F", "Female", IF(orders[[#This Row],[Customer Gender]] = "O", "Other",  "Unkown")))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IF(orders[[#This Row],[Customer Gender]] = "M", "Male", IF(orders[[#This Row],[Customer Gender]] = "F", "Female", IF(orders[[#This Row],[Customer Gender]] = "O", "Other",  "Unkown")))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IF(orders[[#This Row],[Customer Gender]] = "M", "Male", IF(orders[[#This Row],[Customer Gender]] = "F", "Female", IF(orders[[#This Row],[Customer Gender]] = "O", "Other",  "Unkown")))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IF(orders[[#This Row],[Customer Gender]] = "M", "Male", IF(orders[[#This Row],[Customer Gender]] = "F", "Female", IF(orders[[#This Row],[Customer Gender]] = "O", "Other",  "Unkown")))</f>
        <v>Female</v>
      </c>
    </row>
    <row r="1150" spans="1:15" hidden="1"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IF(orders[[#This Row],[Customer Gender]] = "M", "Male", IF(orders[[#This Row],[Customer Gender]] = "F", "Female", IF(orders[[#This Row],[Customer Gender]] = "O", "Other",  "Unkown")))</f>
        <v>Male</v>
      </c>
    </row>
    <row r="1151" spans="1:15" hidden="1"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IF(orders[[#This Row],[Customer Gender]] = "M", "Male", IF(orders[[#This Row],[Customer Gender]] = "F", "Female", IF(orders[[#This Row],[Customer Gender]] = "O", "Other",  "Unkown")))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IF(orders[[#This Row],[Customer Gender]] = "M", "Male", IF(orders[[#This Row],[Customer Gender]] = "F", "Female", IF(orders[[#This Row],[Customer Gender]] = "O", "Other",  "Unkown")))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IF(orders[[#This Row],[Customer Gender]] = "M", "Male", IF(orders[[#This Row],[Customer Gender]] = "F", "Female", IF(orders[[#This Row],[Customer Gender]] = "O", "Other",  "Unkown")))</f>
        <v>Female</v>
      </c>
    </row>
    <row r="1154" spans="1:15" hidden="1"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IF(orders[[#This Row],[Customer Gender]] = "M", "Male", IF(orders[[#This Row],[Customer Gender]] = "F", "Female", IF(orders[[#This Row],[Customer Gender]] = "O", "Other",  "Unkown")))</f>
        <v>Other</v>
      </c>
    </row>
    <row r="1155" spans="1:15" hidden="1"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IF(orders[[#This Row],[Customer Gender]] = "M", "Male", IF(orders[[#This Row],[Customer Gender]] = "F", "Female", IF(orders[[#This Row],[Customer Gender]] = "O", "Other",  "Unkown")))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IF(orders[[#This Row],[Customer Gender]] = "M", "Male", IF(orders[[#This Row],[Customer Gender]] = "F", "Female", IF(orders[[#This Row],[Customer Gender]] = "O", "Other",  "Unkown")))</f>
        <v>Female</v>
      </c>
    </row>
    <row r="1157" spans="1:15" hidden="1"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IF(orders[[#This Row],[Customer Gender]] = "M", "Male", IF(orders[[#This Row],[Customer Gender]] = "F", "Female", IF(orders[[#This Row],[Customer Gender]] = "O", "Other",  "Unkown")))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IF(orders[[#This Row],[Customer Gender]] = "M", "Male", IF(orders[[#This Row],[Customer Gender]] = "F", "Female", IF(orders[[#This Row],[Customer Gender]] = "O", "Other",  "Unkown")))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IF(orders[[#This Row],[Customer Gender]] = "M", "Male", IF(orders[[#This Row],[Customer Gender]] = "F", "Female", IF(orders[[#This Row],[Customer Gender]] = "O", "Other",  "Unkown")))</f>
        <v>Female</v>
      </c>
    </row>
    <row r="1160" spans="1:15" hidden="1"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IF(orders[[#This Row],[Customer Gender]] = "M", "Male", IF(orders[[#This Row],[Customer Gender]] = "F", "Female", IF(orders[[#This Row],[Customer Gender]] = "O", "Other",  "Unkown")))</f>
        <v>Male</v>
      </c>
    </row>
    <row r="1161" spans="1:15" hidden="1"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IF(orders[[#This Row],[Customer Gender]] = "M", "Male", IF(orders[[#This Row],[Customer Gender]] = "F", "Female", IF(orders[[#This Row],[Customer Gender]] = "O", "Other",  "Unkown")))</f>
        <v>Unkown</v>
      </c>
    </row>
    <row r="1162" spans="1:15" hidden="1"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IF(orders[[#This Row],[Customer Gender]] = "M", "Male", IF(orders[[#This Row],[Customer Gender]] = "F", "Female", IF(orders[[#This Row],[Customer Gender]] = "O", "Other",  "Unkown")))</f>
        <v>Unkown</v>
      </c>
    </row>
    <row r="1163" spans="1:15" hidden="1"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IF(orders[[#This Row],[Customer Gender]] = "M", "Male", IF(orders[[#This Row],[Customer Gender]] = "F", "Female", IF(orders[[#This Row],[Customer Gender]] = "O", "Other",  "Unkown")))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IF(orders[[#This Row],[Customer Gender]] = "M", "Male", IF(orders[[#This Row],[Customer Gender]] = "F", "Female", IF(orders[[#This Row],[Customer Gender]] = "O", "Other",  "Unkown")))</f>
        <v>Female</v>
      </c>
    </row>
    <row r="1165" spans="1:15" hidden="1"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IF(orders[[#This Row],[Customer Gender]] = "M", "Male", IF(orders[[#This Row],[Customer Gender]] = "F", "Female", IF(orders[[#This Row],[Customer Gender]] = "O", "Other",  "Unkown")))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IF(orders[[#This Row],[Customer Gender]] = "M", "Male", IF(orders[[#This Row],[Customer Gender]] = "F", "Female", IF(orders[[#This Row],[Customer Gender]] = "O", "Other",  "Unkown")))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IF(orders[[#This Row],[Customer Gender]] = "M", "Male", IF(orders[[#This Row],[Customer Gender]] = "F", "Female", IF(orders[[#This Row],[Customer Gender]] = "O", "Other",  "Unkown")))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IF(orders[[#This Row],[Customer Gender]] = "M", "Male", IF(orders[[#This Row],[Customer Gender]] = "F", "Female", IF(orders[[#This Row],[Customer Gender]] = "O", "Other",  "Unkown")))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IF(orders[[#This Row],[Customer Gender]] = "M", "Male", IF(orders[[#This Row],[Customer Gender]] = "F", "Female", IF(orders[[#This Row],[Customer Gender]] = "O", "Other",  "Unkown")))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IF(orders[[#This Row],[Customer Gender]] = "M", "Male", IF(orders[[#This Row],[Customer Gender]] = "F", "Female", IF(orders[[#This Row],[Customer Gender]] = "O", "Other",  "Unkown")))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IF(orders[[#This Row],[Customer Gender]] = "M", "Male", IF(orders[[#This Row],[Customer Gender]] = "F", "Female", IF(orders[[#This Row],[Customer Gender]] = "O", "Other",  "Unkown")))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IF(orders[[#This Row],[Customer Gender]] = "M", "Male", IF(orders[[#This Row],[Customer Gender]] = "F", "Female", IF(orders[[#This Row],[Customer Gender]] = "O", "Other",  "Unkown")))</f>
        <v>Female</v>
      </c>
    </row>
    <row r="1173" spans="1:15" hidden="1"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IF(orders[[#This Row],[Customer Gender]] = "M", "Male", IF(orders[[#This Row],[Customer Gender]] = "F", "Female", IF(orders[[#This Row],[Customer Gender]] = "O", "Other",  "Unkown")))</f>
        <v>Male</v>
      </c>
    </row>
    <row r="1174" spans="1:15" hidden="1"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IF(orders[[#This Row],[Customer Gender]] = "M", "Male", IF(orders[[#This Row],[Customer Gender]] = "F", "Female", IF(orders[[#This Row],[Customer Gender]] = "O", "Other",  "Unkown")))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IF(orders[[#This Row],[Customer Gender]] = "M", "Male", IF(orders[[#This Row],[Customer Gender]] = "F", "Female", IF(orders[[#This Row],[Customer Gender]] = "O", "Other",  "Unkown")))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IF(orders[[#This Row],[Customer Gender]] = "M", "Male", IF(orders[[#This Row],[Customer Gender]] = "F", "Female", IF(orders[[#This Row],[Customer Gender]] = "O", "Other",  "Unkown")))</f>
        <v>Female</v>
      </c>
    </row>
    <row r="1177" spans="1:15" hidden="1"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IF(orders[[#This Row],[Customer Gender]] = "M", "Male", IF(orders[[#This Row],[Customer Gender]] = "F", "Female", IF(orders[[#This Row],[Customer Gender]] = "O", "Other",  "Unkown")))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IF(orders[[#This Row],[Customer Gender]] = "M", "Male", IF(orders[[#This Row],[Customer Gender]] = "F", "Female", IF(orders[[#This Row],[Customer Gender]] = "O", "Other",  "Unkown")))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IF(orders[[#This Row],[Customer Gender]] = "M", "Male", IF(orders[[#This Row],[Customer Gender]] = "F", "Female", IF(orders[[#This Row],[Customer Gender]] = "O", "Other",  "Unkown")))</f>
        <v>Female</v>
      </c>
    </row>
    <row r="1180" spans="1:15" hidden="1"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IF(orders[[#This Row],[Customer Gender]] = "M", "Male", IF(orders[[#This Row],[Customer Gender]] = "F", "Female", IF(orders[[#This Row],[Customer Gender]] = "O", "Other",  "Unkown")))</f>
        <v>Unkown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IF(orders[[#This Row],[Customer Gender]] = "M", "Male", IF(orders[[#This Row],[Customer Gender]] = "F", "Female", IF(orders[[#This Row],[Customer Gender]] = "O", "Other",  "Unkown")))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IF(orders[[#This Row],[Customer Gender]] = "M", "Male", IF(orders[[#This Row],[Customer Gender]] = "F", "Female", IF(orders[[#This Row],[Customer Gender]] = "O", "Other",  "Unkown")))</f>
        <v>Female</v>
      </c>
    </row>
    <row r="1183" spans="1:15" hidden="1"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IF(orders[[#This Row],[Customer Gender]] = "M", "Male", IF(orders[[#This Row],[Customer Gender]] = "F", "Female", IF(orders[[#This Row],[Customer Gender]] = "O", "Other",  "Unkown")))</f>
        <v>Male</v>
      </c>
    </row>
    <row r="1184" spans="1:15" hidden="1"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IF(orders[[#This Row],[Customer Gender]] = "M", "Male", IF(orders[[#This Row],[Customer Gender]] = "F", "Female", IF(orders[[#This Row],[Customer Gender]] = "O", "Other",  "Unkown")))</f>
        <v>Unkown</v>
      </c>
    </row>
    <row r="1185" spans="1:15" hidden="1"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IF(orders[[#This Row],[Customer Gender]] = "M", "Male", IF(orders[[#This Row],[Customer Gender]] = "F", "Female", IF(orders[[#This Row],[Customer Gender]] = "O", "Other",  "Unkown")))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IF(orders[[#This Row],[Customer Gender]] = "M", "Male", IF(orders[[#This Row],[Customer Gender]] = "F", "Female", IF(orders[[#This Row],[Customer Gender]] = "O", "Other",  "Unkown")))</f>
        <v>Female</v>
      </c>
    </row>
    <row r="1187" spans="1:15" hidden="1"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IF(orders[[#This Row],[Customer Gender]] = "M", "Male", IF(orders[[#This Row],[Customer Gender]] = "F", "Female", IF(orders[[#This Row],[Customer Gender]] = "O", "Other",  "Unkown")))</f>
        <v>Male</v>
      </c>
    </row>
    <row r="1188" spans="1:15" hidden="1"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IF(orders[[#This Row],[Customer Gender]] = "M", "Male", IF(orders[[#This Row],[Customer Gender]] = "F", "Female", IF(orders[[#This Row],[Customer Gender]] = "O", "Other",  "Unkown")))</f>
        <v>Unkown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IF(orders[[#This Row],[Customer Gender]] = "M", "Male", IF(orders[[#This Row],[Customer Gender]] = "F", "Female", IF(orders[[#This Row],[Customer Gender]] = "O", "Other",  "Unkown")))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IF(orders[[#This Row],[Customer Gender]] = "M", "Male", IF(orders[[#This Row],[Customer Gender]] = "F", "Female", IF(orders[[#This Row],[Customer Gender]] = "O", "Other",  "Unkown")))</f>
        <v>Female</v>
      </c>
    </row>
    <row r="1191" spans="1:15" hidden="1"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IF(orders[[#This Row],[Customer Gender]] = "M", "Male", IF(orders[[#This Row],[Customer Gender]] = "F", "Female", IF(orders[[#This Row],[Customer Gender]] = "O", "Other",  "Unkown")))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IF(orders[[#This Row],[Customer Gender]] = "M", "Male", IF(orders[[#This Row],[Customer Gender]] = "F", "Female", IF(orders[[#This Row],[Customer Gender]] = "O", "Other",  "Unkown")))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IF(orders[[#This Row],[Customer Gender]] = "M", "Male", IF(orders[[#This Row],[Customer Gender]] = "F", "Female", IF(orders[[#This Row],[Customer Gender]] = "O", "Other",  "Unkown")))</f>
        <v>Female</v>
      </c>
    </row>
    <row r="1194" spans="1:15" hidden="1"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IF(orders[[#This Row],[Customer Gender]] = "M", "Male", IF(orders[[#This Row],[Customer Gender]] = "F", "Female", IF(orders[[#This Row],[Customer Gender]] = "O", "Other",  "Unkown")))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IF(orders[[#This Row],[Customer Gender]] = "M", "Male", IF(orders[[#This Row],[Customer Gender]] = "F", "Female", IF(orders[[#This Row],[Customer Gender]] = "O", "Other",  "Unkown")))</f>
        <v>Female</v>
      </c>
    </row>
    <row r="1196" spans="1:15" hidden="1"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IF(orders[[#This Row],[Customer Gender]] = "M", "Male", IF(orders[[#This Row],[Customer Gender]] = "F", "Female", IF(orders[[#This Row],[Customer Gender]] = "O", "Other",  "Unkown")))</f>
        <v>Male</v>
      </c>
    </row>
    <row r="1197" spans="1:15" hidden="1"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IF(orders[[#This Row],[Customer Gender]] = "M", "Male", IF(orders[[#This Row],[Customer Gender]] = "F", "Female", IF(orders[[#This Row],[Customer Gender]] = "O", "Other",  "Unkown")))</f>
        <v>Male</v>
      </c>
    </row>
    <row r="1198" spans="1:15" hidden="1"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IF(orders[[#This Row],[Customer Gender]] = "M", "Male", IF(orders[[#This Row],[Customer Gender]] = "F", "Female", IF(orders[[#This Row],[Customer Gender]] = "O", "Other",  "Unkown")))</f>
        <v>Male</v>
      </c>
    </row>
    <row r="1199" spans="1:15" hidden="1"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IF(orders[[#This Row],[Customer Gender]] = "M", "Male", IF(orders[[#This Row],[Customer Gender]] = "F", "Female", IF(orders[[#This Row],[Customer Gender]] = "O", "Other",  "Unkown")))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IF(orders[[#This Row],[Customer Gender]] = "M", "Male", IF(orders[[#This Row],[Customer Gender]] = "F", "Female", IF(orders[[#This Row],[Customer Gender]] = "O", "Other",  "Unkown")))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IF(orders[[#This Row],[Customer Gender]] = "M", "Male", IF(orders[[#This Row],[Customer Gender]] = "F", "Female", IF(orders[[#This Row],[Customer Gender]] = "O", "Other",  "Unkown")))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IF(orders[[#This Row],[Customer Gender]] = "M", "Male", IF(orders[[#This Row],[Customer Gender]] = "F", "Female", IF(orders[[#This Row],[Customer Gender]] = "O", "Other",  "Unkown")))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IF(orders[[#This Row],[Customer Gender]] = "M", "Male", IF(orders[[#This Row],[Customer Gender]] = "F", "Female", IF(orders[[#This Row],[Customer Gender]] = "O", "Other",  "Unkown")))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IF(orders[[#This Row],[Customer Gender]] = "M", "Male", IF(orders[[#This Row],[Customer Gender]] = "F", "Female", IF(orders[[#This Row],[Customer Gender]] = "O", "Other",  "Unkown")))</f>
        <v>Female</v>
      </c>
    </row>
    <row r="1205" spans="1:15" hidden="1"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IF(orders[[#This Row],[Customer Gender]] = "M", "Male", IF(orders[[#This Row],[Customer Gender]] = "F", "Female", IF(orders[[#This Row],[Customer Gender]] = "O", "Other",  "Unkown")))</f>
        <v>Male</v>
      </c>
    </row>
    <row r="1206" spans="1:15" hidden="1"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IF(orders[[#This Row],[Customer Gender]] = "M", "Male", IF(orders[[#This Row],[Customer Gender]] = "F", "Female", IF(orders[[#This Row],[Customer Gender]] = "O", "Other",  "Unkown")))</f>
        <v>Male</v>
      </c>
    </row>
    <row r="1207" spans="1:15" hidden="1"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IF(orders[[#This Row],[Customer Gender]] = "M", "Male", IF(orders[[#This Row],[Customer Gender]] = "F", "Female", IF(orders[[#This Row],[Customer Gender]] = "O", "Other",  "Unkown")))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IF(orders[[#This Row],[Customer Gender]] = "M", "Male", IF(orders[[#This Row],[Customer Gender]] = "F", "Female", IF(orders[[#This Row],[Customer Gender]] = "O", "Other",  "Unkown")))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IF(orders[[#This Row],[Customer Gender]] = "M", "Male", IF(orders[[#This Row],[Customer Gender]] = "F", "Female", IF(orders[[#This Row],[Customer Gender]] = "O", "Other",  "Unkown")))</f>
        <v>Female</v>
      </c>
    </row>
    <row r="1210" spans="1:15" hidden="1"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IF(orders[[#This Row],[Customer Gender]] = "M", "Male", IF(orders[[#This Row],[Customer Gender]] = "F", "Female", IF(orders[[#This Row],[Customer Gender]] = "O", "Other",  "Unkown")))</f>
        <v>Male</v>
      </c>
    </row>
    <row r="1211" spans="1:15" hidden="1"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IF(orders[[#This Row],[Customer Gender]] = "M", "Male", IF(orders[[#This Row],[Customer Gender]] = "F", "Female", IF(orders[[#This Row],[Customer Gender]] = "O", "Other",  "Unkown")))</f>
        <v>Male</v>
      </c>
    </row>
    <row r="1212" spans="1:15" hidden="1"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IF(orders[[#This Row],[Customer Gender]] = "M", "Male", IF(orders[[#This Row],[Customer Gender]] = "F", "Female", IF(orders[[#This Row],[Customer Gender]] = "O", "Other",  "Unkown")))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IF(orders[[#This Row],[Customer Gender]] = "M", "Male", IF(orders[[#This Row],[Customer Gender]] = "F", "Female", IF(orders[[#This Row],[Customer Gender]] = "O", "Other",  "Unkown")))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IF(orders[[#This Row],[Customer Gender]] = "M", "Male", IF(orders[[#This Row],[Customer Gender]] = "F", "Female", IF(orders[[#This Row],[Customer Gender]] = "O", "Other",  "Unkown")))</f>
        <v>Female</v>
      </c>
    </row>
    <row r="1215" spans="1:15" hidden="1"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IF(orders[[#This Row],[Customer Gender]] = "M", "Male", IF(orders[[#This Row],[Customer Gender]] = "F", "Female", IF(orders[[#This Row],[Customer Gender]] = "O", "Other",  "Unkown")))</f>
        <v>Unkown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IF(orders[[#This Row],[Customer Gender]] = "M", "Male", IF(orders[[#This Row],[Customer Gender]] = "F", "Female", IF(orders[[#This Row],[Customer Gender]] = "O", "Other",  "Unkown")))</f>
        <v>Female</v>
      </c>
    </row>
    <row r="1217" spans="1:15" hidden="1"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IF(orders[[#This Row],[Customer Gender]] = "M", "Male", IF(orders[[#This Row],[Customer Gender]] = "F", "Female", IF(orders[[#This Row],[Customer Gender]] = "O", "Other",  "Unkown")))</f>
        <v>Male</v>
      </c>
    </row>
    <row r="1218" spans="1:15" hidden="1"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IF(orders[[#This Row],[Customer Gender]] = "M", "Male", IF(orders[[#This Row],[Customer Gender]] = "F", "Female", IF(orders[[#This Row],[Customer Gender]] = "O", "Other",  "Unkown")))</f>
        <v>Male</v>
      </c>
    </row>
    <row r="1219" spans="1:15" hidden="1"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IF(orders[[#This Row],[Customer Gender]] = "M", "Male", IF(orders[[#This Row],[Customer Gender]] = "F", "Female", IF(orders[[#This Row],[Customer Gender]] = "O", "Other",  "Unkown")))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IF(orders[[#This Row],[Customer Gender]] = "M", "Male", IF(orders[[#This Row],[Customer Gender]] = "F", "Female", IF(orders[[#This Row],[Customer Gender]] = "O", "Other",  "Unkown")))</f>
        <v>Female</v>
      </c>
    </row>
    <row r="1221" spans="1:15" hidden="1"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IF(orders[[#This Row],[Customer Gender]] = "M", "Male", IF(orders[[#This Row],[Customer Gender]] = "F", "Female", IF(orders[[#This Row],[Customer Gender]] = "O", "Other",  "Unkown")))</f>
        <v>Male</v>
      </c>
    </row>
    <row r="1222" spans="1:15" hidden="1"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IF(orders[[#This Row],[Customer Gender]] = "M", "Male", IF(orders[[#This Row],[Customer Gender]] = "F", "Female", IF(orders[[#This Row],[Customer Gender]] = "O", "Other",  "Unkown")))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IF(orders[[#This Row],[Customer Gender]] = "M", "Male", IF(orders[[#This Row],[Customer Gender]] = "F", "Female", IF(orders[[#This Row],[Customer Gender]] = "O", "Other",  "Unkown")))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IF(orders[[#This Row],[Customer Gender]] = "M", "Male", IF(orders[[#This Row],[Customer Gender]] = "F", "Female", IF(orders[[#This Row],[Customer Gender]] = "O", "Other",  "Unkown")))</f>
        <v>Female</v>
      </c>
    </row>
    <row r="1225" spans="1:15" hidden="1"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IF(orders[[#This Row],[Customer Gender]] = "M", "Male", IF(orders[[#This Row],[Customer Gender]] = "F", "Female", IF(orders[[#This Row],[Customer Gender]] = "O", "Other",  "Unkown")))</f>
        <v>Male</v>
      </c>
    </row>
    <row r="1226" spans="1:15" hidden="1"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IF(orders[[#This Row],[Customer Gender]] = "M", "Male", IF(orders[[#This Row],[Customer Gender]] = "F", "Female", IF(orders[[#This Row],[Customer Gender]] = "O", "Other",  "Unkown")))</f>
        <v>Male</v>
      </c>
    </row>
    <row r="1227" spans="1:15" hidden="1"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IF(orders[[#This Row],[Customer Gender]] = "M", "Male", IF(orders[[#This Row],[Customer Gender]] = "F", "Female", IF(orders[[#This Row],[Customer Gender]] = "O", "Other",  "Unkown")))</f>
        <v>Unkown</v>
      </c>
    </row>
    <row r="1228" spans="1:15" hidden="1"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IF(orders[[#This Row],[Customer Gender]] = "M", "Male", IF(orders[[#This Row],[Customer Gender]] = "F", "Female", IF(orders[[#This Row],[Customer Gender]] = "O", "Other",  "Unkown")))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IF(orders[[#This Row],[Customer Gender]] = "M", "Male", IF(orders[[#This Row],[Customer Gender]] = "F", "Female", IF(orders[[#This Row],[Customer Gender]] = "O", "Other",  "Unkown")))</f>
        <v>Female</v>
      </c>
    </row>
    <row r="1230" spans="1:15" hidden="1"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IF(orders[[#This Row],[Customer Gender]] = "M", "Male", IF(orders[[#This Row],[Customer Gender]] = "F", "Female", IF(orders[[#This Row],[Customer Gender]] = "O", "Other",  "Unkown")))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IF(orders[[#This Row],[Customer Gender]] = "M", "Male", IF(orders[[#This Row],[Customer Gender]] = "F", "Female", IF(orders[[#This Row],[Customer Gender]] = "O", "Other",  "Unkown")))</f>
        <v>Female</v>
      </c>
    </row>
    <row r="1232" spans="1:15" hidden="1"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IF(orders[[#This Row],[Customer Gender]] = "M", "Male", IF(orders[[#This Row],[Customer Gender]] = "F", "Female", IF(orders[[#This Row],[Customer Gender]] = "O", "Other",  "Unkown")))</f>
        <v>Male</v>
      </c>
    </row>
    <row r="1233" spans="1:15" hidden="1"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IF(orders[[#This Row],[Customer Gender]] = "M", "Male", IF(orders[[#This Row],[Customer Gender]] = "F", "Female", IF(orders[[#This Row],[Customer Gender]] = "O", "Other",  "Unkown")))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IF(orders[[#This Row],[Customer Gender]] = "M", "Male", IF(orders[[#This Row],[Customer Gender]] = "F", "Female", IF(orders[[#This Row],[Customer Gender]] = "O", "Other",  "Unkown")))</f>
        <v>Female</v>
      </c>
    </row>
    <row r="1235" spans="1:15" hidden="1"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IF(orders[[#This Row],[Customer Gender]] = "M", "Male", IF(orders[[#This Row],[Customer Gender]] = "F", "Female", IF(orders[[#This Row],[Customer Gender]] = "O", "Other",  "Unkown")))</f>
        <v>Other</v>
      </c>
    </row>
    <row r="1236" spans="1:15" hidden="1"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IF(orders[[#This Row],[Customer Gender]] = "M", "Male", IF(orders[[#This Row],[Customer Gender]] = "F", "Female", IF(orders[[#This Row],[Customer Gender]] = "O", "Other",  "Unkown")))</f>
        <v>Male</v>
      </c>
    </row>
    <row r="1237" spans="1:15" hidden="1"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IF(orders[[#This Row],[Customer Gender]] = "M", "Male", IF(orders[[#This Row],[Customer Gender]] = "F", "Female", IF(orders[[#This Row],[Customer Gender]] = "O", "Other",  "Unkown")))</f>
        <v>Other</v>
      </c>
    </row>
    <row r="1238" spans="1:15" hidden="1"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IF(orders[[#This Row],[Customer Gender]] = "M", "Male", IF(orders[[#This Row],[Customer Gender]] = "F", "Female", IF(orders[[#This Row],[Customer Gender]] = "O", "Other",  "Unkown")))</f>
        <v>Unkown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IF(orders[[#This Row],[Customer Gender]] = "M", "Male", IF(orders[[#This Row],[Customer Gender]] = "F", "Female", IF(orders[[#This Row],[Customer Gender]] = "O", "Other",  "Unkown")))</f>
        <v>Female</v>
      </c>
    </row>
    <row r="1240" spans="1:15" hidden="1"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IF(orders[[#This Row],[Customer Gender]] = "M", "Male", IF(orders[[#This Row],[Customer Gender]] = "F", "Female", IF(orders[[#This Row],[Customer Gender]] = "O", "Other",  "Unkown")))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IF(orders[[#This Row],[Customer Gender]] = "M", "Male", IF(orders[[#This Row],[Customer Gender]] = "F", "Female", IF(orders[[#This Row],[Customer Gender]] = "O", "Other",  "Unkown")))</f>
        <v>Female</v>
      </c>
    </row>
    <row r="1242" spans="1:15" hidden="1"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IF(orders[[#This Row],[Customer Gender]] = "M", "Male", IF(orders[[#This Row],[Customer Gender]] = "F", "Female", IF(orders[[#This Row],[Customer Gender]] = "O", "Other",  "Unkown")))</f>
        <v>Unkown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IF(orders[[#This Row],[Customer Gender]] = "M", "Male", IF(orders[[#This Row],[Customer Gender]] = "F", "Female", IF(orders[[#This Row],[Customer Gender]] = "O", "Other",  "Unkown")))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IF(orders[[#This Row],[Customer Gender]] = "M", "Male", IF(orders[[#This Row],[Customer Gender]] = "F", "Female", IF(orders[[#This Row],[Customer Gender]] = "O", "Other",  "Unkown")))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IF(orders[[#This Row],[Customer Gender]] = "M", "Male", IF(orders[[#This Row],[Customer Gender]] = "F", "Female", IF(orders[[#This Row],[Customer Gender]] = "O", "Other",  "Unkown")))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IF(orders[[#This Row],[Customer Gender]] = "M", "Male", IF(orders[[#This Row],[Customer Gender]] = "F", "Female", IF(orders[[#This Row],[Customer Gender]] = "O", "Other",  "Unkown")))</f>
        <v>Female</v>
      </c>
    </row>
    <row r="1247" spans="1:15" hidden="1"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IF(orders[[#This Row],[Customer Gender]] = "M", "Male", IF(orders[[#This Row],[Customer Gender]] = "F", "Female", IF(orders[[#This Row],[Customer Gender]] = "O", "Other",  "Unkown")))</f>
        <v>Male</v>
      </c>
    </row>
    <row r="1248" spans="1:15" hidden="1"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IF(orders[[#This Row],[Customer Gender]] = "M", "Male", IF(orders[[#This Row],[Customer Gender]] = "F", "Female", IF(orders[[#This Row],[Customer Gender]] = "O", "Other",  "Unkown")))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IF(orders[[#This Row],[Customer Gender]] = "M", "Male", IF(orders[[#This Row],[Customer Gender]] = "F", "Female", IF(orders[[#This Row],[Customer Gender]] = "O", "Other",  "Unkown")))</f>
        <v>Female</v>
      </c>
    </row>
    <row r="1250" spans="1:15" hidden="1"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IF(orders[[#This Row],[Customer Gender]] = "M", "Male", IF(orders[[#This Row],[Customer Gender]] = "F", "Female", IF(orders[[#This Row],[Customer Gender]] = "O", "Other",  "Unkown")))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IF(orders[[#This Row],[Customer Gender]] = "M", "Male", IF(orders[[#This Row],[Customer Gender]] = "F", "Female", IF(orders[[#This Row],[Customer Gender]] = "O", "Other",  "Unkown")))</f>
        <v>Female</v>
      </c>
    </row>
    <row r="1252" spans="1:15" hidden="1"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IF(orders[[#This Row],[Customer Gender]] = "M", "Male", IF(orders[[#This Row],[Customer Gender]] = "F", "Female", IF(orders[[#This Row],[Customer Gender]] = "O", "Other",  "Unkown")))</f>
        <v>Male</v>
      </c>
    </row>
    <row r="1253" spans="1:15" hidden="1"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IF(orders[[#This Row],[Customer Gender]] = "M", "Male", IF(orders[[#This Row],[Customer Gender]] = "F", "Female", IF(orders[[#This Row],[Customer Gender]] = "O", "Other",  "Unkown")))</f>
        <v>Unkown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IF(orders[[#This Row],[Customer Gender]] = "M", "Male", IF(orders[[#This Row],[Customer Gender]] = "F", "Female", IF(orders[[#This Row],[Customer Gender]] = "O", "Other",  "Unkown")))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IF(orders[[#This Row],[Customer Gender]] = "M", "Male", IF(orders[[#This Row],[Customer Gender]] = "F", "Female", IF(orders[[#This Row],[Customer Gender]] = "O", "Other",  "Unkown")))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IF(orders[[#This Row],[Customer Gender]] = "M", "Male", IF(orders[[#This Row],[Customer Gender]] = "F", "Female", IF(orders[[#This Row],[Customer Gender]] = "O", "Other",  "Unkown")))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IF(orders[[#This Row],[Customer Gender]] = "M", "Male", IF(orders[[#This Row],[Customer Gender]] = "F", "Female", IF(orders[[#This Row],[Customer Gender]] = "O", "Other",  "Unkown")))</f>
        <v>Female</v>
      </c>
    </row>
    <row r="1258" spans="1:15" hidden="1"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IF(orders[[#This Row],[Customer Gender]] = "M", "Male", IF(orders[[#This Row],[Customer Gender]] = "F", "Female", IF(orders[[#This Row],[Customer Gender]] = "O", "Other",  "Unkown")))</f>
        <v>Male</v>
      </c>
    </row>
    <row r="1259" spans="1:15" hidden="1"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IF(orders[[#This Row],[Customer Gender]] = "M", "Male", IF(orders[[#This Row],[Customer Gender]] = "F", "Female", IF(orders[[#This Row],[Customer Gender]] = "O", "Other",  "Unkown")))</f>
        <v>Male</v>
      </c>
    </row>
    <row r="1260" spans="1:15" hidden="1"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IF(orders[[#This Row],[Customer Gender]] = "M", "Male", IF(orders[[#This Row],[Customer Gender]] = "F", "Female", IF(orders[[#This Row],[Customer Gender]] = "O", "Other",  "Unkown")))</f>
        <v>Male</v>
      </c>
    </row>
    <row r="1261" spans="1:15" hidden="1"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IF(orders[[#This Row],[Customer Gender]] = "M", "Male", IF(orders[[#This Row],[Customer Gender]] = "F", "Female", IF(orders[[#This Row],[Customer Gender]] = "O", "Other",  "Unkown")))</f>
        <v>Male</v>
      </c>
    </row>
    <row r="1262" spans="1:15" hidden="1"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IF(orders[[#This Row],[Customer Gender]] = "M", "Male", IF(orders[[#This Row],[Customer Gender]] = "F", "Female", IF(orders[[#This Row],[Customer Gender]] = "O", "Other",  "Unkown")))</f>
        <v>Male</v>
      </c>
    </row>
    <row r="1263" spans="1:15" hidden="1"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IF(orders[[#This Row],[Customer Gender]] = "M", "Male", IF(orders[[#This Row],[Customer Gender]] = "F", "Female", IF(orders[[#This Row],[Customer Gender]] = "O", "Other",  "Unkown")))</f>
        <v>Male</v>
      </c>
    </row>
    <row r="1264" spans="1:15" hidden="1"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IF(orders[[#This Row],[Customer Gender]] = "M", "Male", IF(orders[[#This Row],[Customer Gender]] = "F", "Female", IF(orders[[#This Row],[Customer Gender]] = "O", "Other",  "Unkown")))</f>
        <v>Male</v>
      </c>
    </row>
    <row r="1265" spans="1:15" hidden="1"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IF(orders[[#This Row],[Customer Gender]] = "M", "Male", IF(orders[[#This Row],[Customer Gender]] = "F", "Female", IF(orders[[#This Row],[Customer Gender]] = "O", "Other",  "Unkown")))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IF(orders[[#This Row],[Customer Gender]] = "M", "Male", IF(orders[[#This Row],[Customer Gender]] = "F", "Female", IF(orders[[#This Row],[Customer Gender]] = "O", "Other",  "Unkown")))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IF(orders[[#This Row],[Customer Gender]] = "M", "Male", IF(orders[[#This Row],[Customer Gender]] = "F", "Female", IF(orders[[#This Row],[Customer Gender]] = "O", "Other",  "Unkown")))</f>
        <v>Female</v>
      </c>
    </row>
    <row r="1268" spans="1:15" hidden="1"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IF(orders[[#This Row],[Customer Gender]] = "M", "Male", IF(orders[[#This Row],[Customer Gender]] = "F", "Female", IF(orders[[#This Row],[Customer Gender]] = "O", "Other",  "Unkown")))</f>
        <v>Male</v>
      </c>
    </row>
    <row r="1269" spans="1:15" hidden="1"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IF(orders[[#This Row],[Customer Gender]] = "M", "Male", IF(orders[[#This Row],[Customer Gender]] = "F", "Female", IF(orders[[#This Row],[Customer Gender]] = "O", "Other",  "Unkown")))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IF(orders[[#This Row],[Customer Gender]] = "M", "Male", IF(orders[[#This Row],[Customer Gender]] = "F", "Female", IF(orders[[#This Row],[Customer Gender]] = "O", "Other",  "Unkown")))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IF(orders[[#This Row],[Customer Gender]] = "M", "Male", IF(orders[[#This Row],[Customer Gender]] = "F", "Female", IF(orders[[#This Row],[Customer Gender]] = "O", "Other",  "Unkown")))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IF(orders[[#This Row],[Customer Gender]] = "M", "Male", IF(orders[[#This Row],[Customer Gender]] = "F", "Female", IF(orders[[#This Row],[Customer Gender]] = "O", "Other",  "Unkown")))</f>
        <v>Female</v>
      </c>
    </row>
    <row r="1273" spans="1:15" hidden="1"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IF(orders[[#This Row],[Customer Gender]] = "M", "Male", IF(orders[[#This Row],[Customer Gender]] = "F", "Female", IF(orders[[#This Row],[Customer Gender]] = "O", "Other",  "Unkown")))</f>
        <v>Male</v>
      </c>
    </row>
    <row r="1274" spans="1:15" hidden="1"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IF(orders[[#This Row],[Customer Gender]] = "M", "Male", IF(orders[[#This Row],[Customer Gender]] = "F", "Female", IF(orders[[#This Row],[Customer Gender]] = "O", "Other",  "Unkown")))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IF(orders[[#This Row],[Customer Gender]] = "M", "Male", IF(orders[[#This Row],[Customer Gender]] = "F", "Female", IF(orders[[#This Row],[Customer Gender]] = "O", "Other",  "Unkown")))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IF(orders[[#This Row],[Customer Gender]] = "M", "Male", IF(orders[[#This Row],[Customer Gender]] = "F", "Female", IF(orders[[#This Row],[Customer Gender]] = "O", "Other",  "Unkown")))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IF(orders[[#This Row],[Customer Gender]] = "M", "Male", IF(orders[[#This Row],[Customer Gender]] = "F", "Female", IF(orders[[#This Row],[Customer Gender]] = "O", "Other",  "Unkown")))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IF(orders[[#This Row],[Customer Gender]] = "M", "Male", IF(orders[[#This Row],[Customer Gender]] = "F", "Female", IF(orders[[#This Row],[Customer Gender]] = "O", "Other",  "Unkown")))</f>
        <v>Female</v>
      </c>
    </row>
    <row r="1279" spans="1:15" hidden="1"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IF(orders[[#This Row],[Customer Gender]] = "M", "Male", IF(orders[[#This Row],[Customer Gender]] = "F", "Female", IF(orders[[#This Row],[Customer Gender]] = "O", "Other",  "Unkown")))</f>
        <v>Unkown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IF(orders[[#This Row],[Customer Gender]] = "M", "Male", IF(orders[[#This Row],[Customer Gender]] = "F", "Female", IF(orders[[#This Row],[Customer Gender]] = "O", "Other",  "Unkown")))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IF(orders[[#This Row],[Customer Gender]] = "M", "Male", IF(orders[[#This Row],[Customer Gender]] = "F", "Female", IF(orders[[#This Row],[Customer Gender]] = "O", "Other",  "Unkown")))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IF(orders[[#This Row],[Customer Gender]] = "M", "Male", IF(orders[[#This Row],[Customer Gender]] = "F", "Female", IF(orders[[#This Row],[Customer Gender]] = "O", "Other",  "Unkown")))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IF(orders[[#This Row],[Customer Gender]] = "M", "Male", IF(orders[[#This Row],[Customer Gender]] = "F", "Female", IF(orders[[#This Row],[Customer Gender]] = "O", "Other",  "Unkown")))</f>
        <v>Female</v>
      </c>
    </row>
    <row r="1284" spans="1:15" hidden="1"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IF(orders[[#This Row],[Customer Gender]] = "M", "Male", IF(orders[[#This Row],[Customer Gender]] = "F", "Female", IF(orders[[#This Row],[Customer Gender]] = "O", "Other",  "Unkown")))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IF(orders[[#This Row],[Customer Gender]] = "M", "Male", IF(orders[[#This Row],[Customer Gender]] = "F", "Female", IF(orders[[#This Row],[Customer Gender]] = "O", "Other",  "Unkown")))</f>
        <v>Female</v>
      </c>
    </row>
    <row r="1286" spans="1:15" hidden="1"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IF(orders[[#This Row],[Customer Gender]] = "M", "Male", IF(orders[[#This Row],[Customer Gender]] = "F", "Female", IF(orders[[#This Row],[Customer Gender]] = "O", "Other",  "Unkown")))</f>
        <v>Male</v>
      </c>
    </row>
    <row r="1287" spans="1:15" hidden="1"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IF(orders[[#This Row],[Customer Gender]] = "M", "Male", IF(orders[[#This Row],[Customer Gender]] = "F", "Female", IF(orders[[#This Row],[Customer Gender]] = "O", "Other",  "Unkown")))</f>
        <v>Male</v>
      </c>
    </row>
    <row r="1288" spans="1:15" hidden="1"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IF(orders[[#This Row],[Customer Gender]] = "M", "Male", IF(orders[[#This Row],[Customer Gender]] = "F", "Female", IF(orders[[#This Row],[Customer Gender]] = "O", "Other",  "Unkown")))</f>
        <v>Male</v>
      </c>
    </row>
    <row r="1289" spans="1:15" hidden="1"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IF(orders[[#This Row],[Customer Gender]] = "M", "Male", IF(orders[[#This Row],[Customer Gender]] = "F", "Female", IF(orders[[#This Row],[Customer Gender]] = "O", "Other",  "Unkown")))</f>
        <v>Male</v>
      </c>
    </row>
    <row r="1290" spans="1:15" hidden="1"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IF(orders[[#This Row],[Customer Gender]] = "M", "Male", IF(orders[[#This Row],[Customer Gender]] = "F", "Female", IF(orders[[#This Row],[Customer Gender]] = "O", "Other",  "Unkown")))</f>
        <v>Male</v>
      </c>
    </row>
    <row r="1291" spans="1:15" hidden="1"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IF(orders[[#This Row],[Customer Gender]] = "M", "Male", IF(orders[[#This Row],[Customer Gender]] = "F", "Female", IF(orders[[#This Row],[Customer Gender]] = "O", "Other",  "Unkown")))</f>
        <v>Male</v>
      </c>
    </row>
    <row r="1292" spans="1:15" hidden="1"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IF(orders[[#This Row],[Customer Gender]] = "M", "Male", IF(orders[[#This Row],[Customer Gender]] = "F", "Female", IF(orders[[#This Row],[Customer Gender]] = "O", "Other",  "Unkown")))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IF(orders[[#This Row],[Customer Gender]] = "M", "Male", IF(orders[[#This Row],[Customer Gender]] = "F", "Female", IF(orders[[#This Row],[Customer Gender]] = "O", "Other",  "Unkown")))</f>
        <v>Female</v>
      </c>
    </row>
    <row r="1294" spans="1:15" hidden="1"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IF(orders[[#This Row],[Customer Gender]] = "M", "Male", IF(orders[[#This Row],[Customer Gender]] = "F", "Female", IF(orders[[#This Row],[Customer Gender]] = "O", "Other",  "Unkown")))</f>
        <v>Male</v>
      </c>
    </row>
    <row r="1295" spans="1:15" hidden="1"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IF(orders[[#This Row],[Customer Gender]] = "M", "Male", IF(orders[[#This Row],[Customer Gender]] = "F", "Female", IF(orders[[#This Row],[Customer Gender]] = "O", "Other",  "Unkown")))</f>
        <v>Male</v>
      </c>
    </row>
    <row r="1296" spans="1:15" hidden="1"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IF(orders[[#This Row],[Customer Gender]] = "M", "Male", IF(orders[[#This Row],[Customer Gender]] = "F", "Female", IF(orders[[#This Row],[Customer Gender]] = "O", "Other",  "Unkown")))</f>
        <v>Unkown</v>
      </c>
    </row>
    <row r="1297" spans="1:15" hidden="1"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IF(orders[[#This Row],[Customer Gender]] = "M", "Male", IF(orders[[#This Row],[Customer Gender]] = "F", "Female", IF(orders[[#This Row],[Customer Gender]] = "O", "Other",  "Unkown")))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IF(orders[[#This Row],[Customer Gender]] = "M", "Male", IF(orders[[#This Row],[Customer Gender]] = "F", "Female", IF(orders[[#This Row],[Customer Gender]] = "O", "Other",  "Unkown")))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IF(orders[[#This Row],[Customer Gender]] = "M", "Male", IF(orders[[#This Row],[Customer Gender]] = "F", "Female", IF(orders[[#This Row],[Customer Gender]] = "O", "Other",  "Unkown")))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IF(orders[[#This Row],[Customer Gender]] = "M", "Male", IF(orders[[#This Row],[Customer Gender]] = "F", "Female", IF(orders[[#This Row],[Customer Gender]] = "O", "Other",  "Unkown")))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IF(orders[[#This Row],[Customer Gender]] = "M", "Male", IF(orders[[#This Row],[Customer Gender]] = "F", "Female", IF(orders[[#This Row],[Customer Gender]] = "O", "Other",  "Unkown")))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IF(orders[[#This Row],[Customer Gender]] = "M", "Male", IF(orders[[#This Row],[Customer Gender]] = "F", "Female", IF(orders[[#This Row],[Customer Gender]] = "O", "Other",  "Unkown")))</f>
        <v>Female</v>
      </c>
    </row>
    <row r="1303" spans="1:15" hidden="1"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IF(orders[[#This Row],[Customer Gender]] = "M", "Male", IF(orders[[#This Row],[Customer Gender]] = "F", "Female", IF(orders[[#This Row],[Customer Gender]] = "O", "Other",  "Unkown")))</f>
        <v>Male</v>
      </c>
    </row>
    <row r="1304" spans="1:15" hidden="1"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IF(orders[[#This Row],[Customer Gender]] = "M", "Male", IF(orders[[#This Row],[Customer Gender]] = "F", "Female", IF(orders[[#This Row],[Customer Gender]] = "O", "Other",  "Unkown")))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IF(orders[[#This Row],[Customer Gender]] = "M", "Male", IF(orders[[#This Row],[Customer Gender]] = "F", "Female", IF(orders[[#This Row],[Customer Gender]] = "O", "Other",  "Unkown")))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IF(orders[[#This Row],[Customer Gender]] = "M", "Male", IF(orders[[#This Row],[Customer Gender]] = "F", "Female", IF(orders[[#This Row],[Customer Gender]] = "O", "Other",  "Unkown")))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IF(orders[[#This Row],[Customer Gender]] = "M", "Male", IF(orders[[#This Row],[Customer Gender]] = "F", "Female", IF(orders[[#This Row],[Customer Gender]] = "O", "Other",  "Unkown")))</f>
        <v>Female</v>
      </c>
    </row>
    <row r="1308" spans="1:15" hidden="1"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IF(orders[[#This Row],[Customer Gender]] = "M", "Male", IF(orders[[#This Row],[Customer Gender]] = "F", "Female", IF(orders[[#This Row],[Customer Gender]] = "O", "Other",  "Unkown")))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IF(orders[[#This Row],[Customer Gender]] = "M", "Male", IF(orders[[#This Row],[Customer Gender]] = "F", "Female", IF(orders[[#This Row],[Customer Gender]] = "O", "Other",  "Unkown")))</f>
        <v>Female</v>
      </c>
    </row>
    <row r="1310" spans="1:15" hidden="1"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IF(orders[[#This Row],[Customer Gender]] = "M", "Male", IF(orders[[#This Row],[Customer Gender]] = "F", "Female", IF(orders[[#This Row],[Customer Gender]] = "O", "Other",  "Unkown")))</f>
        <v>Male</v>
      </c>
    </row>
    <row r="1311" spans="1:15" hidden="1"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IF(orders[[#This Row],[Customer Gender]] = "M", "Male", IF(orders[[#This Row],[Customer Gender]] = "F", "Female", IF(orders[[#This Row],[Customer Gender]] = "O", "Other",  "Unkown")))</f>
        <v>Male</v>
      </c>
    </row>
    <row r="1312" spans="1:15" hidden="1"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IF(orders[[#This Row],[Customer Gender]] = "M", "Male", IF(orders[[#This Row],[Customer Gender]] = "F", "Female", IF(orders[[#This Row],[Customer Gender]] = "O", "Other",  "Unkown")))</f>
        <v>Male</v>
      </c>
    </row>
    <row r="1313" spans="1:15" hidden="1"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IF(orders[[#This Row],[Customer Gender]] = "M", "Male", IF(orders[[#This Row],[Customer Gender]] = "F", "Female", IF(orders[[#This Row],[Customer Gender]] = "O", "Other",  "Unkown")))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IF(orders[[#This Row],[Customer Gender]] = "M", "Male", IF(orders[[#This Row],[Customer Gender]] = "F", "Female", IF(orders[[#This Row],[Customer Gender]] = "O", "Other",  "Unkown")))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IF(orders[[#This Row],[Customer Gender]] = "M", "Male", IF(orders[[#This Row],[Customer Gender]] = "F", "Female", IF(orders[[#This Row],[Customer Gender]] = "O", "Other",  "Unkown")))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IF(orders[[#This Row],[Customer Gender]] = "M", "Male", IF(orders[[#This Row],[Customer Gender]] = "F", "Female", IF(orders[[#This Row],[Customer Gender]] = "O", "Other",  "Unkown")))</f>
        <v>Female</v>
      </c>
    </row>
    <row r="1317" spans="1:15" hidden="1"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IF(orders[[#This Row],[Customer Gender]] = "M", "Male", IF(orders[[#This Row],[Customer Gender]] = "F", "Female", IF(orders[[#This Row],[Customer Gender]] = "O", "Other",  "Unkown")))</f>
        <v>Unkown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IF(orders[[#This Row],[Customer Gender]] = "M", "Male", IF(orders[[#This Row],[Customer Gender]] = "F", "Female", IF(orders[[#This Row],[Customer Gender]] = "O", "Other",  "Unkown")))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IF(orders[[#This Row],[Customer Gender]] = "M", "Male", IF(orders[[#This Row],[Customer Gender]] = "F", "Female", IF(orders[[#This Row],[Customer Gender]] = "O", "Other",  "Unkown")))</f>
        <v>Female</v>
      </c>
    </row>
    <row r="1320" spans="1:15" hidden="1"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IF(orders[[#This Row],[Customer Gender]] = "M", "Male", IF(orders[[#This Row],[Customer Gender]] = "F", "Female", IF(orders[[#This Row],[Customer Gender]] = "O", "Other",  "Unkown")))</f>
        <v>Male</v>
      </c>
    </row>
    <row r="1321" spans="1:15" hidden="1"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IF(orders[[#This Row],[Customer Gender]] = "M", "Male", IF(orders[[#This Row],[Customer Gender]] = "F", "Female", IF(orders[[#This Row],[Customer Gender]] = "O", "Other",  "Unkown")))</f>
        <v>Male</v>
      </c>
    </row>
    <row r="1322" spans="1:15" hidden="1"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IF(orders[[#This Row],[Customer Gender]] = "M", "Male", IF(orders[[#This Row],[Customer Gender]] = "F", "Female", IF(orders[[#This Row],[Customer Gender]] = "O", "Other",  "Unkown")))</f>
        <v>Male</v>
      </c>
    </row>
    <row r="1323" spans="1:15" hidden="1"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IF(orders[[#This Row],[Customer Gender]] = "M", "Male", IF(orders[[#This Row],[Customer Gender]] = "F", "Female", IF(orders[[#This Row],[Customer Gender]] = "O", "Other",  "Unkown")))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IF(orders[[#This Row],[Customer Gender]] = "M", "Male", IF(orders[[#This Row],[Customer Gender]] = "F", "Female", IF(orders[[#This Row],[Customer Gender]] = "O", "Other",  "Unkown")))</f>
        <v>Female</v>
      </c>
    </row>
    <row r="1325" spans="1:15" hidden="1"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IF(orders[[#This Row],[Customer Gender]] = "M", "Male", IF(orders[[#This Row],[Customer Gender]] = "F", "Female", IF(orders[[#This Row],[Customer Gender]] = "O", "Other",  "Unkown")))</f>
        <v>Male</v>
      </c>
    </row>
    <row r="1326" spans="1:15" hidden="1"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IF(orders[[#This Row],[Customer Gender]] = "M", "Male", IF(orders[[#This Row],[Customer Gender]] = "F", "Female", IF(orders[[#This Row],[Customer Gender]] = "O", "Other",  "Unkown")))</f>
        <v>Male</v>
      </c>
    </row>
    <row r="1327" spans="1:15" hidden="1"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IF(orders[[#This Row],[Customer Gender]] = "M", "Male", IF(orders[[#This Row],[Customer Gender]] = "F", "Female", IF(orders[[#This Row],[Customer Gender]] = "O", "Other",  "Unkown")))</f>
        <v>Male</v>
      </c>
    </row>
    <row r="1328" spans="1:15" hidden="1"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IF(orders[[#This Row],[Customer Gender]] = "M", "Male", IF(orders[[#This Row],[Customer Gender]] = "F", "Female", IF(orders[[#This Row],[Customer Gender]] = "O", "Other",  "Unkown")))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IF(orders[[#This Row],[Customer Gender]] = "M", "Male", IF(orders[[#This Row],[Customer Gender]] = "F", "Female", IF(orders[[#This Row],[Customer Gender]] = "O", "Other",  "Unkown")))</f>
        <v>Female</v>
      </c>
    </row>
    <row r="1330" spans="1:15" hidden="1"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IF(orders[[#This Row],[Customer Gender]] = "M", "Male", IF(orders[[#This Row],[Customer Gender]] = "F", "Female", IF(orders[[#This Row],[Customer Gender]] = "O", "Other",  "Unkown")))</f>
        <v>Male</v>
      </c>
    </row>
    <row r="1331" spans="1:15" hidden="1"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IF(orders[[#This Row],[Customer Gender]] = "M", "Male", IF(orders[[#This Row],[Customer Gender]] = "F", "Female", IF(orders[[#This Row],[Customer Gender]] = "O", "Other",  "Unkown")))</f>
        <v>Unkown</v>
      </c>
    </row>
    <row r="1332" spans="1:15" hidden="1"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IF(orders[[#This Row],[Customer Gender]] = "M", "Male", IF(orders[[#This Row],[Customer Gender]] = "F", "Female", IF(orders[[#This Row],[Customer Gender]] = "O", "Other",  "Unkown")))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IF(orders[[#This Row],[Customer Gender]] = "M", "Male", IF(orders[[#This Row],[Customer Gender]] = "F", "Female", IF(orders[[#This Row],[Customer Gender]] = "O", "Other",  "Unkown")))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IF(orders[[#This Row],[Customer Gender]] = "M", "Male", IF(orders[[#This Row],[Customer Gender]] = "F", "Female", IF(orders[[#This Row],[Customer Gender]] = "O", "Other",  "Unkown")))</f>
        <v>Female</v>
      </c>
    </row>
    <row r="1335" spans="1:15" hidden="1"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IF(orders[[#This Row],[Customer Gender]] = "M", "Male", IF(orders[[#This Row],[Customer Gender]] = "F", "Female", IF(orders[[#This Row],[Customer Gender]] = "O", "Other",  "Unkown")))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IF(orders[[#This Row],[Customer Gender]] = "M", "Male", IF(orders[[#This Row],[Customer Gender]] = "F", "Female", IF(orders[[#This Row],[Customer Gender]] = "O", "Other",  "Unkown")))</f>
        <v>Female</v>
      </c>
    </row>
    <row r="1337" spans="1:15" hidden="1"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IF(orders[[#This Row],[Customer Gender]] = "M", "Male", IF(orders[[#This Row],[Customer Gender]] = "F", "Female", IF(orders[[#This Row],[Customer Gender]] = "O", "Other",  "Unkown")))</f>
        <v>Male</v>
      </c>
    </row>
    <row r="1338" spans="1:15" hidden="1"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IF(orders[[#This Row],[Customer Gender]] = "M", "Male", IF(orders[[#This Row],[Customer Gender]] = "F", "Female", IF(orders[[#This Row],[Customer Gender]] = "O", "Other",  "Unkown")))</f>
        <v>Male</v>
      </c>
    </row>
    <row r="1339" spans="1:15" hidden="1"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IF(orders[[#This Row],[Customer Gender]] = "M", "Male", IF(orders[[#This Row],[Customer Gender]] = "F", "Female", IF(orders[[#This Row],[Customer Gender]] = "O", "Other",  "Unkown")))</f>
        <v>Male</v>
      </c>
    </row>
    <row r="1340" spans="1:15" hidden="1"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IF(orders[[#This Row],[Customer Gender]] = "M", "Male", IF(orders[[#This Row],[Customer Gender]] = "F", "Female", IF(orders[[#This Row],[Customer Gender]] = "O", "Other",  "Unkown")))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IF(orders[[#This Row],[Customer Gender]] = "M", "Male", IF(orders[[#This Row],[Customer Gender]] = "F", "Female", IF(orders[[#This Row],[Customer Gender]] = "O", "Other",  "Unkown")))</f>
        <v>Female</v>
      </c>
    </row>
    <row r="1342" spans="1:15" hidden="1"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IF(orders[[#This Row],[Customer Gender]] = "M", "Male", IF(orders[[#This Row],[Customer Gender]] = "F", "Female", IF(orders[[#This Row],[Customer Gender]] = "O", "Other",  "Unkown")))</f>
        <v>Male</v>
      </c>
    </row>
    <row r="1343" spans="1:15" hidden="1"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IF(orders[[#This Row],[Customer Gender]] = "M", "Male", IF(orders[[#This Row],[Customer Gender]] = "F", "Female", IF(orders[[#This Row],[Customer Gender]] = "O", "Other",  "Unkown")))</f>
        <v>Male</v>
      </c>
    </row>
    <row r="1344" spans="1:15" hidden="1"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IF(orders[[#This Row],[Customer Gender]] = "M", "Male", IF(orders[[#This Row],[Customer Gender]] = "F", "Female", IF(orders[[#This Row],[Customer Gender]] = "O", "Other",  "Unkown")))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IF(orders[[#This Row],[Customer Gender]] = "M", "Male", IF(orders[[#This Row],[Customer Gender]] = "F", "Female", IF(orders[[#This Row],[Customer Gender]] = "O", "Other",  "Unkown")))</f>
        <v>Female</v>
      </c>
    </row>
    <row r="1346" spans="1:15" hidden="1"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IF(orders[[#This Row],[Customer Gender]] = "M", "Male", IF(orders[[#This Row],[Customer Gender]] = "F", "Female", IF(orders[[#This Row],[Customer Gender]] = "O", "Other",  "Unkown")))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IF(orders[[#This Row],[Customer Gender]] = "M", "Male", IF(orders[[#This Row],[Customer Gender]] = "F", "Female", IF(orders[[#This Row],[Customer Gender]] = "O", "Other",  "Unkown")))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IF(orders[[#This Row],[Customer Gender]] = "M", "Male", IF(orders[[#This Row],[Customer Gender]] = "F", "Female", IF(orders[[#This Row],[Customer Gender]] = "O", "Other",  "Unkown")))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IF(orders[[#This Row],[Customer Gender]] = "M", "Male", IF(orders[[#This Row],[Customer Gender]] = "F", "Female", IF(orders[[#This Row],[Customer Gender]] = "O", "Other",  "Unkown")))</f>
        <v>Female</v>
      </c>
    </row>
    <row r="1350" spans="1:15" hidden="1"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IF(orders[[#This Row],[Customer Gender]] = "M", "Male", IF(orders[[#This Row],[Customer Gender]] = "F", "Female", IF(orders[[#This Row],[Customer Gender]] = "O", "Other",  "Unkown")))</f>
        <v>Male</v>
      </c>
    </row>
    <row r="1351" spans="1:15" hidden="1"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IF(orders[[#This Row],[Customer Gender]] = "M", "Male", IF(orders[[#This Row],[Customer Gender]] = "F", "Female", IF(orders[[#This Row],[Customer Gender]] = "O", "Other",  "Unkown")))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IF(orders[[#This Row],[Customer Gender]] = "M", "Male", IF(orders[[#This Row],[Customer Gender]] = "F", "Female", IF(orders[[#This Row],[Customer Gender]] = "O", "Other",  "Unkown")))</f>
        <v>Female</v>
      </c>
    </row>
    <row r="1353" spans="1:15" hidden="1"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IF(orders[[#This Row],[Customer Gender]] = "M", "Male", IF(orders[[#This Row],[Customer Gender]] = "F", "Female", IF(orders[[#This Row],[Customer Gender]] = "O", "Other",  "Unkown")))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IF(orders[[#This Row],[Customer Gender]] = "M", "Male", IF(orders[[#This Row],[Customer Gender]] = "F", "Female", IF(orders[[#This Row],[Customer Gender]] = "O", "Other",  "Unkown")))</f>
        <v>Female</v>
      </c>
    </row>
    <row r="1355" spans="1:15" hidden="1"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IF(orders[[#This Row],[Customer Gender]] = "M", "Male", IF(orders[[#This Row],[Customer Gender]] = "F", "Female", IF(orders[[#This Row],[Customer Gender]] = "O", "Other",  "Unkown")))</f>
        <v>Male</v>
      </c>
    </row>
    <row r="1356" spans="1:15" hidden="1"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IF(orders[[#This Row],[Customer Gender]] = "M", "Male", IF(orders[[#This Row],[Customer Gender]] = "F", "Female", IF(orders[[#This Row],[Customer Gender]] = "O", "Other",  "Unkown")))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IF(orders[[#This Row],[Customer Gender]] = "M", "Male", IF(orders[[#This Row],[Customer Gender]] = "F", "Female", IF(orders[[#This Row],[Customer Gender]] = "O", "Other",  "Unkown")))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IF(orders[[#This Row],[Customer Gender]] = "M", "Male", IF(orders[[#This Row],[Customer Gender]] = "F", "Female", IF(orders[[#This Row],[Customer Gender]] = "O", "Other",  "Unkown")))</f>
        <v>Female</v>
      </c>
    </row>
    <row r="1359" spans="1:15" hidden="1"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IF(orders[[#This Row],[Customer Gender]] = "M", "Male", IF(orders[[#This Row],[Customer Gender]] = "F", "Female", IF(orders[[#This Row],[Customer Gender]] = "O", "Other",  "Unkown")))</f>
        <v>Male</v>
      </c>
    </row>
    <row r="1360" spans="1:15" hidden="1"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IF(orders[[#This Row],[Customer Gender]] = "M", "Male", IF(orders[[#This Row],[Customer Gender]] = "F", "Female", IF(orders[[#This Row],[Customer Gender]] = "O", "Other",  "Unkown")))</f>
        <v>Unkown</v>
      </c>
    </row>
    <row r="1361" spans="1:15" hidden="1"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IF(orders[[#This Row],[Customer Gender]] = "M", "Male", IF(orders[[#This Row],[Customer Gender]] = "F", "Female", IF(orders[[#This Row],[Customer Gender]] = "O", "Other",  "Unkown")))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IF(orders[[#This Row],[Customer Gender]] = "M", "Male", IF(orders[[#This Row],[Customer Gender]] = "F", "Female", IF(orders[[#This Row],[Customer Gender]] = "O", "Other",  "Unkown")))</f>
        <v>Female</v>
      </c>
    </row>
    <row r="1363" spans="1:15" hidden="1"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IF(orders[[#This Row],[Customer Gender]] = "M", "Male", IF(orders[[#This Row],[Customer Gender]] = "F", "Female", IF(orders[[#This Row],[Customer Gender]] = "O", "Other",  "Unkown")))</f>
        <v>Male</v>
      </c>
    </row>
    <row r="1364" spans="1:15" hidden="1"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IF(orders[[#This Row],[Customer Gender]] = "M", "Male", IF(orders[[#This Row],[Customer Gender]] = "F", "Female", IF(orders[[#This Row],[Customer Gender]] = "O", "Other",  "Unkown")))</f>
        <v>Unkown</v>
      </c>
    </row>
    <row r="1365" spans="1:15" hidden="1"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IF(orders[[#This Row],[Customer Gender]] = "M", "Male", IF(orders[[#This Row],[Customer Gender]] = "F", "Female", IF(orders[[#This Row],[Customer Gender]] = "O", "Other",  "Unkown")))</f>
        <v>Male</v>
      </c>
    </row>
    <row r="1366" spans="1:15" hidden="1"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IF(orders[[#This Row],[Customer Gender]] = "M", "Male", IF(orders[[#This Row],[Customer Gender]] = "F", "Female", IF(orders[[#This Row],[Customer Gender]] = "O", "Other",  "Unkown")))</f>
        <v>Male</v>
      </c>
    </row>
    <row r="1367" spans="1:15" hidden="1"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IF(orders[[#This Row],[Customer Gender]] = "M", "Male", IF(orders[[#This Row],[Customer Gender]] = "F", "Female", IF(orders[[#This Row],[Customer Gender]] = "O", "Other",  "Unkown")))</f>
        <v>Unkown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IF(orders[[#This Row],[Customer Gender]] = "M", "Male", IF(orders[[#This Row],[Customer Gender]] = "F", "Female", IF(orders[[#This Row],[Customer Gender]] = "O", "Other",  "Unkown")))</f>
        <v>Female</v>
      </c>
    </row>
    <row r="1369" spans="1:15" hidden="1"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IF(orders[[#This Row],[Customer Gender]] = "M", "Male", IF(orders[[#This Row],[Customer Gender]] = "F", "Female", IF(orders[[#This Row],[Customer Gender]] = "O", "Other",  "Unkown")))</f>
        <v>Male</v>
      </c>
    </row>
    <row r="1370" spans="1:15" hidden="1"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IF(orders[[#This Row],[Customer Gender]] = "M", "Male", IF(orders[[#This Row],[Customer Gender]] = "F", "Female", IF(orders[[#This Row],[Customer Gender]] = "O", "Other",  "Unkown")))</f>
        <v>Male</v>
      </c>
    </row>
    <row r="1371" spans="1:15" hidden="1"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IF(orders[[#This Row],[Customer Gender]] = "M", "Male", IF(orders[[#This Row],[Customer Gender]] = "F", "Female", IF(orders[[#This Row],[Customer Gender]] = "O", "Other",  "Unkown")))</f>
        <v>Male</v>
      </c>
    </row>
    <row r="1372" spans="1:15" hidden="1"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IF(orders[[#This Row],[Customer Gender]] = "M", "Male", IF(orders[[#This Row],[Customer Gender]] = "F", "Female", IF(orders[[#This Row],[Customer Gender]] = "O", "Other",  "Unkown")))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IF(orders[[#This Row],[Customer Gender]] = "M", "Male", IF(orders[[#This Row],[Customer Gender]] = "F", "Female", IF(orders[[#This Row],[Customer Gender]] = "O", "Other",  "Unkown")))</f>
        <v>Female</v>
      </c>
    </row>
    <row r="1374" spans="1:15" hidden="1"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IF(orders[[#This Row],[Customer Gender]] = "M", "Male", IF(orders[[#This Row],[Customer Gender]] = "F", "Female", IF(orders[[#This Row],[Customer Gender]] = "O", "Other",  "Unkown")))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IF(orders[[#This Row],[Customer Gender]] = "M", "Male", IF(orders[[#This Row],[Customer Gender]] = "F", "Female", IF(orders[[#This Row],[Customer Gender]] = "O", "Other",  "Unkown")))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IF(orders[[#This Row],[Customer Gender]] = "M", "Male", IF(orders[[#This Row],[Customer Gender]] = "F", "Female", IF(orders[[#This Row],[Customer Gender]] = "O", "Other",  "Unkown")))</f>
        <v>Female</v>
      </c>
    </row>
    <row r="1377" spans="1:15" hidden="1"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IF(orders[[#This Row],[Customer Gender]] = "M", "Male", IF(orders[[#This Row],[Customer Gender]] = "F", "Female", IF(orders[[#This Row],[Customer Gender]] = "O", "Other",  "Unkown")))</f>
        <v>Male</v>
      </c>
    </row>
    <row r="1378" spans="1:15" hidden="1"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IF(orders[[#This Row],[Customer Gender]] = "M", "Male", IF(orders[[#This Row],[Customer Gender]] = "F", "Female", IF(orders[[#This Row],[Customer Gender]] = "O", "Other",  "Unkown")))</f>
        <v>Male</v>
      </c>
    </row>
    <row r="1379" spans="1:15" hidden="1"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IF(orders[[#This Row],[Customer Gender]] = "M", "Male", IF(orders[[#This Row],[Customer Gender]] = "F", "Female", IF(orders[[#This Row],[Customer Gender]] = "O", "Other",  "Unkown")))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IF(orders[[#This Row],[Customer Gender]] = "M", "Male", IF(orders[[#This Row],[Customer Gender]] = "F", "Female", IF(orders[[#This Row],[Customer Gender]] = "O", "Other",  "Unkown")))</f>
        <v>Female</v>
      </c>
    </row>
    <row r="1381" spans="1:15" hidden="1"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IF(orders[[#This Row],[Customer Gender]] = "M", "Male", IF(orders[[#This Row],[Customer Gender]] = "F", "Female", IF(orders[[#This Row],[Customer Gender]] = "O", "Other",  "Unkown")))</f>
        <v>Male</v>
      </c>
    </row>
    <row r="1382" spans="1:15" hidden="1"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IF(orders[[#This Row],[Customer Gender]] = "M", "Male", IF(orders[[#This Row],[Customer Gender]] = "F", "Female", IF(orders[[#This Row],[Customer Gender]] = "O", "Other",  "Unkown")))</f>
        <v>Male</v>
      </c>
    </row>
    <row r="1383" spans="1:15" hidden="1"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IF(orders[[#This Row],[Customer Gender]] = "M", "Male", IF(orders[[#This Row],[Customer Gender]] = "F", "Female", IF(orders[[#This Row],[Customer Gender]] = "O", "Other",  "Unkown")))</f>
        <v>Male</v>
      </c>
    </row>
    <row r="1384" spans="1:15" hidden="1"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IF(orders[[#This Row],[Customer Gender]] = "M", "Male", IF(orders[[#This Row],[Customer Gender]] = "F", "Female", IF(orders[[#This Row],[Customer Gender]] = "O", "Other",  "Unkown")))</f>
        <v>Male</v>
      </c>
    </row>
    <row r="1385" spans="1:15" hidden="1"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IF(orders[[#This Row],[Customer Gender]] = "M", "Male", IF(orders[[#This Row],[Customer Gender]] = "F", "Female", IF(orders[[#This Row],[Customer Gender]] = "O", "Other",  "Unkown")))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IF(orders[[#This Row],[Customer Gender]] = "M", "Male", IF(orders[[#This Row],[Customer Gender]] = "F", "Female", IF(orders[[#This Row],[Customer Gender]] = "O", "Other",  "Unkown")))</f>
        <v>Female</v>
      </c>
    </row>
    <row r="1387" spans="1:15" hidden="1"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IF(orders[[#This Row],[Customer Gender]] = "M", "Male", IF(orders[[#This Row],[Customer Gender]] = "F", "Female", IF(orders[[#This Row],[Customer Gender]] = "O", "Other",  "Unkown")))</f>
        <v>Male</v>
      </c>
    </row>
    <row r="1388" spans="1:15" hidden="1"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IF(orders[[#This Row],[Customer Gender]] = "M", "Male", IF(orders[[#This Row],[Customer Gender]] = "F", "Female", IF(orders[[#This Row],[Customer Gender]] = "O", "Other",  "Unkown")))</f>
        <v>Male</v>
      </c>
    </row>
    <row r="1389" spans="1:15" hidden="1"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IF(orders[[#This Row],[Customer Gender]] = "M", "Male", IF(orders[[#This Row],[Customer Gender]] = "F", "Female", IF(orders[[#This Row],[Customer Gender]] = "O", "Other",  "Unkown")))</f>
        <v>Male</v>
      </c>
    </row>
    <row r="1390" spans="1:15" hidden="1"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IF(orders[[#This Row],[Customer Gender]] = "M", "Male", IF(orders[[#This Row],[Customer Gender]] = "F", "Female", IF(orders[[#This Row],[Customer Gender]] = "O", "Other",  "Unkown")))</f>
        <v>Unkown</v>
      </c>
    </row>
    <row r="1391" spans="1:15" hidden="1"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IF(orders[[#This Row],[Customer Gender]] = "M", "Male", IF(orders[[#This Row],[Customer Gender]] = "F", "Female", IF(orders[[#This Row],[Customer Gender]] = "O", "Other",  "Unkown")))</f>
        <v>Male</v>
      </c>
    </row>
    <row r="1392" spans="1:15" hidden="1"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IF(orders[[#This Row],[Customer Gender]] = "M", "Male", IF(orders[[#This Row],[Customer Gender]] = "F", "Female", IF(orders[[#This Row],[Customer Gender]] = "O", "Other",  "Unkown")))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IF(orders[[#This Row],[Customer Gender]] = "M", "Male", IF(orders[[#This Row],[Customer Gender]] = "F", "Female", IF(orders[[#This Row],[Customer Gender]] = "O", "Other",  "Unkown")))</f>
        <v>Female</v>
      </c>
    </row>
    <row r="1394" spans="1:15" hidden="1"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IF(orders[[#This Row],[Customer Gender]] = "M", "Male", IF(orders[[#This Row],[Customer Gender]] = "F", "Female", IF(orders[[#This Row],[Customer Gender]] = "O", "Other",  "Unkown")))</f>
        <v>Male</v>
      </c>
    </row>
    <row r="1395" spans="1:15" hidden="1"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IF(orders[[#This Row],[Customer Gender]] = "M", "Male", IF(orders[[#This Row],[Customer Gender]] = "F", "Female", IF(orders[[#This Row],[Customer Gender]] = "O", "Other",  "Unkown")))</f>
        <v>Male</v>
      </c>
    </row>
    <row r="1396" spans="1:15" hidden="1"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IF(orders[[#This Row],[Customer Gender]] = "M", "Male", IF(orders[[#This Row],[Customer Gender]] = "F", "Female", IF(orders[[#This Row],[Customer Gender]] = "O", "Other",  "Unkown")))</f>
        <v>Male</v>
      </c>
    </row>
    <row r="1397" spans="1:15" hidden="1"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IF(orders[[#This Row],[Customer Gender]] = "M", "Male", IF(orders[[#This Row],[Customer Gender]] = "F", "Female", IF(orders[[#This Row],[Customer Gender]] = "O", "Other",  "Unkown")))</f>
        <v>Male</v>
      </c>
    </row>
    <row r="1398" spans="1:15" hidden="1"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IF(orders[[#This Row],[Customer Gender]] = "M", "Male", IF(orders[[#This Row],[Customer Gender]] = "F", "Female", IF(orders[[#This Row],[Customer Gender]] = "O", "Other",  "Unkown")))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IF(orders[[#This Row],[Customer Gender]] = "M", "Male", IF(orders[[#This Row],[Customer Gender]] = "F", "Female", IF(orders[[#This Row],[Customer Gender]] = "O", "Other",  "Unkown")))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IF(orders[[#This Row],[Customer Gender]] = "M", "Male", IF(orders[[#This Row],[Customer Gender]] = "F", "Female", IF(orders[[#This Row],[Customer Gender]] = "O", "Other",  "Unkown")))</f>
        <v>Female</v>
      </c>
    </row>
    <row r="1401" spans="1:15" hidden="1"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IF(orders[[#This Row],[Customer Gender]] = "M", "Male", IF(orders[[#This Row],[Customer Gender]] = "F", "Female", IF(orders[[#This Row],[Customer Gender]] = "O", "Other",  "Unkown")))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IF(orders[[#This Row],[Customer Gender]] = "M", "Male", IF(orders[[#This Row],[Customer Gender]] = "F", "Female", IF(orders[[#This Row],[Customer Gender]] = "O", "Other",  "Unkown")))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IF(orders[[#This Row],[Customer Gender]] = "M", "Male", IF(orders[[#This Row],[Customer Gender]] = "F", "Female", IF(orders[[#This Row],[Customer Gender]] = "O", "Other",  "Unkown")))</f>
        <v>Female</v>
      </c>
    </row>
    <row r="1404" spans="1:15" hidden="1"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IF(orders[[#This Row],[Customer Gender]] = "M", "Male", IF(orders[[#This Row],[Customer Gender]] = "F", "Female", IF(orders[[#This Row],[Customer Gender]] = "O", "Other",  "Unkown")))</f>
        <v>Male</v>
      </c>
    </row>
    <row r="1405" spans="1:15" hidden="1"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IF(orders[[#This Row],[Customer Gender]] = "M", "Male", IF(orders[[#This Row],[Customer Gender]] = "F", "Female", IF(orders[[#This Row],[Customer Gender]] = "O", "Other",  "Unkown")))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IF(orders[[#This Row],[Customer Gender]] = "M", "Male", IF(orders[[#This Row],[Customer Gender]] = "F", "Female", IF(orders[[#This Row],[Customer Gender]] = "O", "Other",  "Unkown")))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IF(orders[[#This Row],[Customer Gender]] = "M", "Male", IF(orders[[#This Row],[Customer Gender]] = "F", "Female", IF(orders[[#This Row],[Customer Gender]] = "O", "Other",  "Unkown")))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IF(orders[[#This Row],[Customer Gender]] = "M", "Male", IF(orders[[#This Row],[Customer Gender]] = "F", "Female", IF(orders[[#This Row],[Customer Gender]] = "O", "Other",  "Unkown")))</f>
        <v>Female</v>
      </c>
    </row>
    <row r="1409" spans="1:15" hidden="1"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IF(orders[[#This Row],[Customer Gender]] = "M", "Male", IF(orders[[#This Row],[Customer Gender]] = "F", "Female", IF(orders[[#This Row],[Customer Gender]] = "O", "Other",  "Unkown")))</f>
        <v>Male</v>
      </c>
    </row>
    <row r="1410" spans="1:15" hidden="1"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IF(orders[[#This Row],[Customer Gender]] = "M", "Male", IF(orders[[#This Row],[Customer Gender]] = "F", "Female", IF(orders[[#This Row],[Customer Gender]] = "O", "Other",  "Unkown")))</f>
        <v>Male</v>
      </c>
    </row>
    <row r="1411" spans="1:15" hidden="1"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IF(orders[[#This Row],[Customer Gender]] = "M", "Male", IF(orders[[#This Row],[Customer Gender]] = "F", "Female", IF(orders[[#This Row],[Customer Gender]] = "O", "Other",  "Unkown")))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IF(orders[[#This Row],[Customer Gender]] = "M", "Male", IF(orders[[#This Row],[Customer Gender]] = "F", "Female", IF(orders[[#This Row],[Customer Gender]] = "O", "Other",  "Unkown")))</f>
        <v>Female</v>
      </c>
    </row>
    <row r="1413" spans="1:15" hidden="1"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IF(orders[[#This Row],[Customer Gender]] = "M", "Male", IF(orders[[#This Row],[Customer Gender]] = "F", "Female", IF(orders[[#This Row],[Customer Gender]] = "O", "Other",  "Unkown")))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IF(orders[[#This Row],[Customer Gender]] = "M", "Male", IF(orders[[#This Row],[Customer Gender]] = "F", "Female", IF(orders[[#This Row],[Customer Gender]] = "O", "Other",  "Unkown")))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IF(orders[[#This Row],[Customer Gender]] = "M", "Male", IF(orders[[#This Row],[Customer Gender]] = "F", "Female", IF(orders[[#This Row],[Customer Gender]] = "O", "Other",  "Unkown")))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IF(orders[[#This Row],[Customer Gender]] = "M", "Male", IF(orders[[#This Row],[Customer Gender]] = "F", "Female", IF(orders[[#This Row],[Customer Gender]] = "O", "Other",  "Unkown")))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IF(orders[[#This Row],[Customer Gender]] = "M", "Male", IF(orders[[#This Row],[Customer Gender]] = "F", "Female", IF(orders[[#This Row],[Customer Gender]] = "O", "Other",  "Unkown")))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IF(orders[[#This Row],[Customer Gender]] = "M", "Male", IF(orders[[#This Row],[Customer Gender]] = "F", "Female", IF(orders[[#This Row],[Customer Gender]] = "O", "Other",  "Unkown")))</f>
        <v>Female</v>
      </c>
    </row>
    <row r="1419" spans="1:15" hidden="1"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IF(orders[[#This Row],[Customer Gender]] = "M", "Male", IF(orders[[#This Row],[Customer Gender]] = "F", "Female", IF(orders[[#This Row],[Customer Gender]] = "O", "Other",  "Unkown")))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IF(orders[[#This Row],[Customer Gender]] = "M", "Male", IF(orders[[#This Row],[Customer Gender]] = "F", "Female", IF(orders[[#This Row],[Customer Gender]] = "O", "Other",  "Unkown")))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IF(orders[[#This Row],[Customer Gender]] = "M", "Male", IF(orders[[#This Row],[Customer Gender]] = "F", "Female", IF(orders[[#This Row],[Customer Gender]] = "O", "Other",  "Unkown")))</f>
        <v>Female</v>
      </c>
    </row>
    <row r="1422" spans="1:15" hidden="1"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IF(orders[[#This Row],[Customer Gender]] = "M", "Male", IF(orders[[#This Row],[Customer Gender]] = "F", "Female", IF(orders[[#This Row],[Customer Gender]] = "O", "Other",  "Unkown")))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IF(orders[[#This Row],[Customer Gender]] = "M", "Male", IF(orders[[#This Row],[Customer Gender]] = "F", "Female", IF(orders[[#This Row],[Customer Gender]] = "O", "Other",  "Unkown")))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IF(orders[[#This Row],[Customer Gender]] = "M", "Male", IF(orders[[#This Row],[Customer Gender]] = "F", "Female", IF(orders[[#This Row],[Customer Gender]] = "O", "Other",  "Unkown")))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IF(orders[[#This Row],[Customer Gender]] = "M", "Male", IF(orders[[#This Row],[Customer Gender]] = "F", "Female", IF(orders[[#This Row],[Customer Gender]] = "O", "Other",  "Unkown")))</f>
        <v>Female</v>
      </c>
    </row>
    <row r="1426" spans="1:15" hidden="1"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IF(orders[[#This Row],[Customer Gender]] = "M", "Male", IF(orders[[#This Row],[Customer Gender]] = "F", "Female", IF(orders[[#This Row],[Customer Gender]] = "O", "Other",  "Unkown")))</f>
        <v>Unkown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IF(orders[[#This Row],[Customer Gender]] = "M", "Male", IF(orders[[#This Row],[Customer Gender]] = "F", "Female", IF(orders[[#This Row],[Customer Gender]] = "O", "Other",  "Unkown")))</f>
        <v>Female</v>
      </c>
    </row>
    <row r="1428" spans="1:15" hidden="1"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IF(orders[[#This Row],[Customer Gender]] = "M", "Male", IF(orders[[#This Row],[Customer Gender]] = "F", "Female", IF(orders[[#This Row],[Customer Gender]] = "O", "Other",  "Unkown")))</f>
        <v>Male</v>
      </c>
    </row>
    <row r="1429" spans="1:15" hidden="1"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IF(orders[[#This Row],[Customer Gender]] = "M", "Male", IF(orders[[#This Row],[Customer Gender]] = "F", "Female", IF(orders[[#This Row],[Customer Gender]] = "O", "Other",  "Unkown")))</f>
        <v>Male</v>
      </c>
    </row>
    <row r="1430" spans="1:15" hidden="1"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IF(orders[[#This Row],[Customer Gender]] = "M", "Male", IF(orders[[#This Row],[Customer Gender]] = "F", "Female", IF(orders[[#This Row],[Customer Gender]] = "O", "Other",  "Unkown")))</f>
        <v>Male</v>
      </c>
    </row>
    <row r="1431" spans="1:15" hidden="1"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IF(orders[[#This Row],[Customer Gender]] = "M", "Male", IF(orders[[#This Row],[Customer Gender]] = "F", "Female", IF(orders[[#This Row],[Customer Gender]] = "O", "Other",  "Unkown")))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IF(orders[[#This Row],[Customer Gender]] = "M", "Male", IF(orders[[#This Row],[Customer Gender]] = "F", "Female", IF(orders[[#This Row],[Customer Gender]] = "O", "Other",  "Unkown")))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IF(orders[[#This Row],[Customer Gender]] = "M", "Male", IF(orders[[#This Row],[Customer Gender]] = "F", "Female", IF(orders[[#This Row],[Customer Gender]] = "O", "Other",  "Unkown")))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IF(orders[[#This Row],[Customer Gender]] = "M", "Male", IF(orders[[#This Row],[Customer Gender]] = "F", "Female", IF(orders[[#This Row],[Customer Gender]] = "O", "Other",  "Unkown")))</f>
        <v>Female</v>
      </c>
    </row>
    <row r="1435" spans="1:15" hidden="1"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IF(orders[[#This Row],[Customer Gender]] = "M", "Male", IF(orders[[#This Row],[Customer Gender]] = "F", "Female", IF(orders[[#This Row],[Customer Gender]] = "O", "Other",  "Unkown")))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IF(orders[[#This Row],[Customer Gender]] = "M", "Male", IF(orders[[#This Row],[Customer Gender]] = "F", "Female", IF(orders[[#This Row],[Customer Gender]] = "O", "Other",  "Unkown")))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IF(orders[[#This Row],[Customer Gender]] = "M", "Male", IF(orders[[#This Row],[Customer Gender]] = "F", "Female", IF(orders[[#This Row],[Customer Gender]] = "O", "Other",  "Unkown")))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IF(orders[[#This Row],[Customer Gender]] = "M", "Male", IF(orders[[#This Row],[Customer Gender]] = "F", "Female", IF(orders[[#This Row],[Customer Gender]] = "O", "Other",  "Unkown")))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IF(orders[[#This Row],[Customer Gender]] = "M", "Male", IF(orders[[#This Row],[Customer Gender]] = "F", "Female", IF(orders[[#This Row],[Customer Gender]] = "O", "Other",  "Unkown")))</f>
        <v>Female</v>
      </c>
    </row>
    <row r="1440" spans="1:15" hidden="1"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IF(orders[[#This Row],[Customer Gender]] = "M", "Male", IF(orders[[#This Row],[Customer Gender]] = "F", "Female", IF(orders[[#This Row],[Customer Gender]] = "O", "Other",  "Unkown")))</f>
        <v>Male</v>
      </c>
    </row>
    <row r="1441" spans="1:15" hidden="1"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IF(orders[[#This Row],[Customer Gender]] = "M", "Male", IF(orders[[#This Row],[Customer Gender]] = "F", "Female", IF(orders[[#This Row],[Customer Gender]] = "O", "Other",  "Unkown")))</f>
        <v>Male</v>
      </c>
    </row>
    <row r="1442" spans="1:15" hidden="1"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IF(orders[[#This Row],[Customer Gender]] = "M", "Male", IF(orders[[#This Row],[Customer Gender]] = "F", "Female", IF(orders[[#This Row],[Customer Gender]] = "O", "Other",  "Unkown")))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IF(orders[[#This Row],[Customer Gender]] = "M", "Male", IF(orders[[#This Row],[Customer Gender]] = "F", "Female", IF(orders[[#This Row],[Customer Gender]] = "O", "Other",  "Unkown")))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IF(orders[[#This Row],[Customer Gender]] = "M", "Male", IF(orders[[#This Row],[Customer Gender]] = "F", "Female", IF(orders[[#This Row],[Customer Gender]] = "O", "Other",  "Unkown")))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IF(orders[[#This Row],[Customer Gender]] = "M", "Male", IF(orders[[#This Row],[Customer Gender]] = "F", "Female", IF(orders[[#This Row],[Customer Gender]] = "O", "Other",  "Unkown")))</f>
        <v>Female</v>
      </c>
    </row>
    <row r="1446" spans="1:15" hidden="1"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IF(orders[[#This Row],[Customer Gender]] = "M", "Male", IF(orders[[#This Row],[Customer Gender]] = "F", "Female", IF(orders[[#This Row],[Customer Gender]] = "O", "Other",  "Unkown")))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IF(orders[[#This Row],[Customer Gender]] = "M", "Male", IF(orders[[#This Row],[Customer Gender]] = "F", "Female", IF(orders[[#This Row],[Customer Gender]] = "O", "Other",  "Unkown")))</f>
        <v>Female</v>
      </c>
    </row>
    <row r="1448" spans="1:15" hidden="1"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IF(orders[[#This Row],[Customer Gender]] = "M", "Male", IF(orders[[#This Row],[Customer Gender]] = "F", "Female", IF(orders[[#This Row],[Customer Gender]] = "O", "Other",  "Unkown")))</f>
        <v>Male</v>
      </c>
    </row>
    <row r="1449" spans="1:15" hidden="1"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IF(orders[[#This Row],[Customer Gender]] = "M", "Male", IF(orders[[#This Row],[Customer Gender]] = "F", "Female", IF(orders[[#This Row],[Customer Gender]] = "O", "Other",  "Unkown")))</f>
        <v>Unkown</v>
      </c>
    </row>
    <row r="1450" spans="1:15" hidden="1"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IF(orders[[#This Row],[Customer Gender]] = "M", "Male", IF(orders[[#This Row],[Customer Gender]] = "F", "Female", IF(orders[[#This Row],[Customer Gender]] = "O", "Other",  "Unkown")))</f>
        <v>Male</v>
      </c>
    </row>
    <row r="1451" spans="1:15" hidden="1"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IF(orders[[#This Row],[Customer Gender]] = "M", "Male", IF(orders[[#This Row],[Customer Gender]] = "F", "Female", IF(orders[[#This Row],[Customer Gender]] = "O", "Other",  "Unkown")))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IF(orders[[#This Row],[Customer Gender]] = "M", "Male", IF(orders[[#This Row],[Customer Gender]] = "F", "Female", IF(orders[[#This Row],[Customer Gender]] = "O", "Other",  "Unkown")))</f>
        <v>Female</v>
      </c>
    </row>
    <row r="1453" spans="1:15" hidden="1"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IF(orders[[#This Row],[Customer Gender]] = "M", "Male", IF(orders[[#This Row],[Customer Gender]] = "F", "Female", IF(orders[[#This Row],[Customer Gender]] = "O", "Other",  "Unkown")))</f>
        <v>Male</v>
      </c>
    </row>
    <row r="1454" spans="1:15" hidden="1"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IF(orders[[#This Row],[Customer Gender]] = "M", "Male", IF(orders[[#This Row],[Customer Gender]] = "F", "Female", IF(orders[[#This Row],[Customer Gender]] = "O", "Other",  "Unkown")))</f>
        <v>Male</v>
      </c>
    </row>
    <row r="1455" spans="1:15" hidden="1"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IF(orders[[#This Row],[Customer Gender]] = "M", "Male", IF(orders[[#This Row],[Customer Gender]] = "F", "Female", IF(orders[[#This Row],[Customer Gender]] = "O", "Other",  "Unkown")))</f>
        <v>Male</v>
      </c>
    </row>
    <row r="1456" spans="1:15" hidden="1"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IF(orders[[#This Row],[Customer Gender]] = "M", "Male", IF(orders[[#This Row],[Customer Gender]] = "F", "Female", IF(orders[[#This Row],[Customer Gender]] = "O", "Other",  "Unkown")))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IF(orders[[#This Row],[Customer Gender]] = "M", "Male", IF(orders[[#This Row],[Customer Gender]] = "F", "Female", IF(orders[[#This Row],[Customer Gender]] = "O", "Other",  "Unkown")))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IF(orders[[#This Row],[Customer Gender]] = "M", "Male", IF(orders[[#This Row],[Customer Gender]] = "F", "Female", IF(orders[[#This Row],[Customer Gender]] = "O", "Other",  "Unkown")))</f>
        <v>Female</v>
      </c>
    </row>
    <row r="1459" spans="1:15" hidden="1"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IF(orders[[#This Row],[Customer Gender]] = "M", "Male", IF(orders[[#This Row],[Customer Gender]] = "F", "Female", IF(orders[[#This Row],[Customer Gender]] = "O", "Other",  "Unkown")))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IF(orders[[#This Row],[Customer Gender]] = "M", "Male", IF(orders[[#This Row],[Customer Gender]] = "F", "Female", IF(orders[[#This Row],[Customer Gender]] = "O", "Other",  "Unkown")))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IF(orders[[#This Row],[Customer Gender]] = "M", "Male", IF(orders[[#This Row],[Customer Gender]] = "F", "Female", IF(orders[[#This Row],[Customer Gender]] = "O", "Other",  "Unkown")))</f>
        <v>Female</v>
      </c>
    </row>
    <row r="1462" spans="1:15" hidden="1"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IF(orders[[#This Row],[Customer Gender]] = "M", "Male", IF(orders[[#This Row],[Customer Gender]] = "F", "Female", IF(orders[[#This Row],[Customer Gender]] = "O", "Other",  "Unkown")))</f>
        <v>Male</v>
      </c>
    </row>
    <row r="1463" spans="1:15" hidden="1"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IF(orders[[#This Row],[Customer Gender]] = "M", "Male", IF(orders[[#This Row],[Customer Gender]] = "F", "Female", IF(orders[[#This Row],[Customer Gender]] = "O", "Other",  "Unkown")))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IF(orders[[#This Row],[Customer Gender]] = "M", "Male", IF(orders[[#This Row],[Customer Gender]] = "F", "Female", IF(orders[[#This Row],[Customer Gender]] = "O", "Other",  "Unkown")))</f>
        <v>Female</v>
      </c>
    </row>
    <row r="1465" spans="1:15" hidden="1"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IF(orders[[#This Row],[Customer Gender]] = "M", "Male", IF(orders[[#This Row],[Customer Gender]] = "F", "Female", IF(orders[[#This Row],[Customer Gender]] = "O", "Other",  "Unkown")))</f>
        <v>Unkown</v>
      </c>
    </row>
    <row r="1466" spans="1:15" hidden="1"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IF(orders[[#This Row],[Customer Gender]] = "M", "Male", IF(orders[[#This Row],[Customer Gender]] = "F", "Female", IF(orders[[#This Row],[Customer Gender]] = "O", "Other",  "Unkown")))</f>
        <v>Unkown</v>
      </c>
    </row>
    <row r="1467" spans="1:15" hidden="1"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IF(orders[[#This Row],[Customer Gender]] = "M", "Male", IF(orders[[#This Row],[Customer Gender]] = "F", "Female", IF(orders[[#This Row],[Customer Gender]] = "O", "Other",  "Unkown")))</f>
        <v>Male</v>
      </c>
    </row>
    <row r="1468" spans="1:15" hidden="1"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IF(orders[[#This Row],[Customer Gender]] = "M", "Male", IF(orders[[#This Row],[Customer Gender]] = "F", "Female", IF(orders[[#This Row],[Customer Gender]] = "O", "Other",  "Unkown")))</f>
        <v>Male</v>
      </c>
    </row>
    <row r="1469" spans="1:15" hidden="1"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IF(orders[[#This Row],[Customer Gender]] = "M", "Male", IF(orders[[#This Row],[Customer Gender]] = "F", "Female", IF(orders[[#This Row],[Customer Gender]] = "O", "Other",  "Unkown")))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IF(orders[[#This Row],[Customer Gender]] = "M", "Male", IF(orders[[#This Row],[Customer Gender]] = "F", "Female", IF(orders[[#This Row],[Customer Gender]] = "O", "Other",  "Unkown")))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IF(orders[[#This Row],[Customer Gender]] = "M", "Male", IF(orders[[#This Row],[Customer Gender]] = "F", "Female", IF(orders[[#This Row],[Customer Gender]] = "O", "Other",  "Unkown")))</f>
        <v>Female</v>
      </c>
    </row>
    <row r="1472" spans="1:15" hidden="1"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IF(orders[[#This Row],[Customer Gender]] = "M", "Male", IF(orders[[#This Row],[Customer Gender]] = "F", "Female", IF(orders[[#This Row],[Customer Gender]] = "O", "Other",  "Unkown")))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IF(orders[[#This Row],[Customer Gender]] = "M", "Male", IF(orders[[#This Row],[Customer Gender]] = "F", "Female", IF(orders[[#This Row],[Customer Gender]] = "O", "Other",  "Unkown")))</f>
        <v>Female</v>
      </c>
    </row>
    <row r="1474" spans="1:15" hidden="1"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IF(orders[[#This Row],[Customer Gender]] = "M", "Male", IF(orders[[#This Row],[Customer Gender]] = "F", "Female", IF(orders[[#This Row],[Customer Gender]] = "O", "Other",  "Unkown")))</f>
        <v>Male</v>
      </c>
    </row>
    <row r="1475" spans="1:15" hidden="1"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IF(orders[[#This Row],[Customer Gender]] = "M", "Male", IF(orders[[#This Row],[Customer Gender]] = "F", "Female", IF(orders[[#This Row],[Customer Gender]] = "O", "Other",  "Unkown")))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IF(orders[[#This Row],[Customer Gender]] = "M", "Male", IF(orders[[#This Row],[Customer Gender]] = "F", "Female", IF(orders[[#This Row],[Customer Gender]] = "O", "Other",  "Unkown")))</f>
        <v>Female</v>
      </c>
    </row>
    <row r="1477" spans="1:15" hidden="1"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IF(orders[[#This Row],[Customer Gender]] = "M", "Male", IF(orders[[#This Row],[Customer Gender]] = "F", "Female", IF(orders[[#This Row],[Customer Gender]] = "O", "Other",  "Unkown")))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IF(orders[[#This Row],[Customer Gender]] = "M", "Male", IF(orders[[#This Row],[Customer Gender]] = "F", "Female", IF(orders[[#This Row],[Customer Gender]] = "O", "Other",  "Unkown")))</f>
        <v>Female</v>
      </c>
    </row>
    <row r="1479" spans="1:15" hidden="1"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IF(orders[[#This Row],[Customer Gender]] = "M", "Male", IF(orders[[#This Row],[Customer Gender]] = "F", "Female", IF(orders[[#This Row],[Customer Gender]] = "O", "Other",  "Unkown")))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IF(orders[[#This Row],[Customer Gender]] = "M", "Male", IF(orders[[#This Row],[Customer Gender]] = "F", "Female", IF(orders[[#This Row],[Customer Gender]] = "O", "Other",  "Unkown")))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IF(orders[[#This Row],[Customer Gender]] = "M", "Male", IF(orders[[#This Row],[Customer Gender]] = "F", "Female", IF(orders[[#This Row],[Customer Gender]] = "O", "Other",  "Unkown")))</f>
        <v>Female</v>
      </c>
    </row>
    <row r="1482" spans="1:15" hidden="1"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IF(orders[[#This Row],[Customer Gender]] = "M", "Male", IF(orders[[#This Row],[Customer Gender]] = "F", "Female", IF(orders[[#This Row],[Customer Gender]] = "O", "Other",  "Unkown")))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IF(orders[[#This Row],[Customer Gender]] = "M", "Male", IF(orders[[#This Row],[Customer Gender]] = "F", "Female", IF(orders[[#This Row],[Customer Gender]] = "O", "Other",  "Unkown")))</f>
        <v>Female</v>
      </c>
    </row>
    <row r="1484" spans="1:15" hidden="1"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IF(orders[[#This Row],[Customer Gender]] = "M", "Male", IF(orders[[#This Row],[Customer Gender]] = "F", "Female", IF(orders[[#This Row],[Customer Gender]] = "O", "Other",  "Unkown")))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IF(orders[[#This Row],[Customer Gender]] = "M", "Male", IF(orders[[#This Row],[Customer Gender]] = "F", "Female", IF(orders[[#This Row],[Customer Gender]] = "O", "Other",  "Unkown")))</f>
        <v>Female</v>
      </c>
    </row>
    <row r="1486" spans="1:15" hidden="1"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IF(orders[[#This Row],[Customer Gender]] = "M", "Male", IF(orders[[#This Row],[Customer Gender]] = "F", "Female", IF(orders[[#This Row],[Customer Gender]] = "O", "Other",  "Unkown")))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IF(orders[[#This Row],[Customer Gender]] = "M", "Male", IF(orders[[#This Row],[Customer Gender]] = "F", "Female", IF(orders[[#This Row],[Customer Gender]] = "O", "Other",  "Unkown")))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IF(orders[[#This Row],[Customer Gender]] = "M", "Male", IF(orders[[#This Row],[Customer Gender]] = "F", "Female", IF(orders[[#This Row],[Customer Gender]] = "O", "Other",  "Unkown")))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IF(orders[[#This Row],[Customer Gender]] = "M", "Male", IF(orders[[#This Row],[Customer Gender]] = "F", "Female", IF(orders[[#This Row],[Customer Gender]] = "O", "Other",  "Unkown")))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IF(orders[[#This Row],[Customer Gender]] = "M", "Male", IF(orders[[#This Row],[Customer Gender]] = "F", "Female", IF(orders[[#This Row],[Customer Gender]] = "O", "Other",  "Unkown")))</f>
        <v>Female</v>
      </c>
    </row>
    <row r="1491" spans="1:15" hidden="1"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IF(orders[[#This Row],[Customer Gender]] = "M", "Male", IF(orders[[#This Row],[Customer Gender]] = "F", "Female", IF(orders[[#This Row],[Customer Gender]] = "O", "Other",  "Unkown")))</f>
        <v>Male</v>
      </c>
    </row>
    <row r="1492" spans="1:15" hidden="1"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IF(orders[[#This Row],[Customer Gender]] = "M", "Male", IF(orders[[#This Row],[Customer Gender]] = "F", "Female", IF(orders[[#This Row],[Customer Gender]] = "O", "Other",  "Unkown")))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IF(orders[[#This Row],[Customer Gender]] = "M", "Male", IF(orders[[#This Row],[Customer Gender]] = "F", "Female", IF(orders[[#This Row],[Customer Gender]] = "O", "Other",  "Unkown")))</f>
        <v>Female</v>
      </c>
    </row>
    <row r="1494" spans="1:15" hidden="1"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IF(orders[[#This Row],[Customer Gender]] = "M", "Male", IF(orders[[#This Row],[Customer Gender]] = "F", "Female", IF(orders[[#This Row],[Customer Gender]] = "O", "Other",  "Unkown")))</f>
        <v>Male</v>
      </c>
    </row>
    <row r="1495" spans="1:15" hidden="1"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IF(orders[[#This Row],[Customer Gender]] = "M", "Male", IF(orders[[#This Row],[Customer Gender]] = "F", "Female", IF(orders[[#This Row],[Customer Gender]] = "O", "Other",  "Unkown")))</f>
        <v>Unkown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IF(orders[[#This Row],[Customer Gender]] = "M", "Male", IF(orders[[#This Row],[Customer Gender]] = "F", "Female", IF(orders[[#This Row],[Customer Gender]] = "O", "Other",  "Unkown")))</f>
        <v>Female</v>
      </c>
    </row>
    <row r="1497" spans="1:15" hidden="1"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IF(orders[[#This Row],[Customer Gender]] = "M", "Male", IF(orders[[#This Row],[Customer Gender]] = "F", "Female", IF(orders[[#This Row],[Customer Gender]] = "O", "Other",  "Unkown")))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IF(orders[[#This Row],[Customer Gender]] = "M", "Male", IF(orders[[#This Row],[Customer Gender]] = "F", "Female", IF(orders[[#This Row],[Customer Gender]] = "O", "Other",  "Unkown")))</f>
        <v>Female</v>
      </c>
    </row>
    <row r="1499" spans="1:15" hidden="1"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IF(orders[[#This Row],[Customer Gender]] = "M", "Male", IF(orders[[#This Row],[Customer Gender]] = "F", "Female", IF(orders[[#This Row],[Customer Gender]] = "O", "Other",  "Unkown")))</f>
        <v>Unkown</v>
      </c>
    </row>
    <row r="1500" spans="1:15" hidden="1"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IF(orders[[#This Row],[Customer Gender]] = "M", "Male", IF(orders[[#This Row],[Customer Gender]] = "F", "Female", IF(orders[[#This Row],[Customer Gender]] = "O", "Other",  "Unkown")))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IF(orders[[#This Row],[Customer Gender]] = "M", "Male", IF(orders[[#This Row],[Customer Gender]] = "F", "Female", IF(orders[[#This Row],[Customer Gender]] = "O", "Other",  "Unkown")))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IF(orders[[#This Row],[Customer Gender]] = "M", "Male", IF(orders[[#This Row],[Customer Gender]] = "F", "Female", IF(orders[[#This Row],[Customer Gender]] = "O", "Other",  "Unkown")))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IF(orders[[#This Row],[Customer Gender]] = "M", "Male", IF(orders[[#This Row],[Customer Gender]] = "F", "Female", IF(orders[[#This Row],[Customer Gender]] = "O", "Other",  "Unkown")))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IF(orders[[#This Row],[Customer Gender]] = "M", "Male", IF(orders[[#This Row],[Customer Gender]] = "F", "Female", IF(orders[[#This Row],[Customer Gender]] = "O", "Other",  "Unkown")))</f>
        <v>Female</v>
      </c>
    </row>
    <row r="1505" spans="1:15" hidden="1"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IF(orders[[#This Row],[Customer Gender]] = "M", "Male", IF(orders[[#This Row],[Customer Gender]] = "F", "Female", IF(orders[[#This Row],[Customer Gender]] = "O", "Other",  "Unkown")))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IF(orders[[#This Row],[Customer Gender]] = "M", "Male", IF(orders[[#This Row],[Customer Gender]] = "F", "Female", IF(orders[[#This Row],[Customer Gender]] = "O", "Other",  "Unkown")))</f>
        <v>Female</v>
      </c>
    </row>
    <row r="1507" spans="1:15" hidden="1"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IF(orders[[#This Row],[Customer Gender]] = "M", "Male", IF(orders[[#This Row],[Customer Gender]] = "F", "Female", IF(orders[[#This Row],[Customer Gender]] = "O", "Other",  "Unkown")))</f>
        <v>Male</v>
      </c>
    </row>
    <row r="1508" spans="1:15" hidden="1"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IF(orders[[#This Row],[Customer Gender]] = "M", "Male", IF(orders[[#This Row],[Customer Gender]] = "F", "Female", IF(orders[[#This Row],[Customer Gender]] = "O", "Other",  "Unkown")))</f>
        <v>Male</v>
      </c>
    </row>
    <row r="1509" spans="1:15" hidden="1"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IF(orders[[#This Row],[Customer Gender]] = "M", "Male", IF(orders[[#This Row],[Customer Gender]] = "F", "Female", IF(orders[[#This Row],[Customer Gender]] = "O", "Other",  "Unkown")))</f>
        <v>Male</v>
      </c>
    </row>
    <row r="1510" spans="1:15" hidden="1"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IF(orders[[#This Row],[Customer Gender]] = "M", "Male", IF(orders[[#This Row],[Customer Gender]] = "F", "Female", IF(orders[[#This Row],[Customer Gender]] = "O", "Other",  "Unkown")))</f>
        <v>Male</v>
      </c>
    </row>
    <row r="1511" spans="1:15" hidden="1"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IF(orders[[#This Row],[Customer Gender]] = "M", "Male", IF(orders[[#This Row],[Customer Gender]] = "F", "Female", IF(orders[[#This Row],[Customer Gender]] = "O", "Other",  "Unkown")))</f>
        <v>Male</v>
      </c>
    </row>
    <row r="1512" spans="1:15" hidden="1"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IF(orders[[#This Row],[Customer Gender]] = "M", "Male", IF(orders[[#This Row],[Customer Gender]] = "F", "Female", IF(orders[[#This Row],[Customer Gender]] = "O", "Other",  "Unkown")))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IF(orders[[#This Row],[Customer Gender]] = "M", "Male", IF(orders[[#This Row],[Customer Gender]] = "F", "Female", IF(orders[[#This Row],[Customer Gender]] = "O", "Other",  "Unkown")))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IF(orders[[#This Row],[Customer Gender]] = "M", "Male", IF(orders[[#This Row],[Customer Gender]] = "F", "Female", IF(orders[[#This Row],[Customer Gender]] = "O", "Other",  "Unkown")))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IF(orders[[#This Row],[Customer Gender]] = "M", "Male", IF(orders[[#This Row],[Customer Gender]] = "F", "Female", IF(orders[[#This Row],[Customer Gender]] = "O", "Other",  "Unkown")))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IF(orders[[#This Row],[Customer Gender]] = "M", "Male", IF(orders[[#This Row],[Customer Gender]] = "F", "Female", IF(orders[[#This Row],[Customer Gender]] = "O", "Other",  "Unkown")))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IF(orders[[#This Row],[Customer Gender]] = "M", "Male", IF(orders[[#This Row],[Customer Gender]] = "F", "Female", IF(orders[[#This Row],[Customer Gender]] = "O", "Other",  "Unkown")))</f>
        <v>Female</v>
      </c>
    </row>
    <row r="1518" spans="1:15" hidden="1"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IF(orders[[#This Row],[Customer Gender]] = "M", "Male", IF(orders[[#This Row],[Customer Gender]] = "F", "Female", IF(orders[[#This Row],[Customer Gender]] = "O", "Other",  "Unkown")))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IF(orders[[#This Row],[Customer Gender]] = "M", "Male", IF(orders[[#This Row],[Customer Gender]] = "F", "Female", IF(orders[[#This Row],[Customer Gender]] = "O", "Other",  "Unkown")))</f>
        <v>Female</v>
      </c>
    </row>
    <row r="1520" spans="1:15" hidden="1"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IF(orders[[#This Row],[Customer Gender]] = "M", "Male", IF(orders[[#This Row],[Customer Gender]] = "F", "Female", IF(orders[[#This Row],[Customer Gender]] = "O", "Other",  "Unkown")))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IF(orders[[#This Row],[Customer Gender]] = "M", "Male", IF(orders[[#This Row],[Customer Gender]] = "F", "Female", IF(orders[[#This Row],[Customer Gender]] = "O", "Other",  "Unkown")))</f>
        <v>Female</v>
      </c>
    </row>
    <row r="1522" spans="1:15" hidden="1"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IF(orders[[#This Row],[Customer Gender]] = "M", "Male", IF(orders[[#This Row],[Customer Gender]] = "F", "Female", IF(orders[[#This Row],[Customer Gender]] = "O", "Other",  "Unkown")))</f>
        <v>Male</v>
      </c>
    </row>
    <row r="1523" spans="1:15" hidden="1"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IF(orders[[#This Row],[Customer Gender]] = "M", "Male", IF(orders[[#This Row],[Customer Gender]] = "F", "Female", IF(orders[[#This Row],[Customer Gender]] = "O", "Other",  "Unkown")))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IF(orders[[#This Row],[Customer Gender]] = "M", "Male", IF(orders[[#This Row],[Customer Gender]] = "F", "Female", IF(orders[[#This Row],[Customer Gender]] = "O", "Other",  "Unkown")))</f>
        <v>Female</v>
      </c>
    </row>
    <row r="1525" spans="1:15" hidden="1"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IF(orders[[#This Row],[Customer Gender]] = "M", "Male", IF(orders[[#This Row],[Customer Gender]] = "F", "Female", IF(orders[[#This Row],[Customer Gender]] = "O", "Other",  "Unkown")))</f>
        <v>Unkown</v>
      </c>
    </row>
    <row r="1526" spans="1:15" hidden="1"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IF(orders[[#This Row],[Customer Gender]] = "M", "Male", IF(orders[[#This Row],[Customer Gender]] = "F", "Female", IF(orders[[#This Row],[Customer Gender]] = "O", "Other",  "Unkown")))</f>
        <v>Unkown</v>
      </c>
    </row>
    <row r="1527" spans="1:15" hidden="1"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IF(orders[[#This Row],[Customer Gender]] = "M", "Male", IF(orders[[#This Row],[Customer Gender]] = "F", "Female", IF(orders[[#This Row],[Customer Gender]] = "O", "Other",  "Unkown")))</f>
        <v>Male</v>
      </c>
    </row>
    <row r="1528" spans="1:15" hidden="1"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IF(orders[[#This Row],[Customer Gender]] = "M", "Male", IF(orders[[#This Row],[Customer Gender]] = "F", "Female", IF(orders[[#This Row],[Customer Gender]] = "O", "Other",  "Unkown")))</f>
        <v>Male</v>
      </c>
    </row>
    <row r="1529" spans="1:15" hidden="1"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IF(orders[[#This Row],[Customer Gender]] = "M", "Male", IF(orders[[#This Row],[Customer Gender]] = "F", "Female", IF(orders[[#This Row],[Customer Gender]] = "O", "Other",  "Unkown")))</f>
        <v>Male</v>
      </c>
    </row>
    <row r="1530" spans="1:15" hidden="1"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IF(orders[[#This Row],[Customer Gender]] = "M", "Male", IF(orders[[#This Row],[Customer Gender]] = "F", "Female", IF(orders[[#This Row],[Customer Gender]] = "O", "Other",  "Unkown")))</f>
        <v>Unkown</v>
      </c>
    </row>
    <row r="1531" spans="1:15" hidden="1"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IF(orders[[#This Row],[Customer Gender]] = "M", "Male", IF(orders[[#This Row],[Customer Gender]] = "F", "Female", IF(orders[[#This Row],[Customer Gender]] = "O", "Other",  "Unkown")))</f>
        <v>Male</v>
      </c>
    </row>
    <row r="1532" spans="1:15" hidden="1"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IF(orders[[#This Row],[Customer Gender]] = "M", "Male", IF(orders[[#This Row],[Customer Gender]] = "F", "Female", IF(orders[[#This Row],[Customer Gender]] = "O", "Other",  "Unkown")))</f>
        <v>Unkown</v>
      </c>
    </row>
    <row r="1533" spans="1:15" hidden="1"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IF(orders[[#This Row],[Customer Gender]] = "M", "Male", IF(orders[[#This Row],[Customer Gender]] = "F", "Female", IF(orders[[#This Row],[Customer Gender]] = "O", "Other",  "Unkown")))</f>
        <v>Male</v>
      </c>
    </row>
    <row r="1534" spans="1:15" hidden="1"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IF(orders[[#This Row],[Customer Gender]] = "M", "Male", IF(orders[[#This Row],[Customer Gender]] = "F", "Female", IF(orders[[#This Row],[Customer Gender]] = "O", "Other",  "Unkown")))</f>
        <v>Unkown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IF(orders[[#This Row],[Customer Gender]] = "M", "Male", IF(orders[[#This Row],[Customer Gender]] = "F", "Female", IF(orders[[#This Row],[Customer Gender]] = "O", "Other",  "Unkown")))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IF(orders[[#This Row],[Customer Gender]] = "M", "Male", IF(orders[[#This Row],[Customer Gender]] = "F", "Female", IF(orders[[#This Row],[Customer Gender]] = "O", "Other",  "Unkown")))</f>
        <v>Female</v>
      </c>
    </row>
    <row r="1537" spans="1:15" hidden="1"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IF(orders[[#This Row],[Customer Gender]] = "M", "Male", IF(orders[[#This Row],[Customer Gender]] = "F", "Female", IF(orders[[#This Row],[Customer Gender]] = "O", "Other",  "Unkown")))</f>
        <v>Male</v>
      </c>
    </row>
    <row r="1538" spans="1:15" hidden="1"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IF(orders[[#This Row],[Customer Gender]] = "M", "Male", IF(orders[[#This Row],[Customer Gender]] = "F", "Female", IF(orders[[#This Row],[Customer Gender]] = "O", "Other",  "Unkown")))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IF(orders[[#This Row],[Customer Gender]] = "M", "Male", IF(orders[[#This Row],[Customer Gender]] = "F", "Female", IF(orders[[#This Row],[Customer Gender]] = "O", "Other",  "Unkown")))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IF(orders[[#This Row],[Customer Gender]] = "M", "Male", IF(orders[[#This Row],[Customer Gender]] = "F", "Female", IF(orders[[#This Row],[Customer Gender]] = "O", "Other",  "Unkown")))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IF(orders[[#This Row],[Customer Gender]] = "M", "Male", IF(orders[[#This Row],[Customer Gender]] = "F", "Female", IF(orders[[#This Row],[Customer Gender]] = "O", "Other",  "Unkown")))</f>
        <v>Female</v>
      </c>
    </row>
    <row r="1542" spans="1:15" hidden="1"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IF(orders[[#This Row],[Customer Gender]] = "M", "Male", IF(orders[[#This Row],[Customer Gender]] = "F", "Female", IF(orders[[#This Row],[Customer Gender]] = "O", "Other",  "Unkown")))</f>
        <v>Male</v>
      </c>
    </row>
    <row r="1543" spans="1:15" hidden="1"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IF(orders[[#This Row],[Customer Gender]] = "M", "Male", IF(orders[[#This Row],[Customer Gender]] = "F", "Female", IF(orders[[#This Row],[Customer Gender]] = "O", "Other",  "Unkown")))</f>
        <v>Male</v>
      </c>
    </row>
    <row r="1544" spans="1:15" hidden="1"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IF(orders[[#This Row],[Customer Gender]] = "M", "Male", IF(orders[[#This Row],[Customer Gender]] = "F", "Female", IF(orders[[#This Row],[Customer Gender]] = "O", "Other",  "Unkown")))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IF(orders[[#This Row],[Customer Gender]] = "M", "Male", IF(orders[[#This Row],[Customer Gender]] = "F", "Female", IF(orders[[#This Row],[Customer Gender]] = "O", "Other",  "Unkown")))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IF(orders[[#This Row],[Customer Gender]] = "M", "Male", IF(orders[[#This Row],[Customer Gender]] = "F", "Female", IF(orders[[#This Row],[Customer Gender]] = "O", "Other",  "Unkown")))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IF(orders[[#This Row],[Customer Gender]] = "M", "Male", IF(orders[[#This Row],[Customer Gender]] = "F", "Female", IF(orders[[#This Row],[Customer Gender]] = "O", "Other",  "Unkown")))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IF(orders[[#This Row],[Customer Gender]] = "M", "Male", IF(orders[[#This Row],[Customer Gender]] = "F", "Female", IF(orders[[#This Row],[Customer Gender]] = "O", "Other",  "Unkown")))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IF(orders[[#This Row],[Customer Gender]] = "M", "Male", IF(orders[[#This Row],[Customer Gender]] = "F", "Female", IF(orders[[#This Row],[Customer Gender]] = "O", "Other",  "Unkown")))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IF(orders[[#This Row],[Customer Gender]] = "M", "Male", IF(orders[[#This Row],[Customer Gender]] = "F", "Female", IF(orders[[#This Row],[Customer Gender]] = "O", "Other",  "Unkown")))</f>
        <v>Female</v>
      </c>
    </row>
    <row r="1551" spans="1:15" hidden="1"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IF(orders[[#This Row],[Customer Gender]] = "M", "Male", IF(orders[[#This Row],[Customer Gender]] = "F", "Female", IF(orders[[#This Row],[Customer Gender]] = "O", "Other",  "Unkown")))</f>
        <v>Male</v>
      </c>
    </row>
    <row r="1552" spans="1:15" hidden="1"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IF(orders[[#This Row],[Customer Gender]] = "M", "Male", IF(orders[[#This Row],[Customer Gender]] = "F", "Female", IF(orders[[#This Row],[Customer Gender]] = "O", "Other",  "Unkown")))</f>
        <v>Male</v>
      </c>
    </row>
    <row r="1553" spans="1:15" hidden="1"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IF(orders[[#This Row],[Customer Gender]] = "M", "Male", IF(orders[[#This Row],[Customer Gender]] = "F", "Female", IF(orders[[#This Row],[Customer Gender]] = "O", "Other",  "Unkown")))</f>
        <v>Male</v>
      </c>
    </row>
    <row r="1554" spans="1:15" hidden="1"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IF(orders[[#This Row],[Customer Gender]] = "M", "Male", IF(orders[[#This Row],[Customer Gender]] = "F", "Female", IF(orders[[#This Row],[Customer Gender]] = "O", "Other",  "Unkown")))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IF(orders[[#This Row],[Customer Gender]] = "M", "Male", IF(orders[[#This Row],[Customer Gender]] = "F", "Female", IF(orders[[#This Row],[Customer Gender]] = "O", "Other",  "Unkown")))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IF(orders[[#This Row],[Customer Gender]] = "M", "Male", IF(orders[[#This Row],[Customer Gender]] = "F", "Female", IF(orders[[#This Row],[Customer Gender]] = "O", "Other",  "Unkown")))</f>
        <v>Female</v>
      </c>
    </row>
    <row r="1557" spans="1:15" hidden="1"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IF(orders[[#This Row],[Customer Gender]] = "M", "Male", IF(orders[[#This Row],[Customer Gender]] = "F", "Female", IF(orders[[#This Row],[Customer Gender]] = "O", "Other",  "Unkown")))</f>
        <v>Unkown</v>
      </c>
    </row>
    <row r="1558" spans="1:15" hidden="1"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IF(orders[[#This Row],[Customer Gender]] = "M", "Male", IF(orders[[#This Row],[Customer Gender]] = "F", "Female", IF(orders[[#This Row],[Customer Gender]] = "O", "Other",  "Unkown")))</f>
        <v>Male</v>
      </c>
    </row>
    <row r="1559" spans="1:15" hidden="1"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IF(orders[[#This Row],[Customer Gender]] = "M", "Male", IF(orders[[#This Row],[Customer Gender]] = "F", "Female", IF(orders[[#This Row],[Customer Gender]] = "O", "Other",  "Unkown")))</f>
        <v>Male</v>
      </c>
    </row>
    <row r="1560" spans="1:15" hidden="1"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IF(orders[[#This Row],[Customer Gender]] = "M", "Male", IF(orders[[#This Row],[Customer Gender]] = "F", "Female", IF(orders[[#This Row],[Customer Gender]] = "O", "Other",  "Unkown")))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IF(orders[[#This Row],[Customer Gender]] = "M", "Male", IF(orders[[#This Row],[Customer Gender]] = "F", "Female", IF(orders[[#This Row],[Customer Gender]] = "O", "Other",  "Unkown")))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IF(orders[[#This Row],[Customer Gender]] = "M", "Male", IF(orders[[#This Row],[Customer Gender]] = "F", "Female", IF(orders[[#This Row],[Customer Gender]] = "O", "Other",  "Unkown")))</f>
        <v>Female</v>
      </c>
    </row>
    <row r="1563" spans="1:15" hidden="1"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IF(orders[[#This Row],[Customer Gender]] = "M", "Male", IF(orders[[#This Row],[Customer Gender]] = "F", "Female", IF(orders[[#This Row],[Customer Gender]] = "O", "Other",  "Unkown")))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IF(orders[[#This Row],[Customer Gender]] = "M", "Male", IF(orders[[#This Row],[Customer Gender]] = "F", "Female", IF(orders[[#This Row],[Customer Gender]] = "O", "Other",  "Unkown")))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IF(orders[[#This Row],[Customer Gender]] = "M", "Male", IF(orders[[#This Row],[Customer Gender]] = "F", "Female", IF(orders[[#This Row],[Customer Gender]] = "O", "Other",  "Unkown")))</f>
        <v>Female</v>
      </c>
    </row>
    <row r="1566" spans="1:15" hidden="1"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IF(orders[[#This Row],[Customer Gender]] = "M", "Male", IF(orders[[#This Row],[Customer Gender]] = "F", "Female", IF(orders[[#This Row],[Customer Gender]] = "O", "Other",  "Unkown")))</f>
        <v>Male</v>
      </c>
    </row>
    <row r="1567" spans="1:15" hidden="1"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IF(orders[[#This Row],[Customer Gender]] = "M", "Male", IF(orders[[#This Row],[Customer Gender]] = "F", "Female", IF(orders[[#This Row],[Customer Gender]] = "O", "Other",  "Unkown")))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IF(orders[[#This Row],[Customer Gender]] = "M", "Male", IF(orders[[#This Row],[Customer Gender]] = "F", "Female", IF(orders[[#This Row],[Customer Gender]] = "O", "Other",  "Unkown")))</f>
        <v>Female</v>
      </c>
    </row>
    <row r="1569" spans="1:15" hidden="1"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IF(orders[[#This Row],[Customer Gender]] = "M", "Male", IF(orders[[#This Row],[Customer Gender]] = "F", "Female", IF(orders[[#This Row],[Customer Gender]] = "O", "Other",  "Unkown")))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IF(orders[[#This Row],[Customer Gender]] = "M", "Male", IF(orders[[#This Row],[Customer Gender]] = "F", "Female", IF(orders[[#This Row],[Customer Gender]] = "O", "Other",  "Unkown")))</f>
        <v>Female</v>
      </c>
    </row>
    <row r="1571" spans="1:15" hidden="1"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IF(orders[[#This Row],[Customer Gender]] = "M", "Male", IF(orders[[#This Row],[Customer Gender]] = "F", "Female", IF(orders[[#This Row],[Customer Gender]] = "O", "Other",  "Unkown")))</f>
        <v>Male</v>
      </c>
    </row>
    <row r="1572" spans="1:15" hidden="1"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IF(orders[[#This Row],[Customer Gender]] = "M", "Male", IF(orders[[#This Row],[Customer Gender]] = "F", "Female", IF(orders[[#This Row],[Customer Gender]] = "O", "Other",  "Unkown")))</f>
        <v>Male</v>
      </c>
    </row>
    <row r="1573" spans="1:15" hidden="1"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IF(orders[[#This Row],[Customer Gender]] = "M", "Male", IF(orders[[#This Row],[Customer Gender]] = "F", "Female", IF(orders[[#This Row],[Customer Gender]] = "O", "Other",  "Unkown")))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IF(orders[[#This Row],[Customer Gender]] = "M", "Male", IF(orders[[#This Row],[Customer Gender]] = "F", "Female", IF(orders[[#This Row],[Customer Gender]] = "O", "Other",  "Unkown")))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IF(orders[[#This Row],[Customer Gender]] = "M", "Male", IF(orders[[#This Row],[Customer Gender]] = "F", "Female", IF(orders[[#This Row],[Customer Gender]] = "O", "Other",  "Unkown")))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IF(orders[[#This Row],[Customer Gender]] = "M", "Male", IF(orders[[#This Row],[Customer Gender]] = "F", "Female", IF(orders[[#This Row],[Customer Gender]] = "O", "Other",  "Unkown")))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IF(orders[[#This Row],[Customer Gender]] = "M", "Male", IF(orders[[#This Row],[Customer Gender]] = "F", "Female", IF(orders[[#This Row],[Customer Gender]] = "O", "Other",  "Unkown")))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IF(orders[[#This Row],[Customer Gender]] = "M", "Male", IF(orders[[#This Row],[Customer Gender]] = "F", "Female", IF(orders[[#This Row],[Customer Gender]] = "O", "Other",  "Unkown")))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IF(orders[[#This Row],[Customer Gender]] = "M", "Male", IF(orders[[#This Row],[Customer Gender]] = "F", "Female", IF(orders[[#This Row],[Customer Gender]] = "O", "Other",  "Unkown")))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IF(orders[[#This Row],[Customer Gender]] = "M", "Male", IF(orders[[#This Row],[Customer Gender]] = "F", "Female", IF(orders[[#This Row],[Customer Gender]] = "O", "Other",  "Unkown")))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IF(orders[[#This Row],[Customer Gender]] = "M", "Male", IF(orders[[#This Row],[Customer Gender]] = "F", "Female", IF(orders[[#This Row],[Customer Gender]] = "O", "Other",  "Unkown")))</f>
        <v>Female</v>
      </c>
    </row>
    <row r="1582" spans="1:15" hidden="1"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IF(orders[[#This Row],[Customer Gender]] = "M", "Male", IF(orders[[#This Row],[Customer Gender]] = "F", "Female", IF(orders[[#This Row],[Customer Gender]] = "O", "Other",  "Unkown")))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IF(orders[[#This Row],[Customer Gender]] = "M", "Male", IF(orders[[#This Row],[Customer Gender]] = "F", "Female", IF(orders[[#This Row],[Customer Gender]] = "O", "Other",  "Unkown")))</f>
        <v>Female</v>
      </c>
    </row>
    <row r="1584" spans="1:15" hidden="1"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IF(orders[[#This Row],[Customer Gender]] = "M", "Male", IF(orders[[#This Row],[Customer Gender]] = "F", "Female", IF(orders[[#This Row],[Customer Gender]] = "O", "Other",  "Unkown")))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IF(orders[[#This Row],[Customer Gender]] = "M", "Male", IF(orders[[#This Row],[Customer Gender]] = "F", "Female", IF(orders[[#This Row],[Customer Gender]] = "O", "Other",  "Unkown")))</f>
        <v>Female</v>
      </c>
    </row>
    <row r="1586" spans="1:15" hidden="1"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IF(orders[[#This Row],[Customer Gender]] = "M", "Male", IF(orders[[#This Row],[Customer Gender]] = "F", "Female", IF(orders[[#This Row],[Customer Gender]] = "O", "Other",  "Unkown")))</f>
        <v>Unkown</v>
      </c>
    </row>
    <row r="1587" spans="1:15" hidden="1"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IF(orders[[#This Row],[Customer Gender]] = "M", "Male", IF(orders[[#This Row],[Customer Gender]] = "F", "Female", IF(orders[[#This Row],[Customer Gender]] = "O", "Other",  "Unkown")))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IF(orders[[#This Row],[Customer Gender]] = "M", "Male", IF(orders[[#This Row],[Customer Gender]] = "F", "Female", IF(orders[[#This Row],[Customer Gender]] = "O", "Other",  "Unkown")))</f>
        <v>Female</v>
      </c>
    </row>
    <row r="1589" spans="1:15" hidden="1"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IF(orders[[#This Row],[Customer Gender]] = "M", "Male", IF(orders[[#This Row],[Customer Gender]] = "F", "Female", IF(orders[[#This Row],[Customer Gender]] = "O", "Other",  "Unkown")))</f>
        <v>Male</v>
      </c>
    </row>
    <row r="1590" spans="1:15" hidden="1"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IF(orders[[#This Row],[Customer Gender]] = "M", "Male", IF(orders[[#This Row],[Customer Gender]] = "F", "Female", IF(orders[[#This Row],[Customer Gender]] = "O", "Other",  "Unkown")))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IF(orders[[#This Row],[Customer Gender]] = "M", "Male", IF(orders[[#This Row],[Customer Gender]] = "F", "Female", IF(orders[[#This Row],[Customer Gender]] = "O", "Other",  "Unkown")))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IF(orders[[#This Row],[Customer Gender]] = "M", "Male", IF(orders[[#This Row],[Customer Gender]] = "F", "Female", IF(orders[[#This Row],[Customer Gender]] = "O", "Other",  "Unkown")))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IF(orders[[#This Row],[Customer Gender]] = "M", "Male", IF(orders[[#This Row],[Customer Gender]] = "F", "Female", IF(orders[[#This Row],[Customer Gender]] = "O", "Other",  "Unkown")))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IF(orders[[#This Row],[Customer Gender]] = "M", "Male", IF(orders[[#This Row],[Customer Gender]] = "F", "Female", IF(orders[[#This Row],[Customer Gender]] = "O", "Other",  "Unkown")))</f>
        <v>Female</v>
      </c>
    </row>
    <row r="1595" spans="1:15" hidden="1"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IF(orders[[#This Row],[Customer Gender]] = "M", "Male", IF(orders[[#This Row],[Customer Gender]] = "F", "Female", IF(orders[[#This Row],[Customer Gender]] = "O", "Other",  "Unkown")))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IF(orders[[#This Row],[Customer Gender]] = "M", "Male", IF(orders[[#This Row],[Customer Gender]] = "F", "Female", IF(orders[[#This Row],[Customer Gender]] = "O", "Other",  "Unkown")))</f>
        <v>Female</v>
      </c>
    </row>
    <row r="1597" spans="1:15" hidden="1"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IF(orders[[#This Row],[Customer Gender]] = "M", "Male", IF(orders[[#This Row],[Customer Gender]] = "F", "Female", IF(orders[[#This Row],[Customer Gender]] = "O", "Other",  "Unkown")))</f>
        <v>Male</v>
      </c>
    </row>
    <row r="1598" spans="1:15" hidden="1"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IF(orders[[#This Row],[Customer Gender]] = "M", "Male", IF(orders[[#This Row],[Customer Gender]] = "F", "Female", IF(orders[[#This Row],[Customer Gender]] = "O", "Other",  "Unkown")))</f>
        <v>Unkown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IF(orders[[#This Row],[Customer Gender]] = "M", "Male", IF(orders[[#This Row],[Customer Gender]] = "F", "Female", IF(orders[[#This Row],[Customer Gender]] = "O", "Other",  "Unkown")))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IF(orders[[#This Row],[Customer Gender]] = "M", "Male", IF(orders[[#This Row],[Customer Gender]] = "F", "Female", IF(orders[[#This Row],[Customer Gender]] = "O", "Other",  "Unkown")))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IF(orders[[#This Row],[Customer Gender]] = "M", "Male", IF(orders[[#This Row],[Customer Gender]] = "F", "Female", IF(orders[[#This Row],[Customer Gender]] = "O", "Other",  "Unkown")))</f>
        <v>Female</v>
      </c>
    </row>
    <row r="1602" spans="1:15" hidden="1"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IF(orders[[#This Row],[Customer Gender]] = "M", "Male", IF(orders[[#This Row],[Customer Gender]] = "F", "Female", IF(orders[[#This Row],[Customer Gender]] = "O", "Other",  "Unkown")))</f>
        <v>Male</v>
      </c>
    </row>
    <row r="1603" spans="1:15" hidden="1"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IF(orders[[#This Row],[Customer Gender]] = "M", "Male", IF(orders[[#This Row],[Customer Gender]] = "F", "Female", IF(orders[[#This Row],[Customer Gender]] = "O", "Other",  "Unkown")))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IF(orders[[#This Row],[Customer Gender]] = "M", "Male", IF(orders[[#This Row],[Customer Gender]] = "F", "Female", IF(orders[[#This Row],[Customer Gender]] = "O", "Other",  "Unkown")))</f>
        <v>Female</v>
      </c>
    </row>
    <row r="1605" spans="1:15" hidden="1"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IF(orders[[#This Row],[Customer Gender]] = "M", "Male", IF(orders[[#This Row],[Customer Gender]] = "F", "Female", IF(orders[[#This Row],[Customer Gender]] = "O", "Other",  "Unkown")))</f>
        <v>Male</v>
      </c>
    </row>
    <row r="1606" spans="1:15" hidden="1"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IF(orders[[#This Row],[Customer Gender]] = "M", "Male", IF(orders[[#This Row],[Customer Gender]] = "F", "Female", IF(orders[[#This Row],[Customer Gender]] = "O", "Other",  "Unkown")))</f>
        <v>Male</v>
      </c>
    </row>
    <row r="1607" spans="1:15" hidden="1"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IF(orders[[#This Row],[Customer Gender]] = "M", "Male", IF(orders[[#This Row],[Customer Gender]] = "F", "Female", IF(orders[[#This Row],[Customer Gender]] = "O", "Other",  "Unkown")))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IF(orders[[#This Row],[Customer Gender]] = "M", "Male", IF(orders[[#This Row],[Customer Gender]] = "F", "Female", IF(orders[[#This Row],[Customer Gender]] = "O", "Other",  "Unkown")))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IF(orders[[#This Row],[Customer Gender]] = "M", "Male", IF(orders[[#This Row],[Customer Gender]] = "F", "Female", IF(orders[[#This Row],[Customer Gender]] = "O", "Other",  "Unkown")))</f>
        <v>Female</v>
      </c>
    </row>
    <row r="1610" spans="1:15" hidden="1"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IF(orders[[#This Row],[Customer Gender]] = "M", "Male", IF(orders[[#This Row],[Customer Gender]] = "F", "Female", IF(orders[[#This Row],[Customer Gender]] = "O", "Other",  "Unkown")))</f>
        <v>Male</v>
      </c>
    </row>
    <row r="1611" spans="1:15" hidden="1"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IF(orders[[#This Row],[Customer Gender]] = "M", "Male", IF(orders[[#This Row],[Customer Gender]] = "F", "Female", IF(orders[[#This Row],[Customer Gender]] = "O", "Other",  "Unkown")))</f>
        <v>Male</v>
      </c>
    </row>
    <row r="1612" spans="1:15" hidden="1"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IF(orders[[#This Row],[Customer Gender]] = "M", "Male", IF(orders[[#This Row],[Customer Gender]] = "F", "Female", IF(orders[[#This Row],[Customer Gender]] = "O", "Other",  "Unkown")))</f>
        <v>Male</v>
      </c>
    </row>
    <row r="1613" spans="1:15" hidden="1"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IF(orders[[#This Row],[Customer Gender]] = "M", "Male", IF(orders[[#This Row],[Customer Gender]] = "F", "Female", IF(orders[[#This Row],[Customer Gender]] = "O", "Other",  "Unkown")))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IF(orders[[#This Row],[Customer Gender]] = "M", "Male", IF(orders[[#This Row],[Customer Gender]] = "F", "Female", IF(orders[[#This Row],[Customer Gender]] = "O", "Other",  "Unkown")))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IF(orders[[#This Row],[Customer Gender]] = "M", "Male", IF(orders[[#This Row],[Customer Gender]] = "F", "Female", IF(orders[[#This Row],[Customer Gender]] = "O", "Other",  "Unkown")))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IF(orders[[#This Row],[Customer Gender]] = "M", "Male", IF(orders[[#This Row],[Customer Gender]] = "F", "Female", IF(orders[[#This Row],[Customer Gender]] = "O", "Other",  "Unkown")))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IF(orders[[#This Row],[Customer Gender]] = "M", "Male", IF(orders[[#This Row],[Customer Gender]] = "F", "Female", IF(orders[[#This Row],[Customer Gender]] = "O", "Other",  "Unkown")))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IF(orders[[#This Row],[Customer Gender]] = "M", "Male", IF(orders[[#This Row],[Customer Gender]] = "F", "Female", IF(orders[[#This Row],[Customer Gender]] = "O", "Other",  "Unkown")))</f>
        <v>Female</v>
      </c>
    </row>
    <row r="1619" spans="1:15" hidden="1"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IF(orders[[#This Row],[Customer Gender]] = "M", "Male", IF(orders[[#This Row],[Customer Gender]] = "F", "Female", IF(orders[[#This Row],[Customer Gender]] = "O", "Other",  "Unkown")))</f>
        <v>Other</v>
      </c>
    </row>
    <row r="1620" spans="1:15" hidden="1"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IF(orders[[#This Row],[Customer Gender]] = "M", "Male", IF(orders[[#This Row],[Customer Gender]] = "F", "Female", IF(orders[[#This Row],[Customer Gender]] = "O", "Other",  "Unkown")))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IF(orders[[#This Row],[Customer Gender]] = "M", "Male", IF(orders[[#This Row],[Customer Gender]] = "F", "Female", IF(orders[[#This Row],[Customer Gender]] = "O", "Other",  "Unkown")))</f>
        <v>Female</v>
      </c>
    </row>
    <row r="1622" spans="1:15" hidden="1"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IF(orders[[#This Row],[Customer Gender]] = "M", "Male", IF(orders[[#This Row],[Customer Gender]] = "F", "Female", IF(orders[[#This Row],[Customer Gender]] = "O", "Other",  "Unkown")))</f>
        <v>Male</v>
      </c>
    </row>
    <row r="1623" spans="1:15" hidden="1"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IF(orders[[#This Row],[Customer Gender]] = "M", "Male", IF(orders[[#This Row],[Customer Gender]] = "F", "Female", IF(orders[[#This Row],[Customer Gender]] = "O", "Other",  "Unkown")))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IF(orders[[#This Row],[Customer Gender]] = "M", "Male", IF(orders[[#This Row],[Customer Gender]] = "F", "Female", IF(orders[[#This Row],[Customer Gender]] = "O", "Other",  "Unkown")))</f>
        <v>Female</v>
      </c>
    </row>
    <row r="1625" spans="1:15" hidden="1"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IF(orders[[#This Row],[Customer Gender]] = "M", "Male", IF(orders[[#This Row],[Customer Gender]] = "F", "Female", IF(orders[[#This Row],[Customer Gender]] = "O", "Other",  "Unkown")))</f>
        <v>Other</v>
      </c>
    </row>
    <row r="1626" spans="1:15" hidden="1"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IF(orders[[#This Row],[Customer Gender]] = "M", "Male", IF(orders[[#This Row],[Customer Gender]] = "F", "Female", IF(orders[[#This Row],[Customer Gender]] = "O", "Other",  "Unkown")))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IF(orders[[#This Row],[Customer Gender]] = "M", "Male", IF(orders[[#This Row],[Customer Gender]] = "F", "Female", IF(orders[[#This Row],[Customer Gender]] = "O", "Other",  "Unkown")))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IF(orders[[#This Row],[Customer Gender]] = "M", "Male", IF(orders[[#This Row],[Customer Gender]] = "F", "Female", IF(orders[[#This Row],[Customer Gender]] = "O", "Other",  "Unkown")))</f>
        <v>Female</v>
      </c>
    </row>
    <row r="1629" spans="1:15" hidden="1"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IF(orders[[#This Row],[Customer Gender]] = "M", "Male", IF(orders[[#This Row],[Customer Gender]] = "F", "Female", IF(orders[[#This Row],[Customer Gender]] = "O", "Other",  "Unkown")))</f>
        <v>Male</v>
      </c>
    </row>
    <row r="1630" spans="1:15" hidden="1"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IF(orders[[#This Row],[Customer Gender]] = "M", "Male", IF(orders[[#This Row],[Customer Gender]] = "F", "Female", IF(orders[[#This Row],[Customer Gender]] = "O", "Other",  "Unkown")))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IF(orders[[#This Row],[Customer Gender]] = "M", "Male", IF(orders[[#This Row],[Customer Gender]] = "F", "Female", IF(orders[[#This Row],[Customer Gender]] = "O", "Other",  "Unkown")))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IF(orders[[#This Row],[Customer Gender]] = "M", "Male", IF(orders[[#This Row],[Customer Gender]] = "F", "Female", IF(orders[[#This Row],[Customer Gender]] = "O", "Other",  "Unkown")))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IF(orders[[#This Row],[Customer Gender]] = "M", "Male", IF(orders[[#This Row],[Customer Gender]] = "F", "Female", IF(orders[[#This Row],[Customer Gender]] = "O", "Other",  "Unkown")))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IF(orders[[#This Row],[Customer Gender]] = "M", "Male", IF(orders[[#This Row],[Customer Gender]] = "F", "Female", IF(orders[[#This Row],[Customer Gender]] = "O", "Other",  "Unkown")))</f>
        <v>Female</v>
      </c>
    </row>
    <row r="1635" spans="1:15" hidden="1"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IF(orders[[#This Row],[Customer Gender]] = "M", "Male", IF(orders[[#This Row],[Customer Gender]] = "F", "Female", IF(orders[[#This Row],[Customer Gender]] = "O", "Other",  "Unkown")))</f>
        <v>Unkown</v>
      </c>
    </row>
    <row r="1636" spans="1:15" hidden="1"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IF(orders[[#This Row],[Customer Gender]] = "M", "Male", IF(orders[[#This Row],[Customer Gender]] = "F", "Female", IF(orders[[#This Row],[Customer Gender]] = "O", "Other",  "Unkown")))</f>
        <v>Male</v>
      </c>
    </row>
    <row r="1637" spans="1:15" hidden="1"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IF(orders[[#This Row],[Customer Gender]] = "M", "Male", IF(orders[[#This Row],[Customer Gender]] = "F", "Female", IF(orders[[#This Row],[Customer Gender]] = "O", "Other",  "Unkown")))</f>
        <v>Male</v>
      </c>
    </row>
    <row r="1638" spans="1:15" hidden="1"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IF(orders[[#This Row],[Customer Gender]] = "M", "Male", IF(orders[[#This Row],[Customer Gender]] = "F", "Female", IF(orders[[#This Row],[Customer Gender]] = "O", "Other",  "Unkown")))</f>
        <v>Male</v>
      </c>
    </row>
    <row r="1639" spans="1:15" hidden="1"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IF(orders[[#This Row],[Customer Gender]] = "M", "Male", IF(orders[[#This Row],[Customer Gender]] = "F", "Female", IF(orders[[#This Row],[Customer Gender]] = "O", "Other",  "Unkown")))</f>
        <v>Other</v>
      </c>
    </row>
    <row r="1640" spans="1:15" hidden="1"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IF(orders[[#This Row],[Customer Gender]] = "M", "Male", IF(orders[[#This Row],[Customer Gender]] = "F", "Female", IF(orders[[#This Row],[Customer Gender]] = "O", "Other",  "Unkown")))</f>
        <v>Male</v>
      </c>
    </row>
    <row r="1641" spans="1:15" hidden="1"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IF(orders[[#This Row],[Customer Gender]] = "M", "Male", IF(orders[[#This Row],[Customer Gender]] = "F", "Female", IF(orders[[#This Row],[Customer Gender]] = "O", "Other",  "Unkown")))</f>
        <v>Male</v>
      </c>
    </row>
    <row r="1642" spans="1:15" hidden="1"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IF(orders[[#This Row],[Customer Gender]] = "M", "Male", IF(orders[[#This Row],[Customer Gender]] = "F", "Female", IF(orders[[#This Row],[Customer Gender]] = "O", "Other",  "Unkown")))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IF(orders[[#This Row],[Customer Gender]] = "M", "Male", IF(orders[[#This Row],[Customer Gender]] = "F", "Female", IF(orders[[#This Row],[Customer Gender]] = "O", "Other",  "Unkown")))</f>
        <v>Female</v>
      </c>
    </row>
    <row r="1644" spans="1:15" hidden="1"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IF(orders[[#This Row],[Customer Gender]] = "M", "Male", IF(orders[[#This Row],[Customer Gender]] = "F", "Female", IF(orders[[#This Row],[Customer Gender]] = "O", "Other",  "Unkown")))</f>
        <v>Male</v>
      </c>
    </row>
    <row r="1645" spans="1:15" hidden="1"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IF(orders[[#This Row],[Customer Gender]] = "M", "Male", IF(orders[[#This Row],[Customer Gender]] = "F", "Female", IF(orders[[#This Row],[Customer Gender]] = "O", "Other",  "Unkown")))</f>
        <v>Male</v>
      </c>
    </row>
    <row r="1646" spans="1:15" hidden="1"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IF(orders[[#This Row],[Customer Gender]] = "M", "Male", IF(orders[[#This Row],[Customer Gender]] = "F", "Female", IF(orders[[#This Row],[Customer Gender]] = "O", "Other",  "Unkown")))</f>
        <v>Male</v>
      </c>
    </row>
    <row r="1647" spans="1:15" hidden="1"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IF(orders[[#This Row],[Customer Gender]] = "M", "Male", IF(orders[[#This Row],[Customer Gender]] = "F", "Female", IF(orders[[#This Row],[Customer Gender]] = "O", "Other",  "Unkown")))</f>
        <v>Male</v>
      </c>
    </row>
    <row r="1648" spans="1:15" hidden="1"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IF(orders[[#This Row],[Customer Gender]] = "M", "Male", IF(orders[[#This Row],[Customer Gender]] = "F", "Female", IF(orders[[#This Row],[Customer Gender]] = "O", "Other",  "Unkown")))</f>
        <v>Male</v>
      </c>
    </row>
    <row r="1649" spans="1:15" hidden="1"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IF(orders[[#This Row],[Customer Gender]] = "M", "Male", IF(orders[[#This Row],[Customer Gender]] = "F", "Female", IF(orders[[#This Row],[Customer Gender]] = "O", "Other",  "Unkown")))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IF(orders[[#This Row],[Customer Gender]] = "M", "Male", IF(orders[[#This Row],[Customer Gender]] = "F", "Female", IF(orders[[#This Row],[Customer Gender]] = "O", "Other",  "Unkown")))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IF(orders[[#This Row],[Customer Gender]] = "M", "Male", IF(orders[[#This Row],[Customer Gender]] = "F", "Female", IF(orders[[#This Row],[Customer Gender]] = "O", "Other",  "Unkown")))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IF(orders[[#This Row],[Customer Gender]] = "M", "Male", IF(orders[[#This Row],[Customer Gender]] = "F", "Female", IF(orders[[#This Row],[Customer Gender]] = "O", "Other",  "Unkown")))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IF(orders[[#This Row],[Customer Gender]] = "M", "Male", IF(orders[[#This Row],[Customer Gender]] = "F", "Female", IF(orders[[#This Row],[Customer Gender]] = "O", "Other",  "Unkown")))</f>
        <v>Female</v>
      </c>
    </row>
    <row r="1654" spans="1:15" hidden="1"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IF(orders[[#This Row],[Customer Gender]] = "M", "Male", IF(orders[[#This Row],[Customer Gender]] = "F", "Female", IF(orders[[#This Row],[Customer Gender]] = "O", "Other",  "Unkown")))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IF(orders[[#This Row],[Customer Gender]] = "M", "Male", IF(orders[[#This Row],[Customer Gender]] = "F", "Female", IF(orders[[#This Row],[Customer Gender]] = "O", "Other",  "Unkown")))</f>
        <v>Female</v>
      </c>
    </row>
    <row r="1656" spans="1:15" hidden="1"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IF(orders[[#This Row],[Customer Gender]] = "M", "Male", IF(orders[[#This Row],[Customer Gender]] = "F", "Female", IF(orders[[#This Row],[Customer Gender]] = "O", "Other",  "Unkown")))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IF(orders[[#This Row],[Customer Gender]] = "M", "Male", IF(orders[[#This Row],[Customer Gender]] = "F", "Female", IF(orders[[#This Row],[Customer Gender]] = "O", "Other",  "Unkown")))</f>
        <v>Female</v>
      </c>
    </row>
    <row r="1658" spans="1:15" hidden="1"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IF(orders[[#This Row],[Customer Gender]] = "M", "Male", IF(orders[[#This Row],[Customer Gender]] = "F", "Female", IF(orders[[#This Row],[Customer Gender]] = "O", "Other",  "Unkown")))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IF(orders[[#This Row],[Customer Gender]] = "M", "Male", IF(orders[[#This Row],[Customer Gender]] = "F", "Female", IF(orders[[#This Row],[Customer Gender]] = "O", "Other",  "Unkown")))</f>
        <v>Female</v>
      </c>
    </row>
    <row r="1660" spans="1:15" hidden="1"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IF(orders[[#This Row],[Customer Gender]] = "M", "Male", IF(orders[[#This Row],[Customer Gender]] = "F", "Female", IF(orders[[#This Row],[Customer Gender]] = "O", "Other",  "Unkown")))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IF(orders[[#This Row],[Customer Gender]] = "M", "Male", IF(orders[[#This Row],[Customer Gender]] = "F", "Female", IF(orders[[#This Row],[Customer Gender]] = "O", "Other",  "Unkown")))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IF(orders[[#This Row],[Customer Gender]] = "M", "Male", IF(orders[[#This Row],[Customer Gender]] = "F", "Female", IF(orders[[#This Row],[Customer Gender]] = "O", "Other",  "Unkown")))</f>
        <v>Female</v>
      </c>
    </row>
    <row r="1663" spans="1:15" hidden="1"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IF(orders[[#This Row],[Customer Gender]] = "M", "Male", IF(orders[[#This Row],[Customer Gender]] = "F", "Female", IF(orders[[#This Row],[Customer Gender]] = "O", "Other",  "Unkown")))</f>
        <v>Male</v>
      </c>
    </row>
    <row r="1664" spans="1:15" hidden="1"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IF(orders[[#This Row],[Customer Gender]] = "M", "Male", IF(orders[[#This Row],[Customer Gender]] = "F", "Female", IF(orders[[#This Row],[Customer Gender]] = "O", "Other",  "Unkown")))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IF(orders[[#This Row],[Customer Gender]] = "M", "Male", IF(orders[[#This Row],[Customer Gender]] = "F", "Female", IF(orders[[#This Row],[Customer Gender]] = "O", "Other",  "Unkown")))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IF(orders[[#This Row],[Customer Gender]] = "M", "Male", IF(orders[[#This Row],[Customer Gender]] = "F", "Female", IF(orders[[#This Row],[Customer Gender]] = "O", "Other",  "Unkown")))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IF(orders[[#This Row],[Customer Gender]] = "M", "Male", IF(orders[[#This Row],[Customer Gender]] = "F", "Female", IF(orders[[#This Row],[Customer Gender]] = "O", "Other",  "Unkown")))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IF(orders[[#This Row],[Customer Gender]] = "M", "Male", IF(orders[[#This Row],[Customer Gender]] = "F", "Female", IF(orders[[#This Row],[Customer Gender]] = "O", "Other",  "Unkown")))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IF(orders[[#This Row],[Customer Gender]] = "M", "Male", IF(orders[[#This Row],[Customer Gender]] = "F", "Female", IF(orders[[#This Row],[Customer Gender]] = "O", "Other",  "Unkown")))</f>
        <v>Female</v>
      </c>
    </row>
    <row r="1670" spans="1:15" hidden="1"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IF(orders[[#This Row],[Customer Gender]] = "M", "Male", IF(orders[[#This Row],[Customer Gender]] = "F", "Female", IF(orders[[#This Row],[Customer Gender]] = "O", "Other",  "Unkown")))</f>
        <v>Male</v>
      </c>
    </row>
    <row r="1671" spans="1:15" hidden="1"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IF(orders[[#This Row],[Customer Gender]] = "M", "Male", IF(orders[[#This Row],[Customer Gender]] = "F", "Female", IF(orders[[#This Row],[Customer Gender]] = "O", "Other",  "Unkown")))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IF(orders[[#This Row],[Customer Gender]] = "M", "Male", IF(orders[[#This Row],[Customer Gender]] = "F", "Female", IF(orders[[#This Row],[Customer Gender]] = "O", "Other",  "Unkown")))</f>
        <v>Female</v>
      </c>
    </row>
    <row r="1673" spans="1:15" hidden="1"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IF(orders[[#This Row],[Customer Gender]] = "M", "Male", IF(orders[[#This Row],[Customer Gender]] = "F", "Female", IF(orders[[#This Row],[Customer Gender]] = "O", "Other",  "Unkown")))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IF(orders[[#This Row],[Customer Gender]] = "M", "Male", IF(orders[[#This Row],[Customer Gender]] = "F", "Female", IF(orders[[#This Row],[Customer Gender]] = "O", "Other",  "Unkown")))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IF(orders[[#This Row],[Customer Gender]] = "M", "Male", IF(orders[[#This Row],[Customer Gender]] = "F", "Female", IF(orders[[#This Row],[Customer Gender]] = "O", "Other",  "Unkown")))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IF(orders[[#This Row],[Customer Gender]] = "M", "Male", IF(orders[[#This Row],[Customer Gender]] = "F", "Female", IF(orders[[#This Row],[Customer Gender]] = "O", "Other",  "Unkown")))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IF(orders[[#This Row],[Customer Gender]] = "M", "Male", IF(orders[[#This Row],[Customer Gender]] = "F", "Female", IF(orders[[#This Row],[Customer Gender]] = "O", "Other",  "Unkown")))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IF(orders[[#This Row],[Customer Gender]] = "M", "Male", IF(orders[[#This Row],[Customer Gender]] = "F", "Female", IF(orders[[#This Row],[Customer Gender]] = "O", "Other",  "Unkown")))</f>
        <v>Female</v>
      </c>
    </row>
    <row r="1679" spans="1:15" hidden="1"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IF(orders[[#This Row],[Customer Gender]] = "M", "Male", IF(orders[[#This Row],[Customer Gender]] = "F", "Female", IF(orders[[#This Row],[Customer Gender]] = "O", "Other",  "Unkown")))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IF(orders[[#This Row],[Customer Gender]] = "M", "Male", IF(orders[[#This Row],[Customer Gender]] = "F", "Female", IF(orders[[#This Row],[Customer Gender]] = "O", "Other",  "Unkown")))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IF(orders[[#This Row],[Customer Gender]] = "M", "Male", IF(orders[[#This Row],[Customer Gender]] = "F", "Female", IF(orders[[#This Row],[Customer Gender]] = "O", "Other",  "Unkown")))</f>
        <v>Female</v>
      </c>
    </row>
    <row r="1682" spans="1:15" hidden="1"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IF(orders[[#This Row],[Customer Gender]] = "M", "Male", IF(orders[[#This Row],[Customer Gender]] = "F", "Female", IF(orders[[#This Row],[Customer Gender]] = "O", "Other",  "Unkown")))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IF(orders[[#This Row],[Customer Gender]] = "M", "Male", IF(orders[[#This Row],[Customer Gender]] = "F", "Female", IF(orders[[#This Row],[Customer Gender]] = "O", "Other",  "Unkown")))</f>
        <v>Female</v>
      </c>
    </row>
    <row r="1684" spans="1:15" hidden="1"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IF(orders[[#This Row],[Customer Gender]] = "M", "Male", IF(orders[[#This Row],[Customer Gender]] = "F", "Female", IF(orders[[#This Row],[Customer Gender]] = "O", "Other",  "Unkown")))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IF(orders[[#This Row],[Customer Gender]] = "M", "Male", IF(orders[[#This Row],[Customer Gender]] = "F", "Female", IF(orders[[#This Row],[Customer Gender]] = "O", "Other",  "Unkown")))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IF(orders[[#This Row],[Customer Gender]] = "M", "Male", IF(orders[[#This Row],[Customer Gender]] = "F", "Female", IF(orders[[#This Row],[Customer Gender]] = "O", "Other",  "Unkown")))</f>
        <v>Female</v>
      </c>
    </row>
    <row r="1687" spans="1:15" hidden="1"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IF(orders[[#This Row],[Customer Gender]] = "M", "Male", IF(orders[[#This Row],[Customer Gender]] = "F", "Female", IF(orders[[#This Row],[Customer Gender]] = "O", "Other",  "Unkown")))</f>
        <v>Unkown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IF(orders[[#This Row],[Customer Gender]] = "M", "Male", IF(orders[[#This Row],[Customer Gender]] = "F", "Female", IF(orders[[#This Row],[Customer Gender]] = "O", "Other",  "Unkown")))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IF(orders[[#This Row],[Customer Gender]] = "M", "Male", IF(orders[[#This Row],[Customer Gender]] = "F", "Female", IF(orders[[#This Row],[Customer Gender]] = "O", "Other",  "Unkown")))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IF(orders[[#This Row],[Customer Gender]] = "M", "Male", IF(orders[[#This Row],[Customer Gender]] = "F", "Female", IF(orders[[#This Row],[Customer Gender]] = "O", "Other",  "Unkown")))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IF(orders[[#This Row],[Customer Gender]] = "M", "Male", IF(orders[[#This Row],[Customer Gender]] = "F", "Female", IF(orders[[#This Row],[Customer Gender]] = "O", "Other",  "Unkown")))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IF(orders[[#This Row],[Customer Gender]] = "M", "Male", IF(orders[[#This Row],[Customer Gender]] = "F", "Female", IF(orders[[#This Row],[Customer Gender]] = "O", "Other",  "Unkown")))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IF(orders[[#This Row],[Customer Gender]] = "M", "Male", IF(orders[[#This Row],[Customer Gender]] = "F", "Female", IF(orders[[#This Row],[Customer Gender]] = "O", "Other",  "Unkown")))</f>
        <v>Female</v>
      </c>
    </row>
    <row r="1694" spans="1:15" hidden="1"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IF(orders[[#This Row],[Customer Gender]] = "M", "Male", IF(orders[[#This Row],[Customer Gender]] = "F", "Female", IF(orders[[#This Row],[Customer Gender]] = "O", "Other",  "Unkown")))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IF(orders[[#This Row],[Customer Gender]] = "M", "Male", IF(orders[[#This Row],[Customer Gender]] = "F", "Female", IF(orders[[#This Row],[Customer Gender]] = "O", "Other",  "Unkown")))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IF(orders[[#This Row],[Customer Gender]] = "M", "Male", IF(orders[[#This Row],[Customer Gender]] = "F", "Female", IF(orders[[#This Row],[Customer Gender]] = "O", "Other",  "Unkown")))</f>
        <v>Female</v>
      </c>
    </row>
    <row r="1697" spans="1:15" hidden="1"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IF(orders[[#This Row],[Customer Gender]] = "M", "Male", IF(orders[[#This Row],[Customer Gender]] = "F", "Female", IF(orders[[#This Row],[Customer Gender]] = "O", "Other",  "Unkown")))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IF(orders[[#This Row],[Customer Gender]] = "M", "Male", IF(orders[[#This Row],[Customer Gender]] = "F", "Female", IF(orders[[#This Row],[Customer Gender]] = "O", "Other",  "Unkown")))</f>
        <v>Female</v>
      </c>
    </row>
    <row r="1699" spans="1:15" hidden="1"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IF(orders[[#This Row],[Customer Gender]] = "M", "Male", IF(orders[[#This Row],[Customer Gender]] = "F", "Female", IF(orders[[#This Row],[Customer Gender]] = "O", "Other",  "Unkown")))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IF(orders[[#This Row],[Customer Gender]] = "M", "Male", IF(orders[[#This Row],[Customer Gender]] = "F", "Female", IF(orders[[#This Row],[Customer Gender]] = "O", "Other",  "Unkown")))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IF(orders[[#This Row],[Customer Gender]] = "M", "Male", IF(orders[[#This Row],[Customer Gender]] = "F", "Female", IF(orders[[#This Row],[Customer Gender]] = "O", "Other",  "Unkown")))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IF(orders[[#This Row],[Customer Gender]] = "M", "Male", IF(orders[[#This Row],[Customer Gender]] = "F", "Female", IF(orders[[#This Row],[Customer Gender]] = "O", "Other",  "Unkown")))</f>
        <v>Female</v>
      </c>
    </row>
    <row r="1703" spans="1:15" hidden="1"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IF(orders[[#This Row],[Customer Gender]] = "M", "Male", IF(orders[[#This Row],[Customer Gender]] = "F", "Female", IF(orders[[#This Row],[Customer Gender]] = "O", "Other",  "Unkown")))</f>
        <v>Male</v>
      </c>
    </row>
    <row r="1704" spans="1:15" hidden="1"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IF(orders[[#This Row],[Customer Gender]] = "M", "Male", IF(orders[[#This Row],[Customer Gender]] = "F", "Female", IF(orders[[#This Row],[Customer Gender]] = "O", "Other",  "Unkown")))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IF(orders[[#This Row],[Customer Gender]] = "M", "Male", IF(orders[[#This Row],[Customer Gender]] = "F", "Female", IF(orders[[#This Row],[Customer Gender]] = "O", "Other",  "Unkown")))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IF(orders[[#This Row],[Customer Gender]] = "M", "Male", IF(orders[[#This Row],[Customer Gender]] = "F", "Female", IF(orders[[#This Row],[Customer Gender]] = "O", "Other",  "Unkown")))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IF(orders[[#This Row],[Customer Gender]] = "M", "Male", IF(orders[[#This Row],[Customer Gender]] = "F", "Female", IF(orders[[#This Row],[Customer Gender]] = "O", "Other",  "Unkown")))</f>
        <v>Female</v>
      </c>
    </row>
    <row r="1708" spans="1:15" hidden="1"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IF(orders[[#This Row],[Customer Gender]] = "M", "Male", IF(orders[[#This Row],[Customer Gender]] = "F", "Female", IF(orders[[#This Row],[Customer Gender]] = "O", "Other",  "Unkown")))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IF(orders[[#This Row],[Customer Gender]] = "M", "Male", IF(orders[[#This Row],[Customer Gender]] = "F", "Female", IF(orders[[#This Row],[Customer Gender]] = "O", "Other",  "Unkown")))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IF(orders[[#This Row],[Customer Gender]] = "M", "Male", IF(orders[[#This Row],[Customer Gender]] = "F", "Female", IF(orders[[#This Row],[Customer Gender]] = "O", "Other",  "Unkown")))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IF(orders[[#This Row],[Customer Gender]] = "M", "Male", IF(orders[[#This Row],[Customer Gender]] = "F", "Female", IF(orders[[#This Row],[Customer Gender]] = "O", "Other",  "Unkown")))</f>
        <v>Female</v>
      </c>
    </row>
    <row r="1712" spans="1:15" hidden="1"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IF(orders[[#This Row],[Customer Gender]] = "M", "Male", IF(orders[[#This Row],[Customer Gender]] = "F", "Female", IF(orders[[#This Row],[Customer Gender]] = "O", "Other",  "Unkown")))</f>
        <v>Male</v>
      </c>
    </row>
    <row r="1713" spans="1:15" hidden="1"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IF(orders[[#This Row],[Customer Gender]] = "M", "Male", IF(orders[[#This Row],[Customer Gender]] = "F", "Female", IF(orders[[#This Row],[Customer Gender]] = "O", "Other",  "Unkown")))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IF(orders[[#This Row],[Customer Gender]] = "M", "Male", IF(orders[[#This Row],[Customer Gender]] = "F", "Female", IF(orders[[#This Row],[Customer Gender]] = "O", "Other",  "Unkown")))</f>
        <v>Female</v>
      </c>
    </row>
    <row r="1715" spans="1:15" hidden="1"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IF(orders[[#This Row],[Customer Gender]] = "M", "Male", IF(orders[[#This Row],[Customer Gender]] = "F", "Female", IF(orders[[#This Row],[Customer Gender]] = "O", "Other",  "Unkown")))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IF(orders[[#This Row],[Customer Gender]] = "M", "Male", IF(orders[[#This Row],[Customer Gender]] = "F", "Female", IF(orders[[#This Row],[Customer Gender]] = "O", "Other",  "Unkown")))</f>
        <v>Female</v>
      </c>
    </row>
    <row r="1717" spans="1:15" hidden="1"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IF(orders[[#This Row],[Customer Gender]] = "M", "Male", IF(orders[[#This Row],[Customer Gender]] = "F", "Female", IF(orders[[#This Row],[Customer Gender]] = "O", "Other",  "Unkown")))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IF(orders[[#This Row],[Customer Gender]] = "M", "Male", IF(orders[[#This Row],[Customer Gender]] = "F", "Female", IF(orders[[#This Row],[Customer Gender]] = "O", "Other",  "Unkown")))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IF(orders[[#This Row],[Customer Gender]] = "M", "Male", IF(orders[[#This Row],[Customer Gender]] = "F", "Female", IF(orders[[#This Row],[Customer Gender]] = "O", "Other",  "Unkown")))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IF(orders[[#This Row],[Customer Gender]] = "M", "Male", IF(orders[[#This Row],[Customer Gender]] = "F", "Female", IF(orders[[#This Row],[Customer Gender]] = "O", "Other",  "Unkown")))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IF(orders[[#This Row],[Customer Gender]] = "M", "Male", IF(orders[[#This Row],[Customer Gender]] = "F", "Female", IF(orders[[#This Row],[Customer Gender]] = "O", "Other",  "Unkown")))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IF(orders[[#This Row],[Customer Gender]] = "M", "Male", IF(orders[[#This Row],[Customer Gender]] = "F", "Female", IF(orders[[#This Row],[Customer Gender]] = "O", "Other",  "Unkown")))</f>
        <v>Female</v>
      </c>
    </row>
    <row r="1723" spans="1:15" hidden="1"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IF(orders[[#This Row],[Customer Gender]] = "M", "Male", IF(orders[[#This Row],[Customer Gender]] = "F", "Female", IF(orders[[#This Row],[Customer Gender]] = "O", "Other",  "Unkown")))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IF(orders[[#This Row],[Customer Gender]] = "M", "Male", IF(orders[[#This Row],[Customer Gender]] = "F", "Female", IF(orders[[#This Row],[Customer Gender]] = "O", "Other",  "Unkown")))</f>
        <v>Female</v>
      </c>
    </row>
    <row r="1725" spans="1:15" hidden="1"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IF(orders[[#This Row],[Customer Gender]] = "M", "Male", IF(orders[[#This Row],[Customer Gender]] = "F", "Female", IF(orders[[#This Row],[Customer Gender]] = "O", "Other",  "Unkown")))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IF(orders[[#This Row],[Customer Gender]] = "M", "Male", IF(orders[[#This Row],[Customer Gender]] = "F", "Female", IF(orders[[#This Row],[Customer Gender]] = "O", "Other",  "Unkown")))</f>
        <v>Female</v>
      </c>
    </row>
    <row r="1727" spans="1:15" hidden="1"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IF(orders[[#This Row],[Customer Gender]] = "M", "Male", IF(orders[[#This Row],[Customer Gender]] = "F", "Female", IF(orders[[#This Row],[Customer Gender]] = "O", "Other",  "Unkown")))</f>
        <v>Other</v>
      </c>
    </row>
    <row r="1728" spans="1:15" hidden="1"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IF(orders[[#This Row],[Customer Gender]] = "M", "Male", IF(orders[[#This Row],[Customer Gender]] = "F", "Female", IF(orders[[#This Row],[Customer Gender]] = "O", "Other",  "Unkown")))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IF(orders[[#This Row],[Customer Gender]] = "M", "Male", IF(orders[[#This Row],[Customer Gender]] = "F", "Female", IF(orders[[#This Row],[Customer Gender]] = "O", "Other",  "Unkown")))</f>
        <v>Female</v>
      </c>
    </row>
    <row r="1730" spans="1:15" hidden="1"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IF(orders[[#This Row],[Customer Gender]] = "M", "Male", IF(orders[[#This Row],[Customer Gender]] = "F", "Female", IF(orders[[#This Row],[Customer Gender]] = "O", "Other",  "Unkown")))</f>
        <v>Unkown</v>
      </c>
    </row>
    <row r="1731" spans="1:15" hidden="1"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IF(orders[[#This Row],[Customer Gender]] = "M", "Male", IF(orders[[#This Row],[Customer Gender]] = "F", "Female", IF(orders[[#This Row],[Customer Gender]] = "O", "Other",  "Unkown")))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IF(orders[[#This Row],[Customer Gender]] = "M", "Male", IF(orders[[#This Row],[Customer Gender]] = "F", "Female", IF(orders[[#This Row],[Customer Gender]] = "O", "Other",  "Unkown")))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IF(orders[[#This Row],[Customer Gender]] = "M", "Male", IF(orders[[#This Row],[Customer Gender]] = "F", "Female", IF(orders[[#This Row],[Customer Gender]] = "O", "Other",  "Unkown")))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IF(orders[[#This Row],[Customer Gender]] = "M", "Male", IF(orders[[#This Row],[Customer Gender]] = "F", "Female", IF(orders[[#This Row],[Customer Gender]] = "O", "Other",  "Unkown")))</f>
        <v>Female</v>
      </c>
    </row>
    <row r="1735" spans="1:15" hidden="1"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IF(orders[[#This Row],[Customer Gender]] = "M", "Male", IF(orders[[#This Row],[Customer Gender]] = "F", "Female", IF(orders[[#This Row],[Customer Gender]] = "O", "Other",  "Unkown")))</f>
        <v>Male</v>
      </c>
    </row>
    <row r="1736" spans="1:15" hidden="1"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IF(orders[[#This Row],[Customer Gender]] = "M", "Male", IF(orders[[#This Row],[Customer Gender]] = "F", "Female", IF(orders[[#This Row],[Customer Gender]] = "O", "Other",  "Unkown")))</f>
        <v>Male</v>
      </c>
    </row>
    <row r="1737" spans="1:15" hidden="1"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IF(orders[[#This Row],[Customer Gender]] = "M", "Male", IF(orders[[#This Row],[Customer Gender]] = "F", "Female", IF(orders[[#This Row],[Customer Gender]] = "O", "Other",  "Unkown")))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IF(orders[[#This Row],[Customer Gender]] = "M", "Male", IF(orders[[#This Row],[Customer Gender]] = "F", "Female", IF(orders[[#This Row],[Customer Gender]] = "O", "Other",  "Unkown")))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IF(orders[[#This Row],[Customer Gender]] = "M", "Male", IF(orders[[#This Row],[Customer Gender]] = "F", "Female", IF(orders[[#This Row],[Customer Gender]] = "O", "Other",  "Unkown")))</f>
        <v>Female</v>
      </c>
    </row>
    <row r="1740" spans="1:15" hidden="1"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IF(orders[[#This Row],[Customer Gender]] = "M", "Male", IF(orders[[#This Row],[Customer Gender]] = "F", "Female", IF(orders[[#This Row],[Customer Gender]] = "O", "Other",  "Unkown")))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IF(orders[[#This Row],[Customer Gender]] = "M", "Male", IF(orders[[#This Row],[Customer Gender]] = "F", "Female", IF(orders[[#This Row],[Customer Gender]] = "O", "Other",  "Unkown")))</f>
        <v>Female</v>
      </c>
    </row>
    <row r="1742" spans="1:15" hidden="1"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IF(orders[[#This Row],[Customer Gender]] = "M", "Male", IF(orders[[#This Row],[Customer Gender]] = "F", "Female", IF(orders[[#This Row],[Customer Gender]] = "O", "Other",  "Unkown")))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IF(orders[[#This Row],[Customer Gender]] = "M", "Male", IF(orders[[#This Row],[Customer Gender]] = "F", "Female", IF(orders[[#This Row],[Customer Gender]] = "O", "Other",  "Unkown")))</f>
        <v>Female</v>
      </c>
    </row>
    <row r="1744" spans="1:15" hidden="1"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IF(orders[[#This Row],[Customer Gender]] = "M", "Male", IF(orders[[#This Row],[Customer Gender]] = "F", "Female", IF(orders[[#This Row],[Customer Gender]] = "O", "Other",  "Unkown")))</f>
        <v>Male</v>
      </c>
    </row>
    <row r="1745" spans="1:15" hidden="1"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IF(orders[[#This Row],[Customer Gender]] = "M", "Male", IF(orders[[#This Row],[Customer Gender]] = "F", "Female", IF(orders[[#This Row],[Customer Gender]] = "O", "Other",  "Unkown")))</f>
        <v>Other</v>
      </c>
    </row>
    <row r="1746" spans="1:15" hidden="1"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IF(orders[[#This Row],[Customer Gender]] = "M", "Male", IF(orders[[#This Row],[Customer Gender]] = "F", "Female", IF(orders[[#This Row],[Customer Gender]] = "O", "Other",  "Unkown")))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IF(orders[[#This Row],[Customer Gender]] = "M", "Male", IF(orders[[#This Row],[Customer Gender]] = "F", "Female", IF(orders[[#This Row],[Customer Gender]] = "O", "Other",  "Unkown")))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IF(orders[[#This Row],[Customer Gender]] = "M", "Male", IF(orders[[#This Row],[Customer Gender]] = "F", "Female", IF(orders[[#This Row],[Customer Gender]] = "O", "Other",  "Unkown")))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IF(orders[[#This Row],[Customer Gender]] = "M", "Male", IF(orders[[#This Row],[Customer Gender]] = "F", "Female", IF(orders[[#This Row],[Customer Gender]] = "O", "Other",  "Unkown")))</f>
        <v>Female</v>
      </c>
    </row>
    <row r="1750" spans="1:15" hidden="1"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IF(orders[[#This Row],[Customer Gender]] = "M", "Male", IF(orders[[#This Row],[Customer Gender]] = "F", "Female", IF(orders[[#This Row],[Customer Gender]] = "O", "Other",  "Unkown")))</f>
        <v>Male</v>
      </c>
    </row>
    <row r="1751" spans="1:15" hidden="1"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IF(orders[[#This Row],[Customer Gender]] = "M", "Male", IF(orders[[#This Row],[Customer Gender]] = "F", "Female", IF(orders[[#This Row],[Customer Gender]] = "O", "Other",  "Unkown")))</f>
        <v>Male</v>
      </c>
    </row>
    <row r="1752" spans="1:15" hidden="1"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IF(orders[[#This Row],[Customer Gender]] = "M", "Male", IF(orders[[#This Row],[Customer Gender]] = "F", "Female", IF(orders[[#This Row],[Customer Gender]] = "O", "Other",  "Unkown")))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IF(orders[[#This Row],[Customer Gender]] = "M", "Male", IF(orders[[#This Row],[Customer Gender]] = "F", "Female", IF(orders[[#This Row],[Customer Gender]] = "O", "Other",  "Unkown")))</f>
        <v>Female</v>
      </c>
    </row>
    <row r="1754" spans="1:15" hidden="1"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IF(orders[[#This Row],[Customer Gender]] = "M", "Male", IF(orders[[#This Row],[Customer Gender]] = "F", "Female", IF(orders[[#This Row],[Customer Gender]] = "O", "Other",  "Unkown")))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IF(orders[[#This Row],[Customer Gender]] = "M", "Male", IF(orders[[#This Row],[Customer Gender]] = "F", "Female", IF(orders[[#This Row],[Customer Gender]] = "O", "Other",  "Unkown")))</f>
        <v>Female</v>
      </c>
    </row>
    <row r="1756" spans="1:15" hidden="1"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IF(orders[[#This Row],[Customer Gender]] = "M", "Male", IF(orders[[#This Row],[Customer Gender]] = "F", "Female", IF(orders[[#This Row],[Customer Gender]] = "O", "Other",  "Unkown")))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IF(orders[[#This Row],[Customer Gender]] = "M", "Male", IF(orders[[#This Row],[Customer Gender]] = "F", "Female", IF(orders[[#This Row],[Customer Gender]] = "O", "Other",  "Unkown")))</f>
        <v>Female</v>
      </c>
    </row>
    <row r="1758" spans="1:15" hidden="1"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IF(orders[[#This Row],[Customer Gender]] = "M", "Male", IF(orders[[#This Row],[Customer Gender]] = "F", "Female", IF(orders[[#This Row],[Customer Gender]] = "O", "Other",  "Unkown")))</f>
        <v>Other</v>
      </c>
    </row>
    <row r="1759" spans="1:15" hidden="1"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IF(orders[[#This Row],[Customer Gender]] = "M", "Male", IF(orders[[#This Row],[Customer Gender]] = "F", "Female", IF(orders[[#This Row],[Customer Gender]] = "O", "Other",  "Unkown")))</f>
        <v>Male</v>
      </c>
    </row>
    <row r="1760" spans="1:15" hidden="1"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IF(orders[[#This Row],[Customer Gender]] = "M", "Male", IF(orders[[#This Row],[Customer Gender]] = "F", "Female", IF(orders[[#This Row],[Customer Gender]] = "O", "Other",  "Unkown")))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IF(orders[[#This Row],[Customer Gender]] = "M", "Male", IF(orders[[#This Row],[Customer Gender]] = "F", "Female", IF(orders[[#This Row],[Customer Gender]] = "O", "Other",  "Unkown")))</f>
        <v>Female</v>
      </c>
    </row>
    <row r="1762" spans="1:15" hidden="1"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IF(orders[[#This Row],[Customer Gender]] = "M", "Male", IF(orders[[#This Row],[Customer Gender]] = "F", "Female", IF(orders[[#This Row],[Customer Gender]] = "O", "Other",  "Unkown")))</f>
        <v>Male</v>
      </c>
    </row>
    <row r="1763" spans="1:15" hidden="1"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IF(orders[[#This Row],[Customer Gender]] = "M", "Male", IF(orders[[#This Row],[Customer Gender]] = "F", "Female", IF(orders[[#This Row],[Customer Gender]] = "O", "Other",  "Unkown")))</f>
        <v>Male</v>
      </c>
    </row>
    <row r="1764" spans="1:15" hidden="1"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IF(orders[[#This Row],[Customer Gender]] = "M", "Male", IF(orders[[#This Row],[Customer Gender]] = "F", "Female", IF(orders[[#This Row],[Customer Gender]] = "O", "Other",  "Unkown")))</f>
        <v>Male</v>
      </c>
    </row>
    <row r="1765" spans="1:15" hidden="1"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IF(orders[[#This Row],[Customer Gender]] = "M", "Male", IF(orders[[#This Row],[Customer Gender]] = "F", "Female", IF(orders[[#This Row],[Customer Gender]] = "O", "Other",  "Unkown")))</f>
        <v>Male</v>
      </c>
    </row>
    <row r="1766" spans="1:15" hidden="1"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IF(orders[[#This Row],[Customer Gender]] = "M", "Male", IF(orders[[#This Row],[Customer Gender]] = "F", "Female", IF(orders[[#This Row],[Customer Gender]] = "O", "Other",  "Unkown")))</f>
        <v>Male</v>
      </c>
    </row>
    <row r="1767" spans="1:15" hidden="1"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IF(orders[[#This Row],[Customer Gender]] = "M", "Male", IF(orders[[#This Row],[Customer Gender]] = "F", "Female", IF(orders[[#This Row],[Customer Gender]] = "O", "Other",  "Unkown")))</f>
        <v>Male</v>
      </c>
    </row>
    <row r="1768" spans="1:15" hidden="1"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IF(orders[[#This Row],[Customer Gender]] = "M", "Male", IF(orders[[#This Row],[Customer Gender]] = "F", "Female", IF(orders[[#This Row],[Customer Gender]] = "O", "Other",  "Unkown")))</f>
        <v>Male</v>
      </c>
    </row>
    <row r="1769" spans="1:15" hidden="1"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IF(orders[[#This Row],[Customer Gender]] = "M", "Male", IF(orders[[#This Row],[Customer Gender]] = "F", "Female", IF(orders[[#This Row],[Customer Gender]] = "O", "Other",  "Unkown")))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IF(orders[[#This Row],[Customer Gender]] = "M", "Male", IF(orders[[#This Row],[Customer Gender]] = "F", "Female", IF(orders[[#This Row],[Customer Gender]] = "O", "Other",  "Unkown")))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IF(orders[[#This Row],[Customer Gender]] = "M", "Male", IF(orders[[#This Row],[Customer Gender]] = "F", "Female", IF(orders[[#This Row],[Customer Gender]] = "O", "Other",  "Unkown")))</f>
        <v>Female</v>
      </c>
    </row>
    <row r="1772" spans="1:15" hidden="1"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IF(orders[[#This Row],[Customer Gender]] = "M", "Male", IF(orders[[#This Row],[Customer Gender]] = "F", "Female", IF(orders[[#This Row],[Customer Gender]] = "O", "Other",  "Unkown")))</f>
        <v>Male</v>
      </c>
    </row>
    <row r="1773" spans="1:15" hidden="1"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IF(orders[[#This Row],[Customer Gender]] = "M", "Male", IF(orders[[#This Row],[Customer Gender]] = "F", "Female", IF(orders[[#This Row],[Customer Gender]] = "O", "Other",  "Unkown")))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IF(orders[[#This Row],[Customer Gender]] = "M", "Male", IF(orders[[#This Row],[Customer Gender]] = "F", "Female", IF(orders[[#This Row],[Customer Gender]] = "O", "Other",  "Unkown")))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IF(orders[[#This Row],[Customer Gender]] = "M", "Male", IF(orders[[#This Row],[Customer Gender]] = "F", "Female", IF(orders[[#This Row],[Customer Gender]] = "O", "Other",  "Unkown")))</f>
        <v>Female</v>
      </c>
    </row>
    <row r="1776" spans="1:15" hidden="1"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IF(orders[[#This Row],[Customer Gender]] = "M", "Male", IF(orders[[#This Row],[Customer Gender]] = "F", "Female", IF(orders[[#This Row],[Customer Gender]] = "O", "Other",  "Unkown")))</f>
        <v>Male</v>
      </c>
    </row>
    <row r="1777" spans="1:15" hidden="1"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IF(orders[[#This Row],[Customer Gender]] = "M", "Male", IF(orders[[#This Row],[Customer Gender]] = "F", "Female", IF(orders[[#This Row],[Customer Gender]] = "O", "Other",  "Unkown")))</f>
        <v>Male</v>
      </c>
    </row>
    <row r="1778" spans="1:15" hidden="1"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IF(orders[[#This Row],[Customer Gender]] = "M", "Male", IF(orders[[#This Row],[Customer Gender]] = "F", "Female", IF(orders[[#This Row],[Customer Gender]] = "O", "Other",  "Unkown")))</f>
        <v>Male</v>
      </c>
    </row>
    <row r="1779" spans="1:15" hidden="1"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IF(orders[[#This Row],[Customer Gender]] = "M", "Male", IF(orders[[#This Row],[Customer Gender]] = "F", "Female", IF(orders[[#This Row],[Customer Gender]] = "O", "Other",  "Unkown")))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IF(orders[[#This Row],[Customer Gender]] = "M", "Male", IF(orders[[#This Row],[Customer Gender]] = "F", "Female", IF(orders[[#This Row],[Customer Gender]] = "O", "Other",  "Unkown")))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IF(orders[[#This Row],[Customer Gender]] = "M", "Male", IF(orders[[#This Row],[Customer Gender]] = "F", "Female", IF(orders[[#This Row],[Customer Gender]] = "O", "Other",  "Unkown")))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IF(orders[[#This Row],[Customer Gender]] = "M", "Male", IF(orders[[#This Row],[Customer Gender]] = "F", "Female", IF(orders[[#This Row],[Customer Gender]] = "O", "Other",  "Unkown")))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IF(orders[[#This Row],[Customer Gender]] = "M", "Male", IF(orders[[#This Row],[Customer Gender]] = "F", "Female", IF(orders[[#This Row],[Customer Gender]] = "O", "Other",  "Unkown")))</f>
        <v>Female</v>
      </c>
    </row>
    <row r="1784" spans="1:15" hidden="1"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IF(orders[[#This Row],[Customer Gender]] = "M", "Male", IF(orders[[#This Row],[Customer Gender]] = "F", "Female", IF(orders[[#This Row],[Customer Gender]] = "O", "Other",  "Unkown")))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IF(orders[[#This Row],[Customer Gender]] = "M", "Male", IF(orders[[#This Row],[Customer Gender]] = "F", "Female", IF(orders[[#This Row],[Customer Gender]] = "O", "Other",  "Unkown")))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IF(orders[[#This Row],[Customer Gender]] = "M", "Male", IF(orders[[#This Row],[Customer Gender]] = "F", "Female", IF(orders[[#This Row],[Customer Gender]] = "O", "Other",  "Unkown")))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IF(orders[[#This Row],[Customer Gender]] = "M", "Male", IF(orders[[#This Row],[Customer Gender]] = "F", "Female", IF(orders[[#This Row],[Customer Gender]] = "O", "Other",  "Unkown")))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IF(orders[[#This Row],[Customer Gender]] = "M", "Male", IF(orders[[#This Row],[Customer Gender]] = "F", "Female", IF(orders[[#This Row],[Customer Gender]] = "O", "Other",  "Unkown")))</f>
        <v>Female</v>
      </c>
    </row>
    <row r="1789" spans="1:15" hidden="1"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IF(orders[[#This Row],[Customer Gender]] = "M", "Male", IF(orders[[#This Row],[Customer Gender]] = "F", "Female", IF(orders[[#This Row],[Customer Gender]] = "O", "Other",  "Unkown")))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IF(orders[[#This Row],[Customer Gender]] = "M", "Male", IF(orders[[#This Row],[Customer Gender]] = "F", "Female", IF(orders[[#This Row],[Customer Gender]] = "O", "Other",  "Unkown")))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IF(orders[[#This Row],[Customer Gender]] = "M", "Male", IF(orders[[#This Row],[Customer Gender]] = "F", "Female", IF(orders[[#This Row],[Customer Gender]] = "O", "Other",  "Unkown")))</f>
        <v>Female</v>
      </c>
    </row>
    <row r="1792" spans="1:15" hidden="1"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IF(orders[[#This Row],[Customer Gender]] = "M", "Male", IF(orders[[#This Row],[Customer Gender]] = "F", "Female", IF(orders[[#This Row],[Customer Gender]] = "O", "Other",  "Unkown")))</f>
        <v>Male</v>
      </c>
    </row>
    <row r="1793" spans="1:15" hidden="1"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IF(orders[[#This Row],[Customer Gender]] = "M", "Male", IF(orders[[#This Row],[Customer Gender]] = "F", "Female", IF(orders[[#This Row],[Customer Gender]] = "O", "Other",  "Unkown")))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IF(orders[[#This Row],[Customer Gender]] = "M", "Male", IF(orders[[#This Row],[Customer Gender]] = "F", "Female", IF(orders[[#This Row],[Customer Gender]] = "O", "Other",  "Unkown")))</f>
        <v>Female</v>
      </c>
    </row>
    <row r="1795" spans="1:15" hidden="1"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IF(orders[[#This Row],[Customer Gender]] = "M", "Male", IF(orders[[#This Row],[Customer Gender]] = "F", "Female", IF(orders[[#This Row],[Customer Gender]] = "O", "Other",  "Unkown")))</f>
        <v>Male</v>
      </c>
    </row>
    <row r="1796" spans="1:15" hidden="1"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IF(orders[[#This Row],[Customer Gender]] = "M", "Male", IF(orders[[#This Row],[Customer Gender]] = "F", "Female", IF(orders[[#This Row],[Customer Gender]] = "O", "Other",  "Unkown")))</f>
        <v>Male</v>
      </c>
    </row>
    <row r="1797" spans="1:15" hidden="1"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IF(orders[[#This Row],[Customer Gender]] = "M", "Male", IF(orders[[#This Row],[Customer Gender]] = "F", "Female", IF(orders[[#This Row],[Customer Gender]] = "O", "Other",  "Unkown")))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IF(orders[[#This Row],[Customer Gender]] = "M", "Male", IF(orders[[#This Row],[Customer Gender]] = "F", "Female", IF(orders[[#This Row],[Customer Gender]] = "O", "Other",  "Unkown")))</f>
        <v>Female</v>
      </c>
    </row>
    <row r="1799" spans="1:15" hidden="1"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IF(orders[[#This Row],[Customer Gender]] = "M", "Male", IF(orders[[#This Row],[Customer Gender]] = "F", "Female", IF(orders[[#This Row],[Customer Gender]] = "O", "Other",  "Unkown")))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IF(orders[[#This Row],[Customer Gender]] = "M", "Male", IF(orders[[#This Row],[Customer Gender]] = "F", "Female", IF(orders[[#This Row],[Customer Gender]] = "O", "Other",  "Unkown")))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IF(orders[[#This Row],[Customer Gender]] = "M", "Male", IF(orders[[#This Row],[Customer Gender]] = "F", "Female", IF(orders[[#This Row],[Customer Gender]] = "O", "Other",  "Unkown")))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IF(orders[[#This Row],[Customer Gender]] = "M", "Male", IF(orders[[#This Row],[Customer Gender]] = "F", "Female", IF(orders[[#This Row],[Customer Gender]] = "O", "Other",  "Unkown")))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IF(orders[[#This Row],[Customer Gender]] = "M", "Male", IF(orders[[#This Row],[Customer Gender]] = "F", "Female", IF(orders[[#This Row],[Customer Gender]] = "O", "Other",  "Unkown")))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IF(orders[[#This Row],[Customer Gender]] = "M", "Male", IF(orders[[#This Row],[Customer Gender]] = "F", "Female", IF(orders[[#This Row],[Customer Gender]] = "O", "Other",  "Unkown")))</f>
        <v>Female</v>
      </c>
    </row>
    <row r="1805" spans="1:15" hidden="1"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IF(orders[[#This Row],[Customer Gender]] = "M", "Male", IF(orders[[#This Row],[Customer Gender]] = "F", "Female", IF(orders[[#This Row],[Customer Gender]] = "O", "Other",  "Unkown")))</f>
        <v>Male</v>
      </c>
    </row>
    <row r="1806" spans="1:15" hidden="1"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IF(orders[[#This Row],[Customer Gender]] = "M", "Male", IF(orders[[#This Row],[Customer Gender]] = "F", "Female", IF(orders[[#This Row],[Customer Gender]] = "O", "Other",  "Unkown")))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IF(orders[[#This Row],[Customer Gender]] = "M", "Male", IF(orders[[#This Row],[Customer Gender]] = "F", "Female", IF(orders[[#This Row],[Customer Gender]] = "O", "Other",  "Unkown")))</f>
        <v>Female</v>
      </c>
    </row>
    <row r="1808" spans="1:15" hidden="1"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IF(orders[[#This Row],[Customer Gender]] = "M", "Male", IF(orders[[#This Row],[Customer Gender]] = "F", "Female", IF(orders[[#This Row],[Customer Gender]] = "O", "Other",  "Unkown")))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IF(orders[[#This Row],[Customer Gender]] = "M", "Male", IF(orders[[#This Row],[Customer Gender]] = "F", "Female", IF(orders[[#This Row],[Customer Gender]] = "O", "Other",  "Unkown")))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IF(orders[[#This Row],[Customer Gender]] = "M", "Male", IF(orders[[#This Row],[Customer Gender]] = "F", "Female", IF(orders[[#This Row],[Customer Gender]] = "O", "Other",  "Unkown")))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IF(orders[[#This Row],[Customer Gender]] = "M", "Male", IF(orders[[#This Row],[Customer Gender]] = "F", "Female", IF(orders[[#This Row],[Customer Gender]] = "O", "Other",  "Unkown")))</f>
        <v>Female</v>
      </c>
    </row>
    <row r="1812" spans="1:15" hidden="1"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IF(orders[[#This Row],[Customer Gender]] = "M", "Male", IF(orders[[#This Row],[Customer Gender]] = "F", "Female", IF(orders[[#This Row],[Customer Gender]] = "O", "Other",  "Unkown")))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IF(orders[[#This Row],[Customer Gender]] = "M", "Male", IF(orders[[#This Row],[Customer Gender]] = "F", "Female", IF(orders[[#This Row],[Customer Gender]] = "O", "Other",  "Unkown")))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IF(orders[[#This Row],[Customer Gender]] = "M", "Male", IF(orders[[#This Row],[Customer Gender]] = "F", "Female", IF(orders[[#This Row],[Customer Gender]] = "O", "Other",  "Unkown")))</f>
        <v>Female</v>
      </c>
    </row>
    <row r="1815" spans="1:15" hidden="1"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IF(orders[[#This Row],[Customer Gender]] = "M", "Male", IF(orders[[#This Row],[Customer Gender]] = "F", "Female", IF(orders[[#This Row],[Customer Gender]] = "O", "Other",  "Unkown")))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IF(orders[[#This Row],[Customer Gender]] = "M", "Male", IF(orders[[#This Row],[Customer Gender]] = "F", "Female", IF(orders[[#This Row],[Customer Gender]] = "O", "Other",  "Unkown")))</f>
        <v>Female</v>
      </c>
    </row>
    <row r="1817" spans="1:15" hidden="1"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IF(orders[[#This Row],[Customer Gender]] = "M", "Male", IF(orders[[#This Row],[Customer Gender]] = "F", "Female", IF(orders[[#This Row],[Customer Gender]] = "O", "Other",  "Unkown")))</f>
        <v>Male</v>
      </c>
    </row>
    <row r="1818" spans="1:15" hidden="1"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IF(orders[[#This Row],[Customer Gender]] = "M", "Male", IF(orders[[#This Row],[Customer Gender]] = "F", "Female", IF(orders[[#This Row],[Customer Gender]] = "O", "Other",  "Unkown")))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IF(orders[[#This Row],[Customer Gender]] = "M", "Male", IF(orders[[#This Row],[Customer Gender]] = "F", "Female", IF(orders[[#This Row],[Customer Gender]] = "O", "Other",  "Unkown")))</f>
        <v>Female</v>
      </c>
    </row>
    <row r="1820" spans="1:15" hidden="1"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IF(orders[[#This Row],[Customer Gender]] = "M", "Male", IF(orders[[#This Row],[Customer Gender]] = "F", "Female", IF(orders[[#This Row],[Customer Gender]] = "O", "Other",  "Unkown")))</f>
        <v>Unkown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IF(orders[[#This Row],[Customer Gender]] = "M", "Male", IF(orders[[#This Row],[Customer Gender]] = "F", "Female", IF(orders[[#This Row],[Customer Gender]] = "O", "Other",  "Unkown")))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IF(orders[[#This Row],[Customer Gender]] = "M", "Male", IF(orders[[#This Row],[Customer Gender]] = "F", "Female", IF(orders[[#This Row],[Customer Gender]] = "O", "Other",  "Unkown")))</f>
        <v>Female</v>
      </c>
    </row>
    <row r="1823" spans="1:15" hidden="1"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IF(orders[[#This Row],[Customer Gender]] = "M", "Male", IF(orders[[#This Row],[Customer Gender]] = "F", "Female", IF(orders[[#This Row],[Customer Gender]] = "O", "Other",  "Unkown")))</f>
        <v>Unkown</v>
      </c>
    </row>
    <row r="1824" spans="1:15" hidden="1"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IF(orders[[#This Row],[Customer Gender]] = "M", "Male", IF(orders[[#This Row],[Customer Gender]] = "F", "Female", IF(orders[[#This Row],[Customer Gender]] = "O", "Other",  "Unkown")))</f>
        <v>Male</v>
      </c>
    </row>
    <row r="1825" spans="1:15" hidden="1"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IF(orders[[#This Row],[Customer Gender]] = "M", "Male", IF(orders[[#This Row],[Customer Gender]] = "F", "Female", IF(orders[[#This Row],[Customer Gender]] = "O", "Other",  "Unkown")))</f>
        <v>Other</v>
      </c>
    </row>
    <row r="1826" spans="1:15" hidden="1"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IF(orders[[#This Row],[Customer Gender]] = "M", "Male", IF(orders[[#This Row],[Customer Gender]] = "F", "Female", IF(orders[[#This Row],[Customer Gender]] = "O", "Other",  "Unkown")))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IF(orders[[#This Row],[Customer Gender]] = "M", "Male", IF(orders[[#This Row],[Customer Gender]] = "F", "Female", IF(orders[[#This Row],[Customer Gender]] = "O", "Other",  "Unkown")))</f>
        <v>Female</v>
      </c>
    </row>
    <row r="1828" spans="1:15" hidden="1"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IF(orders[[#This Row],[Customer Gender]] = "M", "Male", IF(orders[[#This Row],[Customer Gender]] = "F", "Female", IF(orders[[#This Row],[Customer Gender]] = "O", "Other",  "Unkown")))</f>
        <v>Unkown</v>
      </c>
    </row>
    <row r="1829" spans="1:15" hidden="1"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IF(orders[[#This Row],[Customer Gender]] = "M", "Male", IF(orders[[#This Row],[Customer Gender]] = "F", "Female", IF(orders[[#This Row],[Customer Gender]] = "O", "Other",  "Unkown")))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IF(orders[[#This Row],[Customer Gender]] = "M", "Male", IF(orders[[#This Row],[Customer Gender]] = "F", "Female", IF(orders[[#This Row],[Customer Gender]] = "O", "Other",  "Unkown")))</f>
        <v>Female</v>
      </c>
    </row>
    <row r="1831" spans="1:15" hidden="1"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IF(orders[[#This Row],[Customer Gender]] = "M", "Male", IF(orders[[#This Row],[Customer Gender]] = "F", "Female", IF(orders[[#This Row],[Customer Gender]] = "O", "Other",  "Unkown")))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IF(orders[[#This Row],[Customer Gender]] = "M", "Male", IF(orders[[#This Row],[Customer Gender]] = "F", "Female", IF(orders[[#This Row],[Customer Gender]] = "O", "Other",  "Unkown")))</f>
        <v>Female</v>
      </c>
    </row>
    <row r="1833" spans="1:15" hidden="1"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IF(orders[[#This Row],[Customer Gender]] = "M", "Male", IF(orders[[#This Row],[Customer Gender]] = "F", "Female", IF(orders[[#This Row],[Customer Gender]] = "O", "Other",  "Unkown")))</f>
        <v>Unkown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IF(orders[[#This Row],[Customer Gender]] = "M", "Male", IF(orders[[#This Row],[Customer Gender]] = "F", "Female", IF(orders[[#This Row],[Customer Gender]] = "O", "Other",  "Unkown")))</f>
        <v>Female</v>
      </c>
    </row>
    <row r="1835" spans="1:15" hidden="1"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IF(orders[[#This Row],[Customer Gender]] = "M", "Male", IF(orders[[#This Row],[Customer Gender]] = "F", "Female", IF(orders[[#This Row],[Customer Gender]] = "O", "Other",  "Unkown")))</f>
        <v>Male</v>
      </c>
    </row>
    <row r="1836" spans="1:15" hidden="1"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IF(orders[[#This Row],[Customer Gender]] = "M", "Male", IF(orders[[#This Row],[Customer Gender]] = "F", "Female", IF(orders[[#This Row],[Customer Gender]] = "O", "Other",  "Unkown")))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IF(orders[[#This Row],[Customer Gender]] = "M", "Male", IF(orders[[#This Row],[Customer Gender]] = "F", "Female", IF(orders[[#This Row],[Customer Gender]] = "O", "Other",  "Unkown")))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IF(orders[[#This Row],[Customer Gender]] = "M", "Male", IF(orders[[#This Row],[Customer Gender]] = "F", "Female", IF(orders[[#This Row],[Customer Gender]] = "O", "Other",  "Unkown")))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IF(orders[[#This Row],[Customer Gender]] = "M", "Male", IF(orders[[#This Row],[Customer Gender]] = "F", "Female", IF(orders[[#This Row],[Customer Gender]] = "O", "Other",  "Unkown")))</f>
        <v>Female</v>
      </c>
    </row>
    <row r="1840" spans="1:15" hidden="1"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IF(orders[[#This Row],[Customer Gender]] = "M", "Male", IF(orders[[#This Row],[Customer Gender]] = "F", "Female", IF(orders[[#This Row],[Customer Gender]] = "O", "Other",  "Unkown")))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IF(orders[[#This Row],[Customer Gender]] = "M", "Male", IF(orders[[#This Row],[Customer Gender]] = "F", "Female", IF(orders[[#This Row],[Customer Gender]] = "O", "Other",  "Unkown")))</f>
        <v>Female</v>
      </c>
    </row>
    <row r="1842" spans="1:15" hidden="1"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IF(orders[[#This Row],[Customer Gender]] = "M", "Male", IF(orders[[#This Row],[Customer Gender]] = "F", "Female", IF(orders[[#This Row],[Customer Gender]] = "O", "Other",  "Unkown")))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IF(orders[[#This Row],[Customer Gender]] = "M", "Male", IF(orders[[#This Row],[Customer Gender]] = "F", "Female", IF(orders[[#This Row],[Customer Gender]] = "O", "Other",  "Unkown")))</f>
        <v>Female</v>
      </c>
    </row>
    <row r="1844" spans="1:15" hidden="1"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IF(orders[[#This Row],[Customer Gender]] = "M", "Male", IF(orders[[#This Row],[Customer Gender]] = "F", "Female", IF(orders[[#This Row],[Customer Gender]] = "O", "Other",  "Unkown")))</f>
        <v>Unkown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IF(orders[[#This Row],[Customer Gender]] = "M", "Male", IF(orders[[#This Row],[Customer Gender]] = "F", "Female", IF(orders[[#This Row],[Customer Gender]] = "O", "Other",  "Unkown")))</f>
        <v>Female</v>
      </c>
    </row>
    <row r="1846" spans="1:15" hidden="1"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IF(orders[[#This Row],[Customer Gender]] = "M", "Male", IF(orders[[#This Row],[Customer Gender]] = "F", "Female", IF(orders[[#This Row],[Customer Gender]] = "O", "Other",  "Unkown")))</f>
        <v>Male</v>
      </c>
    </row>
    <row r="1847" spans="1:15" hidden="1"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IF(orders[[#This Row],[Customer Gender]] = "M", "Male", IF(orders[[#This Row],[Customer Gender]] = "F", "Female", IF(orders[[#This Row],[Customer Gender]] = "O", "Other",  "Unkown")))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IF(orders[[#This Row],[Customer Gender]] = "M", "Male", IF(orders[[#This Row],[Customer Gender]] = "F", "Female", IF(orders[[#This Row],[Customer Gender]] = "O", "Other",  "Unkown")))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IF(orders[[#This Row],[Customer Gender]] = "M", "Male", IF(orders[[#This Row],[Customer Gender]] = "F", "Female", IF(orders[[#This Row],[Customer Gender]] = "O", "Other",  "Unkown")))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IF(orders[[#This Row],[Customer Gender]] = "M", "Male", IF(orders[[#This Row],[Customer Gender]] = "F", "Female", IF(orders[[#This Row],[Customer Gender]] = "O", "Other",  "Unkown")))</f>
        <v>Female</v>
      </c>
    </row>
    <row r="1851" spans="1:15" hidden="1"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IF(orders[[#This Row],[Customer Gender]] = "M", "Male", IF(orders[[#This Row],[Customer Gender]] = "F", "Female", IF(orders[[#This Row],[Customer Gender]] = "O", "Other",  "Unkown")))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IF(orders[[#This Row],[Customer Gender]] = "M", "Male", IF(orders[[#This Row],[Customer Gender]] = "F", "Female", IF(orders[[#This Row],[Customer Gender]] = "O", "Other",  "Unkown")))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IF(orders[[#This Row],[Customer Gender]] = "M", "Male", IF(orders[[#This Row],[Customer Gender]] = "F", "Female", IF(orders[[#This Row],[Customer Gender]] = "O", "Other",  "Unkown")))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IF(orders[[#This Row],[Customer Gender]] = "M", "Male", IF(orders[[#This Row],[Customer Gender]] = "F", "Female", IF(orders[[#This Row],[Customer Gender]] = "O", "Other",  "Unkown")))</f>
        <v>Female</v>
      </c>
    </row>
    <row r="1855" spans="1:15" hidden="1"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IF(orders[[#This Row],[Customer Gender]] = "M", "Male", IF(orders[[#This Row],[Customer Gender]] = "F", "Female", IF(orders[[#This Row],[Customer Gender]] = "O", "Other",  "Unkown")))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IF(orders[[#This Row],[Customer Gender]] = "M", "Male", IF(orders[[#This Row],[Customer Gender]] = "F", "Female", IF(orders[[#This Row],[Customer Gender]] = "O", "Other",  "Unkown")))</f>
        <v>Female</v>
      </c>
    </row>
    <row r="1857" spans="1:15" hidden="1"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IF(orders[[#This Row],[Customer Gender]] = "M", "Male", IF(orders[[#This Row],[Customer Gender]] = "F", "Female", IF(orders[[#This Row],[Customer Gender]] = "O", "Other",  "Unkown")))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IF(orders[[#This Row],[Customer Gender]] = "M", "Male", IF(orders[[#This Row],[Customer Gender]] = "F", "Female", IF(orders[[#This Row],[Customer Gender]] = "O", "Other",  "Unkown")))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IF(orders[[#This Row],[Customer Gender]] = "M", "Male", IF(orders[[#This Row],[Customer Gender]] = "F", "Female", IF(orders[[#This Row],[Customer Gender]] = "O", "Other",  "Unkown")))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IF(orders[[#This Row],[Customer Gender]] = "M", "Male", IF(orders[[#This Row],[Customer Gender]] = "F", "Female", IF(orders[[#This Row],[Customer Gender]] = "O", "Other",  "Unkown")))</f>
        <v>Female</v>
      </c>
    </row>
    <row r="1861" spans="1:15" hidden="1"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IF(orders[[#This Row],[Customer Gender]] = "M", "Male", IF(orders[[#This Row],[Customer Gender]] = "F", "Female", IF(orders[[#This Row],[Customer Gender]] = "O", "Other",  "Unkown")))</f>
        <v>Male</v>
      </c>
    </row>
    <row r="1862" spans="1:15" hidden="1"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IF(orders[[#This Row],[Customer Gender]] = "M", "Male", IF(orders[[#This Row],[Customer Gender]] = "F", "Female", IF(orders[[#This Row],[Customer Gender]] = "O", "Other",  "Unkown")))</f>
        <v>Male</v>
      </c>
    </row>
    <row r="1863" spans="1:15" hidden="1"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IF(orders[[#This Row],[Customer Gender]] = "M", "Male", IF(orders[[#This Row],[Customer Gender]] = "F", "Female", IF(orders[[#This Row],[Customer Gender]] = "O", "Other",  "Unkown")))</f>
        <v>Other</v>
      </c>
    </row>
    <row r="1864" spans="1:15" hidden="1"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IF(orders[[#This Row],[Customer Gender]] = "M", "Male", IF(orders[[#This Row],[Customer Gender]] = "F", "Female", IF(orders[[#This Row],[Customer Gender]] = "O", "Other",  "Unkown")))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IF(orders[[#This Row],[Customer Gender]] = "M", "Male", IF(orders[[#This Row],[Customer Gender]] = "F", "Female", IF(orders[[#This Row],[Customer Gender]] = "O", "Other",  "Unkown")))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IF(orders[[#This Row],[Customer Gender]] = "M", "Male", IF(orders[[#This Row],[Customer Gender]] = "F", "Female", IF(orders[[#This Row],[Customer Gender]] = "O", "Other",  "Unkown")))</f>
        <v>Female</v>
      </c>
    </row>
    <row r="1867" spans="1:15" hidden="1"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IF(orders[[#This Row],[Customer Gender]] = "M", "Male", IF(orders[[#This Row],[Customer Gender]] = "F", "Female", IF(orders[[#This Row],[Customer Gender]] = "O", "Other",  "Unkown")))</f>
        <v>Male</v>
      </c>
    </row>
    <row r="1868" spans="1:15" hidden="1"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IF(orders[[#This Row],[Customer Gender]] = "M", "Male", IF(orders[[#This Row],[Customer Gender]] = "F", "Female", IF(orders[[#This Row],[Customer Gender]] = "O", "Other",  "Unkown")))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IF(orders[[#This Row],[Customer Gender]] = "M", "Male", IF(orders[[#This Row],[Customer Gender]] = "F", "Female", IF(orders[[#This Row],[Customer Gender]] = "O", "Other",  "Unkown")))</f>
        <v>Female</v>
      </c>
    </row>
    <row r="1870" spans="1:15" hidden="1"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IF(orders[[#This Row],[Customer Gender]] = "M", "Male", IF(orders[[#This Row],[Customer Gender]] = "F", "Female", IF(orders[[#This Row],[Customer Gender]] = "O", "Other",  "Unkown")))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IF(orders[[#This Row],[Customer Gender]] = "M", "Male", IF(orders[[#This Row],[Customer Gender]] = "F", "Female", IF(orders[[#This Row],[Customer Gender]] = "O", "Other",  "Unkown")))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IF(orders[[#This Row],[Customer Gender]] = "M", "Male", IF(orders[[#This Row],[Customer Gender]] = "F", "Female", IF(orders[[#This Row],[Customer Gender]] = "O", "Other",  "Unkown")))</f>
        <v>Female</v>
      </c>
    </row>
    <row r="1873" spans="1:15" hidden="1"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IF(orders[[#This Row],[Customer Gender]] = "M", "Male", IF(orders[[#This Row],[Customer Gender]] = "F", "Female", IF(orders[[#This Row],[Customer Gender]] = "O", "Other",  "Unkown")))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IF(orders[[#This Row],[Customer Gender]] = "M", "Male", IF(orders[[#This Row],[Customer Gender]] = "F", "Female", IF(orders[[#This Row],[Customer Gender]] = "O", "Other",  "Unkown")))</f>
        <v>Female</v>
      </c>
    </row>
    <row r="1875" spans="1:15" hidden="1"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IF(orders[[#This Row],[Customer Gender]] = "M", "Male", IF(orders[[#This Row],[Customer Gender]] = "F", "Female", IF(orders[[#This Row],[Customer Gender]] = "O", "Other",  "Unkown")))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IF(orders[[#This Row],[Customer Gender]] = "M", "Male", IF(orders[[#This Row],[Customer Gender]] = "F", "Female", IF(orders[[#This Row],[Customer Gender]] = "O", "Other",  "Unkown")))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IF(orders[[#This Row],[Customer Gender]] = "M", "Male", IF(orders[[#This Row],[Customer Gender]] = "F", "Female", IF(orders[[#This Row],[Customer Gender]] = "O", "Other",  "Unkown")))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IF(orders[[#This Row],[Customer Gender]] = "M", "Male", IF(orders[[#This Row],[Customer Gender]] = "F", "Female", IF(orders[[#This Row],[Customer Gender]] = "O", "Other",  "Unkown")))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IF(orders[[#This Row],[Customer Gender]] = "M", "Male", IF(orders[[#This Row],[Customer Gender]] = "F", "Female", IF(orders[[#This Row],[Customer Gender]] = "O", "Other",  "Unkown")))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IF(orders[[#This Row],[Customer Gender]] = "M", "Male", IF(orders[[#This Row],[Customer Gender]] = "F", "Female", IF(orders[[#This Row],[Customer Gender]] = "O", "Other",  "Unkown")))</f>
        <v>Female</v>
      </c>
    </row>
    <row r="1881" spans="1:15" hidden="1"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IF(orders[[#This Row],[Customer Gender]] = "M", "Male", IF(orders[[#This Row],[Customer Gender]] = "F", "Female", IF(orders[[#This Row],[Customer Gender]] = "O", "Other",  "Unkown")))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IF(orders[[#This Row],[Customer Gender]] = "M", "Male", IF(orders[[#This Row],[Customer Gender]] = "F", "Female", IF(orders[[#This Row],[Customer Gender]] = "O", "Other",  "Unkown")))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IF(orders[[#This Row],[Customer Gender]] = "M", "Male", IF(orders[[#This Row],[Customer Gender]] = "F", "Female", IF(orders[[#This Row],[Customer Gender]] = "O", "Other",  "Unkown")))</f>
        <v>Female</v>
      </c>
    </row>
    <row r="1884" spans="1:15" hidden="1"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IF(orders[[#This Row],[Customer Gender]] = "M", "Male", IF(orders[[#This Row],[Customer Gender]] = "F", "Female", IF(orders[[#This Row],[Customer Gender]] = "O", "Other",  "Unkown")))</f>
        <v>Male</v>
      </c>
    </row>
    <row r="1885" spans="1:15" hidden="1"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IF(orders[[#This Row],[Customer Gender]] = "M", "Male", IF(orders[[#This Row],[Customer Gender]] = "F", "Female", IF(orders[[#This Row],[Customer Gender]] = "O", "Other",  "Unkown")))</f>
        <v>Male</v>
      </c>
    </row>
    <row r="1886" spans="1:15" hidden="1"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IF(orders[[#This Row],[Customer Gender]] = "M", "Male", IF(orders[[#This Row],[Customer Gender]] = "F", "Female", IF(orders[[#This Row],[Customer Gender]] = "O", "Other",  "Unkown")))</f>
        <v>Unkown</v>
      </c>
    </row>
    <row r="1887" spans="1:15" hidden="1"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IF(orders[[#This Row],[Customer Gender]] = "M", "Male", IF(orders[[#This Row],[Customer Gender]] = "F", "Female", IF(orders[[#This Row],[Customer Gender]] = "O", "Other",  "Unkown")))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IF(orders[[#This Row],[Customer Gender]] = "M", "Male", IF(orders[[#This Row],[Customer Gender]] = "F", "Female", IF(orders[[#This Row],[Customer Gender]] = "O", "Other",  "Unkown")))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IF(orders[[#This Row],[Customer Gender]] = "M", "Male", IF(orders[[#This Row],[Customer Gender]] = "F", "Female", IF(orders[[#This Row],[Customer Gender]] = "O", "Other",  "Unkown")))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IF(orders[[#This Row],[Customer Gender]] = "M", "Male", IF(orders[[#This Row],[Customer Gender]] = "F", "Female", IF(orders[[#This Row],[Customer Gender]] = "O", "Other",  "Unkown")))</f>
        <v>Female</v>
      </c>
    </row>
    <row r="1891" spans="1:15" hidden="1"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IF(orders[[#This Row],[Customer Gender]] = "M", "Male", IF(orders[[#This Row],[Customer Gender]] = "F", "Female", IF(orders[[#This Row],[Customer Gender]] = "O", "Other",  "Unkown")))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IF(orders[[#This Row],[Customer Gender]] = "M", "Male", IF(orders[[#This Row],[Customer Gender]] = "F", "Female", IF(orders[[#This Row],[Customer Gender]] = "O", "Other",  "Unkown")))</f>
        <v>Female</v>
      </c>
    </row>
    <row r="1893" spans="1:15" hidden="1"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IF(orders[[#This Row],[Customer Gender]] = "M", "Male", IF(orders[[#This Row],[Customer Gender]] = "F", "Female", IF(orders[[#This Row],[Customer Gender]] = "O", "Other",  "Unkown")))</f>
        <v>Male</v>
      </c>
    </row>
    <row r="1894" spans="1:15" hidden="1"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IF(orders[[#This Row],[Customer Gender]] = "M", "Male", IF(orders[[#This Row],[Customer Gender]] = "F", "Female", IF(orders[[#This Row],[Customer Gender]] = "O", "Other",  "Unkown")))</f>
        <v>Male</v>
      </c>
    </row>
    <row r="1895" spans="1:15" hidden="1"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IF(orders[[#This Row],[Customer Gender]] = "M", "Male", IF(orders[[#This Row],[Customer Gender]] = "F", "Female", IF(orders[[#This Row],[Customer Gender]] = "O", "Other",  "Unkown")))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IF(orders[[#This Row],[Customer Gender]] = "M", "Male", IF(orders[[#This Row],[Customer Gender]] = "F", "Female", IF(orders[[#This Row],[Customer Gender]] = "O", "Other",  "Unkown")))</f>
        <v>Female</v>
      </c>
    </row>
    <row r="1897" spans="1:15" hidden="1"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IF(orders[[#This Row],[Customer Gender]] = "M", "Male", IF(orders[[#This Row],[Customer Gender]] = "F", "Female", IF(orders[[#This Row],[Customer Gender]] = "O", "Other",  "Unkown")))</f>
        <v>Male</v>
      </c>
    </row>
    <row r="1898" spans="1:15" hidden="1"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IF(orders[[#This Row],[Customer Gender]] = "M", "Male", IF(orders[[#This Row],[Customer Gender]] = "F", "Female", IF(orders[[#This Row],[Customer Gender]] = "O", "Other",  "Unkown")))</f>
        <v>Male</v>
      </c>
    </row>
    <row r="1899" spans="1:15" hidden="1"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IF(orders[[#This Row],[Customer Gender]] = "M", "Male", IF(orders[[#This Row],[Customer Gender]] = "F", "Female", IF(orders[[#This Row],[Customer Gender]] = "O", "Other",  "Unkown")))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IF(orders[[#This Row],[Customer Gender]] = "M", "Male", IF(orders[[#This Row],[Customer Gender]] = "F", "Female", IF(orders[[#This Row],[Customer Gender]] = "O", "Other",  "Unkown")))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IF(orders[[#This Row],[Customer Gender]] = "M", "Male", IF(orders[[#This Row],[Customer Gender]] = "F", "Female", IF(orders[[#This Row],[Customer Gender]] = "O", "Other",  "Unkown")))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IF(orders[[#This Row],[Customer Gender]] = "M", "Male", IF(orders[[#This Row],[Customer Gender]] = "F", "Female", IF(orders[[#This Row],[Customer Gender]] = "O", "Other",  "Unkown")))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IF(orders[[#This Row],[Customer Gender]] = "M", "Male", IF(orders[[#This Row],[Customer Gender]] = "F", "Female", IF(orders[[#This Row],[Customer Gender]] = "O", "Other",  "Unkown")))</f>
        <v>Female</v>
      </c>
    </row>
    <row r="1904" spans="1:15" hidden="1"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IF(orders[[#This Row],[Customer Gender]] = "M", "Male", IF(orders[[#This Row],[Customer Gender]] = "F", "Female", IF(orders[[#This Row],[Customer Gender]] = "O", "Other",  "Unkown")))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IF(orders[[#This Row],[Customer Gender]] = "M", "Male", IF(orders[[#This Row],[Customer Gender]] = "F", "Female", IF(orders[[#This Row],[Customer Gender]] = "O", "Other",  "Unkown")))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IF(orders[[#This Row],[Customer Gender]] = "M", "Male", IF(orders[[#This Row],[Customer Gender]] = "F", "Female", IF(orders[[#This Row],[Customer Gender]] = "O", "Other",  "Unkown")))</f>
        <v>Female</v>
      </c>
    </row>
    <row r="1907" spans="1:15" hidden="1"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IF(orders[[#This Row],[Customer Gender]] = "M", "Male", IF(orders[[#This Row],[Customer Gender]] = "F", "Female", IF(orders[[#This Row],[Customer Gender]] = "O", "Other",  "Unkown")))</f>
        <v>Male</v>
      </c>
    </row>
    <row r="1908" spans="1:15" hidden="1"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IF(orders[[#This Row],[Customer Gender]] = "M", "Male", IF(orders[[#This Row],[Customer Gender]] = "F", "Female", IF(orders[[#This Row],[Customer Gender]] = "O", "Other",  "Unkown")))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IF(orders[[#This Row],[Customer Gender]] = "M", "Male", IF(orders[[#This Row],[Customer Gender]] = "F", "Female", IF(orders[[#This Row],[Customer Gender]] = "O", "Other",  "Unkown")))</f>
        <v>Female</v>
      </c>
    </row>
    <row r="1910" spans="1:15" hidden="1"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IF(orders[[#This Row],[Customer Gender]] = "M", "Male", IF(orders[[#This Row],[Customer Gender]] = "F", "Female", IF(orders[[#This Row],[Customer Gender]] = "O", "Other",  "Unkown")))</f>
        <v>Unkown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IF(orders[[#This Row],[Customer Gender]] = "M", "Male", IF(orders[[#This Row],[Customer Gender]] = "F", "Female", IF(orders[[#This Row],[Customer Gender]] = "O", "Other",  "Unkown")))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IF(orders[[#This Row],[Customer Gender]] = "M", "Male", IF(orders[[#This Row],[Customer Gender]] = "F", "Female", IF(orders[[#This Row],[Customer Gender]] = "O", "Other",  "Unkown")))</f>
        <v>Female</v>
      </c>
    </row>
    <row r="1913" spans="1:15" hidden="1"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IF(orders[[#This Row],[Customer Gender]] = "M", "Male", IF(orders[[#This Row],[Customer Gender]] = "F", "Female", IF(orders[[#This Row],[Customer Gender]] = "O", "Other",  "Unkown")))</f>
        <v>Other</v>
      </c>
    </row>
    <row r="1914" spans="1:15" hidden="1"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IF(orders[[#This Row],[Customer Gender]] = "M", "Male", IF(orders[[#This Row],[Customer Gender]] = "F", "Female", IF(orders[[#This Row],[Customer Gender]] = "O", "Other",  "Unkown")))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IF(orders[[#This Row],[Customer Gender]] = "M", "Male", IF(orders[[#This Row],[Customer Gender]] = "F", "Female", IF(orders[[#This Row],[Customer Gender]] = "O", "Other",  "Unkown")))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IF(orders[[#This Row],[Customer Gender]] = "M", "Male", IF(orders[[#This Row],[Customer Gender]] = "F", "Female", IF(orders[[#This Row],[Customer Gender]] = "O", "Other",  "Unkown")))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IF(orders[[#This Row],[Customer Gender]] = "M", "Male", IF(orders[[#This Row],[Customer Gender]] = "F", "Female", IF(orders[[#This Row],[Customer Gender]] = "O", "Other",  "Unkown")))</f>
        <v>Female</v>
      </c>
    </row>
    <row r="1918" spans="1:15" hidden="1"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IF(orders[[#This Row],[Customer Gender]] = "M", "Male", IF(orders[[#This Row],[Customer Gender]] = "F", "Female", IF(orders[[#This Row],[Customer Gender]] = "O", "Other",  "Unkown")))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IF(orders[[#This Row],[Customer Gender]] = "M", "Male", IF(orders[[#This Row],[Customer Gender]] = "F", "Female", IF(orders[[#This Row],[Customer Gender]] = "O", "Other",  "Unkown")))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IF(orders[[#This Row],[Customer Gender]] = "M", "Male", IF(orders[[#This Row],[Customer Gender]] = "F", "Female", IF(orders[[#This Row],[Customer Gender]] = "O", "Other",  "Unkown")))</f>
        <v>Female</v>
      </c>
    </row>
    <row r="1921" spans="1:15" hidden="1"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IF(orders[[#This Row],[Customer Gender]] = "M", "Male", IF(orders[[#This Row],[Customer Gender]] = "F", "Female", IF(orders[[#This Row],[Customer Gender]] = "O", "Other",  "Unkown")))</f>
        <v>Male</v>
      </c>
    </row>
    <row r="1922" spans="1:15" hidden="1"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IF(orders[[#This Row],[Customer Gender]] = "M", "Male", IF(orders[[#This Row],[Customer Gender]] = "F", "Female", IF(orders[[#This Row],[Customer Gender]] = "O", "Other",  "Unkown")))</f>
        <v>Male</v>
      </c>
    </row>
    <row r="1923" spans="1:15" hidden="1"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IF(orders[[#This Row],[Customer Gender]] = "M", "Male", IF(orders[[#This Row],[Customer Gender]] = "F", "Female", IF(orders[[#This Row],[Customer Gender]] = "O", "Other",  "Unkown")))</f>
        <v>Male</v>
      </c>
    </row>
    <row r="1924" spans="1:15" hidden="1"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IF(orders[[#This Row],[Customer Gender]] = "M", "Male", IF(orders[[#This Row],[Customer Gender]] = "F", "Female", IF(orders[[#This Row],[Customer Gender]] = "O", "Other",  "Unkown")))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IF(orders[[#This Row],[Customer Gender]] = "M", "Male", IF(orders[[#This Row],[Customer Gender]] = "F", "Female", IF(orders[[#This Row],[Customer Gender]] = "O", "Other",  "Unkown")))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IF(orders[[#This Row],[Customer Gender]] = "M", "Male", IF(orders[[#This Row],[Customer Gender]] = "F", "Female", IF(orders[[#This Row],[Customer Gender]] = "O", "Other",  "Unkown")))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IF(orders[[#This Row],[Customer Gender]] = "M", "Male", IF(orders[[#This Row],[Customer Gender]] = "F", "Female", IF(orders[[#This Row],[Customer Gender]] = "O", "Other",  "Unkown")))</f>
        <v>Female</v>
      </c>
    </row>
    <row r="1928" spans="1:15" hidden="1"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IF(orders[[#This Row],[Customer Gender]] = "M", "Male", IF(orders[[#This Row],[Customer Gender]] = "F", "Female", IF(orders[[#This Row],[Customer Gender]] = "O", "Other",  "Unkown")))</f>
        <v>Unkown</v>
      </c>
    </row>
    <row r="1929" spans="1:15" hidden="1"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IF(orders[[#This Row],[Customer Gender]] = "M", "Male", IF(orders[[#This Row],[Customer Gender]] = "F", "Female", IF(orders[[#This Row],[Customer Gender]] = "O", "Other",  "Unkown")))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IF(orders[[#This Row],[Customer Gender]] = "M", "Male", IF(orders[[#This Row],[Customer Gender]] = "F", "Female", IF(orders[[#This Row],[Customer Gender]] = "O", "Other",  "Unkown")))</f>
        <v>Female</v>
      </c>
    </row>
    <row r="1931" spans="1:15" hidden="1"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IF(orders[[#This Row],[Customer Gender]] = "M", "Male", IF(orders[[#This Row],[Customer Gender]] = "F", "Female", IF(orders[[#This Row],[Customer Gender]] = "O", "Other",  "Unkown")))</f>
        <v>Male</v>
      </c>
    </row>
    <row r="1932" spans="1:15" hidden="1"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IF(orders[[#This Row],[Customer Gender]] = "M", "Male", IF(orders[[#This Row],[Customer Gender]] = "F", "Female", IF(orders[[#This Row],[Customer Gender]] = "O", "Other",  "Unkown")))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IF(orders[[#This Row],[Customer Gender]] = "M", "Male", IF(orders[[#This Row],[Customer Gender]] = "F", "Female", IF(orders[[#This Row],[Customer Gender]] = "O", "Other",  "Unkown")))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IF(orders[[#This Row],[Customer Gender]] = "M", "Male", IF(orders[[#This Row],[Customer Gender]] = "F", "Female", IF(orders[[#This Row],[Customer Gender]] = "O", "Other",  "Unkown")))</f>
        <v>Female</v>
      </c>
    </row>
    <row r="1935" spans="1:15" hidden="1"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IF(orders[[#This Row],[Customer Gender]] = "M", "Male", IF(orders[[#This Row],[Customer Gender]] = "F", "Female", IF(orders[[#This Row],[Customer Gender]] = "O", "Other",  "Unkown")))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IF(orders[[#This Row],[Customer Gender]] = "M", "Male", IF(orders[[#This Row],[Customer Gender]] = "F", "Female", IF(orders[[#This Row],[Customer Gender]] = "O", "Other",  "Unkown")))</f>
        <v>Female</v>
      </c>
    </row>
    <row r="1937" spans="1:15" hidden="1"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IF(orders[[#This Row],[Customer Gender]] = "M", "Male", IF(orders[[#This Row],[Customer Gender]] = "F", "Female", IF(orders[[#This Row],[Customer Gender]] = "O", "Other",  "Unkown")))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IF(orders[[#This Row],[Customer Gender]] = "M", "Male", IF(orders[[#This Row],[Customer Gender]] = "F", "Female", IF(orders[[#This Row],[Customer Gender]] = "O", "Other",  "Unkown")))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IF(orders[[#This Row],[Customer Gender]] = "M", "Male", IF(orders[[#This Row],[Customer Gender]] = "F", "Female", IF(orders[[#This Row],[Customer Gender]] = "O", "Other",  "Unkown")))</f>
        <v>Female</v>
      </c>
    </row>
    <row r="1940" spans="1:15" hidden="1"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IF(orders[[#This Row],[Customer Gender]] = "M", "Male", IF(orders[[#This Row],[Customer Gender]] = "F", "Female", IF(orders[[#This Row],[Customer Gender]] = "O", "Other",  "Unkown")))</f>
        <v>Male</v>
      </c>
    </row>
    <row r="1941" spans="1:15" hidden="1"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IF(orders[[#This Row],[Customer Gender]] = "M", "Male", IF(orders[[#This Row],[Customer Gender]] = "F", "Female", IF(orders[[#This Row],[Customer Gender]] = "O", "Other",  "Unkown")))</f>
        <v>Male</v>
      </c>
    </row>
    <row r="1942" spans="1:15" hidden="1"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IF(orders[[#This Row],[Customer Gender]] = "M", "Male", IF(orders[[#This Row],[Customer Gender]] = "F", "Female", IF(orders[[#This Row],[Customer Gender]] = "O", "Other",  "Unkown")))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IF(orders[[#This Row],[Customer Gender]] = "M", "Male", IF(orders[[#This Row],[Customer Gender]] = "F", "Female", IF(orders[[#This Row],[Customer Gender]] = "O", "Other",  "Unkown")))</f>
        <v>Female</v>
      </c>
    </row>
    <row r="1944" spans="1:15" hidden="1"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IF(orders[[#This Row],[Customer Gender]] = "M", "Male", IF(orders[[#This Row],[Customer Gender]] = "F", "Female", IF(orders[[#This Row],[Customer Gender]] = "O", "Other",  "Unkown")))</f>
        <v>Male</v>
      </c>
    </row>
    <row r="1945" spans="1:15" hidden="1"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IF(orders[[#This Row],[Customer Gender]] = "M", "Male", IF(orders[[#This Row],[Customer Gender]] = "F", "Female", IF(orders[[#This Row],[Customer Gender]] = "O", "Other",  "Unkown")))</f>
        <v>Male</v>
      </c>
    </row>
    <row r="1946" spans="1:15" hidden="1"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IF(orders[[#This Row],[Customer Gender]] = "M", "Male", IF(orders[[#This Row],[Customer Gender]] = "F", "Female", IF(orders[[#This Row],[Customer Gender]] = "O", "Other",  "Unkown")))</f>
        <v>Male</v>
      </c>
    </row>
    <row r="1947" spans="1:15" hidden="1"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IF(orders[[#This Row],[Customer Gender]] = "M", "Male", IF(orders[[#This Row],[Customer Gender]] = "F", "Female", IF(orders[[#This Row],[Customer Gender]] = "O", "Other",  "Unkown")))</f>
        <v>Male</v>
      </c>
    </row>
    <row r="1948" spans="1:15" hidden="1"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IF(orders[[#This Row],[Customer Gender]] = "M", "Male", IF(orders[[#This Row],[Customer Gender]] = "F", "Female", IF(orders[[#This Row],[Customer Gender]] = "O", "Other",  "Unkown")))</f>
        <v>Unkown</v>
      </c>
    </row>
    <row r="1949" spans="1:15" hidden="1"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IF(orders[[#This Row],[Customer Gender]] = "M", "Male", IF(orders[[#This Row],[Customer Gender]] = "F", "Female", IF(orders[[#This Row],[Customer Gender]] = "O", "Other",  "Unkown")))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IF(orders[[#This Row],[Customer Gender]] = "M", "Male", IF(orders[[#This Row],[Customer Gender]] = "F", "Female", IF(orders[[#This Row],[Customer Gender]] = "O", "Other",  "Unkown")))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IF(orders[[#This Row],[Customer Gender]] = "M", "Male", IF(orders[[#This Row],[Customer Gender]] = "F", "Female", IF(orders[[#This Row],[Customer Gender]] = "O", "Other",  "Unkown")))</f>
        <v>Female</v>
      </c>
    </row>
    <row r="1952" spans="1:15" hidden="1"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IF(orders[[#This Row],[Customer Gender]] = "M", "Male", IF(orders[[#This Row],[Customer Gender]] = "F", "Female", IF(orders[[#This Row],[Customer Gender]] = "O", "Other",  "Unkown")))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IF(orders[[#This Row],[Customer Gender]] = "M", "Male", IF(orders[[#This Row],[Customer Gender]] = "F", "Female", IF(orders[[#This Row],[Customer Gender]] = "O", "Other",  "Unkown")))</f>
        <v>Female</v>
      </c>
    </row>
    <row r="1954" spans="1:15" hidden="1"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IF(orders[[#This Row],[Customer Gender]] = "M", "Male", IF(orders[[#This Row],[Customer Gender]] = "F", "Female", IF(orders[[#This Row],[Customer Gender]] = "O", "Other",  "Unkown")))</f>
        <v>Male</v>
      </c>
    </row>
    <row r="1955" spans="1:15" hidden="1"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IF(orders[[#This Row],[Customer Gender]] = "M", "Male", IF(orders[[#This Row],[Customer Gender]] = "F", "Female", IF(orders[[#This Row],[Customer Gender]] = "O", "Other",  "Unkown")))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IF(orders[[#This Row],[Customer Gender]] = "M", "Male", IF(orders[[#This Row],[Customer Gender]] = "F", "Female", IF(orders[[#This Row],[Customer Gender]] = "O", "Other",  "Unkown")))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IF(orders[[#This Row],[Customer Gender]] = "M", "Male", IF(orders[[#This Row],[Customer Gender]] = "F", "Female", IF(orders[[#This Row],[Customer Gender]] = "O", "Other",  "Unkown")))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IF(orders[[#This Row],[Customer Gender]] = "M", "Male", IF(orders[[#This Row],[Customer Gender]] = "F", "Female", IF(orders[[#This Row],[Customer Gender]] = "O", "Other",  "Unkown")))</f>
        <v>Female</v>
      </c>
    </row>
    <row r="1959" spans="1:15" hidden="1"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IF(orders[[#This Row],[Customer Gender]] = "M", "Male", IF(orders[[#This Row],[Customer Gender]] = "F", "Female", IF(orders[[#This Row],[Customer Gender]] = "O", "Other",  "Unkown")))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IF(orders[[#This Row],[Customer Gender]] = "M", "Male", IF(orders[[#This Row],[Customer Gender]] = "F", "Female", IF(orders[[#This Row],[Customer Gender]] = "O", "Other",  "Unkown")))</f>
        <v>Female</v>
      </c>
    </row>
    <row r="1961" spans="1:15" hidden="1"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IF(orders[[#This Row],[Customer Gender]] = "M", "Male", IF(orders[[#This Row],[Customer Gender]] = "F", "Female", IF(orders[[#This Row],[Customer Gender]] = "O", "Other",  "Unkown")))</f>
        <v>Male</v>
      </c>
    </row>
    <row r="1962" spans="1:15" hidden="1"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IF(orders[[#This Row],[Customer Gender]] = "M", "Male", IF(orders[[#This Row],[Customer Gender]] = "F", "Female", IF(orders[[#This Row],[Customer Gender]] = "O", "Other",  "Unkown")))</f>
        <v>Male</v>
      </c>
    </row>
    <row r="1963" spans="1:15" hidden="1"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IF(orders[[#This Row],[Customer Gender]] = "M", "Male", IF(orders[[#This Row],[Customer Gender]] = "F", "Female", IF(orders[[#This Row],[Customer Gender]] = "O", "Other",  "Unkown")))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IF(orders[[#This Row],[Customer Gender]] = "M", "Male", IF(orders[[#This Row],[Customer Gender]] = "F", "Female", IF(orders[[#This Row],[Customer Gender]] = "O", "Other",  "Unkown")))</f>
        <v>Female</v>
      </c>
    </row>
    <row r="1965" spans="1:15" hidden="1"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IF(orders[[#This Row],[Customer Gender]] = "M", "Male", IF(orders[[#This Row],[Customer Gender]] = "F", "Female", IF(orders[[#This Row],[Customer Gender]] = "O", "Other",  "Unkown")))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IF(orders[[#This Row],[Customer Gender]] = "M", "Male", IF(orders[[#This Row],[Customer Gender]] = "F", "Female", IF(orders[[#This Row],[Customer Gender]] = "O", "Other",  "Unkown")))</f>
        <v>Female</v>
      </c>
    </row>
    <row r="1967" spans="1:15" hidden="1"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IF(orders[[#This Row],[Customer Gender]] = "M", "Male", IF(orders[[#This Row],[Customer Gender]] = "F", "Female", IF(orders[[#This Row],[Customer Gender]] = "O", "Other",  "Unkown")))</f>
        <v>Male</v>
      </c>
    </row>
    <row r="1968" spans="1:15" hidden="1"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IF(orders[[#This Row],[Customer Gender]] = "M", "Male", IF(orders[[#This Row],[Customer Gender]] = "F", "Female", IF(orders[[#This Row],[Customer Gender]] = "O", "Other",  "Unkown")))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IF(orders[[#This Row],[Customer Gender]] = "M", "Male", IF(orders[[#This Row],[Customer Gender]] = "F", "Female", IF(orders[[#This Row],[Customer Gender]] = "O", "Other",  "Unkown")))</f>
        <v>Female</v>
      </c>
    </row>
    <row r="1970" spans="1:15" hidden="1"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IF(orders[[#This Row],[Customer Gender]] = "M", "Male", IF(orders[[#This Row],[Customer Gender]] = "F", "Female", IF(orders[[#This Row],[Customer Gender]] = "O", "Other",  "Unkown")))</f>
        <v>Other</v>
      </c>
    </row>
    <row r="1971" spans="1:15" hidden="1"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IF(orders[[#This Row],[Customer Gender]] = "M", "Male", IF(orders[[#This Row],[Customer Gender]] = "F", "Female", IF(orders[[#This Row],[Customer Gender]] = "O", "Other",  "Unkown")))</f>
        <v>Unkown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IF(orders[[#This Row],[Customer Gender]] = "M", "Male", IF(orders[[#This Row],[Customer Gender]] = "F", "Female", IF(orders[[#This Row],[Customer Gender]] = "O", "Other",  "Unkown")))</f>
        <v>Female</v>
      </c>
    </row>
    <row r="1973" spans="1:15" hidden="1"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IF(orders[[#This Row],[Customer Gender]] = "M", "Male", IF(orders[[#This Row],[Customer Gender]] = "F", "Female", IF(orders[[#This Row],[Customer Gender]] = "O", "Other",  "Unkown")))</f>
        <v>Male</v>
      </c>
    </row>
    <row r="1974" spans="1:15" hidden="1"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IF(orders[[#This Row],[Customer Gender]] = "M", "Male", IF(orders[[#This Row],[Customer Gender]] = "F", "Female", IF(orders[[#This Row],[Customer Gender]] = "O", "Other",  "Unkown")))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IF(orders[[#This Row],[Customer Gender]] = "M", "Male", IF(orders[[#This Row],[Customer Gender]] = "F", "Female", IF(orders[[#This Row],[Customer Gender]] = "O", "Other",  "Unkown")))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IF(orders[[#This Row],[Customer Gender]] = "M", "Male", IF(orders[[#This Row],[Customer Gender]] = "F", "Female", IF(orders[[#This Row],[Customer Gender]] = "O", "Other",  "Unkown")))</f>
        <v>Female</v>
      </c>
    </row>
    <row r="1977" spans="1:15" hidden="1"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IF(orders[[#This Row],[Customer Gender]] = "M", "Male", IF(orders[[#This Row],[Customer Gender]] = "F", "Female", IF(orders[[#This Row],[Customer Gender]] = "O", "Other",  "Unkown")))</f>
        <v>Male</v>
      </c>
    </row>
    <row r="1978" spans="1:15" hidden="1"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IF(orders[[#This Row],[Customer Gender]] = "M", "Male", IF(orders[[#This Row],[Customer Gender]] = "F", "Female", IF(orders[[#This Row],[Customer Gender]] = "O", "Other",  "Unkown")))</f>
        <v>Male</v>
      </c>
    </row>
    <row r="1979" spans="1:15" hidden="1"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IF(orders[[#This Row],[Customer Gender]] = "M", "Male", IF(orders[[#This Row],[Customer Gender]] = "F", "Female", IF(orders[[#This Row],[Customer Gender]] = "O", "Other",  "Unkown")))</f>
        <v>Other</v>
      </c>
    </row>
    <row r="1980" spans="1:15" hidden="1"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IF(orders[[#This Row],[Customer Gender]] = "M", "Male", IF(orders[[#This Row],[Customer Gender]] = "F", "Female", IF(orders[[#This Row],[Customer Gender]] = "O", "Other",  "Unkown")))</f>
        <v>Male</v>
      </c>
    </row>
    <row r="1981" spans="1:15" hidden="1"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IF(orders[[#This Row],[Customer Gender]] = "M", "Male", IF(orders[[#This Row],[Customer Gender]] = "F", "Female", IF(orders[[#This Row],[Customer Gender]] = "O", "Other",  "Unkown")))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IF(orders[[#This Row],[Customer Gender]] = "M", "Male", IF(orders[[#This Row],[Customer Gender]] = "F", "Female", IF(orders[[#This Row],[Customer Gender]] = "O", "Other",  "Unkown")))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IF(orders[[#This Row],[Customer Gender]] = "M", "Male", IF(orders[[#This Row],[Customer Gender]] = "F", "Female", IF(orders[[#This Row],[Customer Gender]] = "O", "Other",  "Unkown")))</f>
        <v>Female</v>
      </c>
    </row>
    <row r="1984" spans="1:15" hidden="1"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IF(orders[[#This Row],[Customer Gender]] = "M", "Male", IF(orders[[#This Row],[Customer Gender]] = "F", "Female", IF(orders[[#This Row],[Customer Gender]] = "O", "Other",  "Unkown")))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IF(orders[[#This Row],[Customer Gender]] = "M", "Male", IF(orders[[#This Row],[Customer Gender]] = "F", "Female", IF(orders[[#This Row],[Customer Gender]] = "O", "Other",  "Unkown")))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IF(orders[[#This Row],[Customer Gender]] = "M", "Male", IF(orders[[#This Row],[Customer Gender]] = "F", "Female", IF(orders[[#This Row],[Customer Gender]] = "O", "Other",  "Unkown")))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IF(orders[[#This Row],[Customer Gender]] = "M", "Male", IF(orders[[#This Row],[Customer Gender]] = "F", "Female", IF(orders[[#This Row],[Customer Gender]] = "O", "Other",  "Unkown")))</f>
        <v>Female</v>
      </c>
    </row>
    <row r="1988" spans="1:15" hidden="1"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IF(orders[[#This Row],[Customer Gender]] = "M", "Male", IF(orders[[#This Row],[Customer Gender]] = "F", "Female", IF(orders[[#This Row],[Customer Gender]] = "O", "Other",  "Unkown")))</f>
        <v>Male</v>
      </c>
    </row>
    <row r="1989" spans="1:15" hidden="1"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IF(orders[[#This Row],[Customer Gender]] = "M", "Male", IF(orders[[#This Row],[Customer Gender]] = "F", "Female", IF(orders[[#This Row],[Customer Gender]] = "O", "Other",  "Unkown")))</f>
        <v>Unkown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IF(orders[[#This Row],[Customer Gender]] = "M", "Male", IF(orders[[#This Row],[Customer Gender]] = "F", "Female", IF(orders[[#This Row],[Customer Gender]] = "O", "Other",  "Unkown")))</f>
        <v>Female</v>
      </c>
    </row>
    <row r="1991" spans="1:15" hidden="1"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IF(orders[[#This Row],[Customer Gender]] = "M", "Male", IF(orders[[#This Row],[Customer Gender]] = "F", "Female", IF(orders[[#This Row],[Customer Gender]] = "O", "Other",  "Unkown")))</f>
        <v>Unkown</v>
      </c>
    </row>
    <row r="1992" spans="1:15" hidden="1"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IF(orders[[#This Row],[Customer Gender]] = "M", "Male", IF(orders[[#This Row],[Customer Gender]] = "F", "Female", IF(orders[[#This Row],[Customer Gender]] = "O", "Other",  "Unkown")))</f>
        <v>Unkown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IF(orders[[#This Row],[Customer Gender]] = "M", "Male", IF(orders[[#This Row],[Customer Gender]] = "F", "Female", IF(orders[[#This Row],[Customer Gender]] = "O", "Other",  "Unkown")))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IF(orders[[#This Row],[Customer Gender]] = "M", "Male", IF(orders[[#This Row],[Customer Gender]] = "F", "Female", IF(orders[[#This Row],[Customer Gender]] = "O", "Other",  "Unkown")))</f>
        <v>Female</v>
      </c>
    </row>
    <row r="1995" spans="1:15" hidden="1"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IF(orders[[#This Row],[Customer Gender]] = "M", "Male", IF(orders[[#This Row],[Customer Gender]] = "F", "Female", IF(orders[[#This Row],[Customer Gender]] = "O", "Other",  "Unkown")))</f>
        <v>Male</v>
      </c>
    </row>
    <row r="1996" spans="1:15" hidden="1"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IF(orders[[#This Row],[Customer Gender]] = "M", "Male", IF(orders[[#This Row],[Customer Gender]] = "F", "Female", IF(orders[[#This Row],[Customer Gender]] = "O", "Other",  "Unkown")))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IF(orders[[#This Row],[Customer Gender]] = "M", "Male", IF(orders[[#This Row],[Customer Gender]] = "F", "Female", IF(orders[[#This Row],[Customer Gender]] = "O", "Other",  "Unkown")))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IF(orders[[#This Row],[Customer Gender]] = "M", "Male", IF(orders[[#This Row],[Customer Gender]] = "F", "Female", IF(orders[[#This Row],[Customer Gender]] = "O", "Other",  "Unkown")))</f>
        <v>Female</v>
      </c>
    </row>
    <row r="1999" spans="1:15" hidden="1"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IF(orders[[#This Row],[Customer Gender]] = "M", "Male", IF(orders[[#This Row],[Customer Gender]] = "F", "Female", IF(orders[[#This Row],[Customer Gender]] = "O", "Other",  "Unkown")))</f>
        <v>Male</v>
      </c>
    </row>
    <row r="2000" spans="1:15" hidden="1"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IF(orders[[#This Row],[Customer Gender]] = "M", "Male", IF(orders[[#This Row],[Customer Gender]] = "F", "Female", IF(orders[[#This Row],[Customer Gender]] = "O", "Other",  "Unkown")))</f>
        <v>Male</v>
      </c>
    </row>
    <row r="2001" spans="1:15" hidden="1"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IF(orders[[#This Row],[Customer Gender]] = "M", "Male", IF(orders[[#This Row],[Customer Gender]] = "F", "Female", IF(orders[[#This Row],[Customer Gender]] = "O", "Other",  "Unkown")))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IF(orders[[#This Row],[Customer Gender]] = "M", "Male", IF(orders[[#This Row],[Customer Gender]] = "F", "Female", IF(orders[[#This Row],[Customer Gender]] = "O", "Other",  "Unkown")))</f>
        <v>Female</v>
      </c>
    </row>
    <row r="2003" spans="1:15" hidden="1"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IF(orders[[#This Row],[Customer Gender]] = "M", "Male", IF(orders[[#This Row],[Customer Gender]] = "F", "Female", IF(orders[[#This Row],[Customer Gender]] = "O", "Other",  "Unkown")))</f>
        <v>Male</v>
      </c>
    </row>
    <row r="2004" spans="1:15" hidden="1"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IF(orders[[#This Row],[Customer Gender]] = "M", "Male", IF(orders[[#This Row],[Customer Gender]] = "F", "Female", IF(orders[[#This Row],[Customer Gender]] = "O", "Other",  "Unkown")))</f>
        <v>Other</v>
      </c>
    </row>
    <row r="2005" spans="1:15" hidden="1"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IF(orders[[#This Row],[Customer Gender]] = "M", "Male", IF(orders[[#This Row],[Customer Gender]] = "F", "Female", IF(orders[[#This Row],[Customer Gender]] = "O", "Other",  "Unkown")))</f>
        <v>Unkown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IF(orders[[#This Row],[Customer Gender]] = "M", "Male", IF(orders[[#This Row],[Customer Gender]] = "F", "Female", IF(orders[[#This Row],[Customer Gender]] = "O", "Other",  "Unkown")))</f>
        <v>Female</v>
      </c>
    </row>
    <row r="2007" spans="1:15" hidden="1"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IF(orders[[#This Row],[Customer Gender]] = "M", "Male", IF(orders[[#This Row],[Customer Gender]] = "F", "Female", IF(orders[[#This Row],[Customer Gender]] = "O", "Other",  "Unkown")))</f>
        <v>Unkown</v>
      </c>
    </row>
    <row r="2008" spans="1:15" hidden="1"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IF(orders[[#This Row],[Customer Gender]] = "M", "Male", IF(orders[[#This Row],[Customer Gender]] = "F", "Female", IF(orders[[#This Row],[Customer Gender]] = "O", "Other",  "Unkown")))</f>
        <v>Male</v>
      </c>
    </row>
    <row r="2009" spans="1:15" hidden="1"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IF(orders[[#This Row],[Customer Gender]] = "M", "Male", IF(orders[[#This Row],[Customer Gender]] = "F", "Female", IF(orders[[#This Row],[Customer Gender]] = "O", "Other",  "Unkown")))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IF(orders[[#This Row],[Customer Gender]] = "M", "Male", IF(orders[[#This Row],[Customer Gender]] = "F", "Female", IF(orders[[#This Row],[Customer Gender]] = "O", "Other",  "Unkown")))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IF(orders[[#This Row],[Customer Gender]] = "M", "Male", IF(orders[[#This Row],[Customer Gender]] = "F", "Female", IF(orders[[#This Row],[Customer Gender]] = "O", "Other",  "Unkown")))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IF(orders[[#This Row],[Customer Gender]] = "M", "Male", IF(orders[[#This Row],[Customer Gender]] = "F", "Female", IF(orders[[#This Row],[Customer Gender]] = "O", "Other",  "Unkown")))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IF(orders[[#This Row],[Customer Gender]] = "M", "Male", IF(orders[[#This Row],[Customer Gender]] = "F", "Female", IF(orders[[#This Row],[Customer Gender]] = "O", "Other",  "Unkown")))</f>
        <v>Female</v>
      </c>
    </row>
    <row r="2014" spans="1:15" hidden="1"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IF(orders[[#This Row],[Customer Gender]] = "M", "Male", IF(orders[[#This Row],[Customer Gender]] = "F", "Female", IF(orders[[#This Row],[Customer Gender]] = "O", "Other",  "Unkown")))</f>
        <v>Male</v>
      </c>
    </row>
    <row r="2015" spans="1:15" hidden="1"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IF(orders[[#This Row],[Customer Gender]] = "M", "Male", IF(orders[[#This Row],[Customer Gender]] = "F", "Female", IF(orders[[#This Row],[Customer Gender]] = "O", "Other",  "Unkown")))</f>
        <v>Unkown</v>
      </c>
    </row>
    <row r="2016" spans="1:15" hidden="1"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IF(orders[[#This Row],[Customer Gender]] = "M", "Male", IF(orders[[#This Row],[Customer Gender]] = "F", "Female", IF(orders[[#This Row],[Customer Gender]] = "O", "Other",  "Unkown")))</f>
        <v>Male</v>
      </c>
    </row>
    <row r="2017" spans="1:15" hidden="1"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IF(orders[[#This Row],[Customer Gender]] = "M", "Male", IF(orders[[#This Row],[Customer Gender]] = "F", "Female", IF(orders[[#This Row],[Customer Gender]] = "O", "Other",  "Unkown")))</f>
        <v>Unkown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IF(orders[[#This Row],[Customer Gender]] = "M", "Male", IF(orders[[#This Row],[Customer Gender]] = "F", "Female", IF(orders[[#This Row],[Customer Gender]] = "O", "Other",  "Unkown")))</f>
        <v>Female</v>
      </c>
    </row>
    <row r="2019" spans="1:15" hidden="1"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IF(orders[[#This Row],[Customer Gender]] = "M", "Male", IF(orders[[#This Row],[Customer Gender]] = "F", "Female", IF(orders[[#This Row],[Customer Gender]] = "O", "Other",  "Unkown")))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IF(orders[[#This Row],[Customer Gender]] = "M", "Male", IF(orders[[#This Row],[Customer Gender]] = "F", "Female", IF(orders[[#This Row],[Customer Gender]] = "O", "Other",  "Unkown")))</f>
        <v>Female</v>
      </c>
    </row>
    <row r="2021" spans="1:15" hidden="1"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IF(orders[[#This Row],[Customer Gender]] = "M", "Male", IF(orders[[#This Row],[Customer Gender]] = "F", "Female", IF(orders[[#This Row],[Customer Gender]] = "O", "Other",  "Unkown")))</f>
        <v>Unkown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IF(orders[[#This Row],[Customer Gender]] = "M", "Male", IF(orders[[#This Row],[Customer Gender]] = "F", "Female", IF(orders[[#This Row],[Customer Gender]] = "O", "Other",  "Unkown")))</f>
        <v>Female</v>
      </c>
    </row>
    <row r="2023" spans="1:15" hidden="1"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IF(orders[[#This Row],[Customer Gender]] = "M", "Male", IF(orders[[#This Row],[Customer Gender]] = "F", "Female", IF(orders[[#This Row],[Customer Gender]] = "O", "Other",  "Unkown")))</f>
        <v>Male</v>
      </c>
    </row>
    <row r="2024" spans="1:15" hidden="1"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IF(orders[[#This Row],[Customer Gender]] = "M", "Male", IF(orders[[#This Row],[Customer Gender]] = "F", "Female", IF(orders[[#This Row],[Customer Gender]] = "O", "Other",  "Unkown")))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IF(orders[[#This Row],[Customer Gender]] = "M", "Male", IF(orders[[#This Row],[Customer Gender]] = "F", "Female", IF(orders[[#This Row],[Customer Gender]] = "O", "Other",  "Unkown")))</f>
        <v>Female</v>
      </c>
    </row>
    <row r="2026" spans="1:15" hidden="1"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IF(orders[[#This Row],[Customer Gender]] = "M", "Male", IF(orders[[#This Row],[Customer Gender]] = "F", "Female", IF(orders[[#This Row],[Customer Gender]] = "O", "Other",  "Unkown")))</f>
        <v>Male</v>
      </c>
    </row>
    <row r="2027" spans="1:15" hidden="1"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IF(orders[[#This Row],[Customer Gender]] = "M", "Male", IF(orders[[#This Row],[Customer Gender]] = "F", "Female", IF(orders[[#This Row],[Customer Gender]] = "O", "Other",  "Unkown")))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IF(orders[[#This Row],[Customer Gender]] = "M", "Male", IF(orders[[#This Row],[Customer Gender]] = "F", "Female", IF(orders[[#This Row],[Customer Gender]] = "O", "Other",  "Unkown")))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IF(orders[[#This Row],[Customer Gender]] = "M", "Male", IF(orders[[#This Row],[Customer Gender]] = "F", "Female", IF(orders[[#This Row],[Customer Gender]] = "O", "Other",  "Unkown")))</f>
        <v>Female</v>
      </c>
    </row>
    <row r="2030" spans="1:15" hidden="1"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IF(orders[[#This Row],[Customer Gender]] = "M", "Male", IF(orders[[#This Row],[Customer Gender]] = "F", "Female", IF(orders[[#This Row],[Customer Gender]] = "O", "Other",  "Unkown")))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IF(orders[[#This Row],[Customer Gender]] = "M", "Male", IF(orders[[#This Row],[Customer Gender]] = "F", "Female", IF(orders[[#This Row],[Customer Gender]] = "O", "Other",  "Unkown")))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IF(orders[[#This Row],[Customer Gender]] = "M", "Male", IF(orders[[#This Row],[Customer Gender]] = "F", "Female", IF(orders[[#This Row],[Customer Gender]] = "O", "Other",  "Unkown")))</f>
        <v>Female</v>
      </c>
    </row>
    <row r="2033" spans="1:15" hidden="1"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IF(orders[[#This Row],[Customer Gender]] = "M", "Male", IF(orders[[#This Row],[Customer Gender]] = "F", "Female", IF(orders[[#This Row],[Customer Gender]] = "O", "Other",  "Unkown")))</f>
        <v>Male</v>
      </c>
    </row>
    <row r="2034" spans="1:15" hidden="1"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IF(orders[[#This Row],[Customer Gender]] = "M", "Male", IF(orders[[#This Row],[Customer Gender]] = "F", "Female", IF(orders[[#This Row],[Customer Gender]] = "O", "Other",  "Unkown")))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IF(orders[[#This Row],[Customer Gender]] = "M", "Male", IF(orders[[#This Row],[Customer Gender]] = "F", "Female", IF(orders[[#This Row],[Customer Gender]] = "O", "Other",  "Unkown")))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IF(orders[[#This Row],[Customer Gender]] = "M", "Male", IF(orders[[#This Row],[Customer Gender]] = "F", "Female", IF(orders[[#This Row],[Customer Gender]] = "O", "Other",  "Unkown")))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IF(orders[[#This Row],[Customer Gender]] = "M", "Male", IF(orders[[#This Row],[Customer Gender]] = "F", "Female", IF(orders[[#This Row],[Customer Gender]] = "O", "Other",  "Unkown")))</f>
        <v>Female</v>
      </c>
    </row>
    <row r="2038" spans="1:15" hidden="1"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IF(orders[[#This Row],[Customer Gender]] = "M", "Male", IF(orders[[#This Row],[Customer Gender]] = "F", "Female", IF(orders[[#This Row],[Customer Gender]] = "O", "Other",  "Unkown")))</f>
        <v>Male</v>
      </c>
    </row>
    <row r="2039" spans="1:15" hidden="1"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IF(orders[[#This Row],[Customer Gender]] = "M", "Male", IF(orders[[#This Row],[Customer Gender]] = "F", "Female", IF(orders[[#This Row],[Customer Gender]] = "O", "Other",  "Unkown")))</f>
        <v>Male</v>
      </c>
    </row>
    <row r="2040" spans="1:15" hidden="1"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IF(orders[[#This Row],[Customer Gender]] = "M", "Male", IF(orders[[#This Row],[Customer Gender]] = "F", "Female", IF(orders[[#This Row],[Customer Gender]] = "O", "Other",  "Unkown")))</f>
        <v>Male</v>
      </c>
    </row>
    <row r="2041" spans="1:15" hidden="1"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IF(orders[[#This Row],[Customer Gender]] = "M", "Male", IF(orders[[#This Row],[Customer Gender]] = "F", "Female", IF(orders[[#This Row],[Customer Gender]] = "O", "Other",  "Unkown")))</f>
        <v>Male</v>
      </c>
    </row>
    <row r="2042" spans="1:15" hidden="1"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IF(orders[[#This Row],[Customer Gender]] = "M", "Male", IF(orders[[#This Row],[Customer Gender]] = "F", "Female", IF(orders[[#This Row],[Customer Gender]] = "O", "Other",  "Unkown")))</f>
        <v>Male</v>
      </c>
    </row>
    <row r="2043" spans="1:15" hidden="1"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IF(orders[[#This Row],[Customer Gender]] = "M", "Male", IF(orders[[#This Row],[Customer Gender]] = "F", "Female", IF(orders[[#This Row],[Customer Gender]] = "O", "Other",  "Unkown")))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IF(orders[[#This Row],[Customer Gender]] = "M", "Male", IF(orders[[#This Row],[Customer Gender]] = "F", "Female", IF(orders[[#This Row],[Customer Gender]] = "O", "Other",  "Unkown")))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IF(orders[[#This Row],[Customer Gender]] = "M", "Male", IF(orders[[#This Row],[Customer Gender]] = "F", "Female", IF(orders[[#This Row],[Customer Gender]] = "O", "Other",  "Unkown")))</f>
        <v>Female</v>
      </c>
    </row>
    <row r="2046" spans="1:15" hidden="1"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IF(orders[[#This Row],[Customer Gender]] = "M", "Male", IF(orders[[#This Row],[Customer Gender]] = "F", "Female", IF(orders[[#This Row],[Customer Gender]] = "O", "Other",  "Unkown")))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IF(orders[[#This Row],[Customer Gender]] = "M", "Male", IF(orders[[#This Row],[Customer Gender]] = "F", "Female", IF(orders[[#This Row],[Customer Gender]] = "O", "Other",  "Unkown")))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IF(orders[[#This Row],[Customer Gender]] = "M", "Male", IF(orders[[#This Row],[Customer Gender]] = "F", "Female", IF(orders[[#This Row],[Customer Gender]] = "O", "Other",  "Unkown")))</f>
        <v>Female</v>
      </c>
    </row>
    <row r="2049" spans="1:15" hidden="1"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IF(orders[[#This Row],[Customer Gender]] = "M", "Male", IF(orders[[#This Row],[Customer Gender]] = "F", "Female", IF(orders[[#This Row],[Customer Gender]] = "O", "Other",  "Unkown")))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IF(orders[[#This Row],[Customer Gender]] = "M", "Male", IF(orders[[#This Row],[Customer Gender]] = "F", "Female", IF(orders[[#This Row],[Customer Gender]] = "O", "Other",  "Unkown")))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IF(orders[[#This Row],[Customer Gender]] = "M", "Male", IF(orders[[#This Row],[Customer Gender]] = "F", "Female", IF(orders[[#This Row],[Customer Gender]] = "O", "Other",  "Unkown")))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IF(orders[[#This Row],[Customer Gender]] = "M", "Male", IF(orders[[#This Row],[Customer Gender]] = "F", "Female", IF(orders[[#This Row],[Customer Gender]] = "O", "Other",  "Unkown")))</f>
        <v>Female</v>
      </c>
    </row>
    <row r="2053" spans="1:15" hidden="1"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IF(orders[[#This Row],[Customer Gender]] = "M", "Male", IF(orders[[#This Row],[Customer Gender]] = "F", "Female", IF(orders[[#This Row],[Customer Gender]] = "O", "Other",  "Unkown")))</f>
        <v>Male</v>
      </c>
    </row>
    <row r="2054" spans="1:15" hidden="1"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IF(orders[[#This Row],[Customer Gender]] = "M", "Male", IF(orders[[#This Row],[Customer Gender]] = "F", "Female", IF(orders[[#This Row],[Customer Gender]] = "O", "Other",  "Unkown")))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IF(orders[[#This Row],[Customer Gender]] = "M", "Male", IF(orders[[#This Row],[Customer Gender]] = "F", "Female", IF(orders[[#This Row],[Customer Gender]] = "O", "Other",  "Unkown")))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IF(orders[[#This Row],[Customer Gender]] = "M", "Male", IF(orders[[#This Row],[Customer Gender]] = "F", "Female", IF(orders[[#This Row],[Customer Gender]] = "O", "Other",  "Unkown")))</f>
        <v>Female</v>
      </c>
    </row>
    <row r="2057" spans="1:15" hidden="1"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IF(orders[[#This Row],[Customer Gender]] = "M", "Male", IF(orders[[#This Row],[Customer Gender]] = "F", "Female", IF(orders[[#This Row],[Customer Gender]] = "O", "Other",  "Unkown")))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IF(orders[[#This Row],[Customer Gender]] = "M", "Male", IF(orders[[#This Row],[Customer Gender]] = "F", "Female", IF(orders[[#This Row],[Customer Gender]] = "O", "Other",  "Unkown")))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IF(orders[[#This Row],[Customer Gender]] = "M", "Male", IF(orders[[#This Row],[Customer Gender]] = "F", "Female", IF(orders[[#This Row],[Customer Gender]] = "O", "Other",  "Unkown")))</f>
        <v>Female</v>
      </c>
    </row>
    <row r="2060" spans="1:15" hidden="1"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IF(orders[[#This Row],[Customer Gender]] = "M", "Male", IF(orders[[#This Row],[Customer Gender]] = "F", "Female", IF(orders[[#This Row],[Customer Gender]] = "O", "Other",  "Unkown")))</f>
        <v>Male</v>
      </c>
    </row>
    <row r="2061" spans="1:15" hidden="1"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IF(orders[[#This Row],[Customer Gender]] = "M", "Male", IF(orders[[#This Row],[Customer Gender]] = "F", "Female", IF(orders[[#This Row],[Customer Gender]] = "O", "Other",  "Unkown")))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IF(orders[[#This Row],[Customer Gender]] = "M", "Male", IF(orders[[#This Row],[Customer Gender]] = "F", "Female", IF(orders[[#This Row],[Customer Gender]] = "O", "Other",  "Unkown")))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IF(orders[[#This Row],[Customer Gender]] = "M", "Male", IF(orders[[#This Row],[Customer Gender]] = "F", "Female", IF(orders[[#This Row],[Customer Gender]] = "O", "Other",  "Unkown")))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IF(orders[[#This Row],[Customer Gender]] = "M", "Male", IF(orders[[#This Row],[Customer Gender]] = "F", "Female", IF(orders[[#This Row],[Customer Gender]] = "O", "Other",  "Unkown")))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IF(orders[[#This Row],[Customer Gender]] = "M", "Male", IF(orders[[#This Row],[Customer Gender]] = "F", "Female", IF(orders[[#This Row],[Customer Gender]] = "O", "Other",  "Unkown")))</f>
        <v>Female</v>
      </c>
    </row>
    <row r="2066" spans="1:15" hidden="1"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IF(orders[[#This Row],[Customer Gender]] = "M", "Male", IF(orders[[#This Row],[Customer Gender]] = "F", "Female", IF(orders[[#This Row],[Customer Gender]] = "O", "Other",  "Unkown")))</f>
        <v>Male</v>
      </c>
    </row>
    <row r="2067" spans="1:15" hidden="1"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IF(orders[[#This Row],[Customer Gender]] = "M", "Male", IF(orders[[#This Row],[Customer Gender]] = "F", "Female", IF(orders[[#This Row],[Customer Gender]] = "O", "Other",  "Unkown")))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IF(orders[[#This Row],[Customer Gender]] = "M", "Male", IF(orders[[#This Row],[Customer Gender]] = "F", "Female", IF(orders[[#This Row],[Customer Gender]] = "O", "Other",  "Unkown")))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IF(orders[[#This Row],[Customer Gender]] = "M", "Male", IF(orders[[#This Row],[Customer Gender]] = "F", "Female", IF(orders[[#This Row],[Customer Gender]] = "O", "Other",  "Unkown")))</f>
        <v>Female</v>
      </c>
    </row>
    <row r="2070" spans="1:15" hidden="1"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IF(orders[[#This Row],[Customer Gender]] = "M", "Male", IF(orders[[#This Row],[Customer Gender]] = "F", "Female", IF(orders[[#This Row],[Customer Gender]] = "O", "Other",  "Unkown")))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IF(orders[[#This Row],[Customer Gender]] = "M", "Male", IF(orders[[#This Row],[Customer Gender]] = "F", "Female", IF(orders[[#This Row],[Customer Gender]] = "O", "Other",  "Unkown")))</f>
        <v>Female</v>
      </c>
    </row>
    <row r="2072" spans="1:15" hidden="1"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IF(orders[[#This Row],[Customer Gender]] = "M", "Male", IF(orders[[#This Row],[Customer Gender]] = "F", "Female", IF(orders[[#This Row],[Customer Gender]] = "O", "Other",  "Unkown")))</f>
        <v>Male</v>
      </c>
    </row>
    <row r="2073" spans="1:15" hidden="1"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IF(orders[[#This Row],[Customer Gender]] = "M", "Male", IF(orders[[#This Row],[Customer Gender]] = "F", "Female", IF(orders[[#This Row],[Customer Gender]] = "O", "Other",  "Unkown")))</f>
        <v>Male</v>
      </c>
    </row>
    <row r="2074" spans="1:15" hidden="1"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IF(orders[[#This Row],[Customer Gender]] = "M", "Male", IF(orders[[#This Row],[Customer Gender]] = "F", "Female", IF(orders[[#This Row],[Customer Gender]] = "O", "Other",  "Unkown")))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IF(orders[[#This Row],[Customer Gender]] = "M", "Male", IF(orders[[#This Row],[Customer Gender]] = "F", "Female", IF(orders[[#This Row],[Customer Gender]] = "O", "Other",  "Unkown")))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IF(orders[[#This Row],[Customer Gender]] = "M", "Male", IF(orders[[#This Row],[Customer Gender]] = "F", "Female", IF(orders[[#This Row],[Customer Gender]] = "O", "Other",  "Unkown")))</f>
        <v>Female</v>
      </c>
    </row>
    <row r="2077" spans="1:15" hidden="1"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IF(orders[[#This Row],[Customer Gender]] = "M", "Male", IF(orders[[#This Row],[Customer Gender]] = "F", "Female", IF(orders[[#This Row],[Customer Gender]] = "O", "Other",  "Unkown")))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IF(orders[[#This Row],[Customer Gender]] = "M", "Male", IF(orders[[#This Row],[Customer Gender]] = "F", "Female", IF(orders[[#This Row],[Customer Gender]] = "O", "Other",  "Unkown")))</f>
        <v>Female</v>
      </c>
    </row>
    <row r="2079" spans="1:15" hidden="1"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IF(orders[[#This Row],[Customer Gender]] = "M", "Male", IF(orders[[#This Row],[Customer Gender]] = "F", "Female", IF(orders[[#This Row],[Customer Gender]] = "O", "Other",  "Unkown")))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IF(orders[[#This Row],[Customer Gender]] = "M", "Male", IF(orders[[#This Row],[Customer Gender]] = "F", "Female", IF(orders[[#This Row],[Customer Gender]] = "O", "Other",  "Unkown")))</f>
        <v>Female</v>
      </c>
    </row>
    <row r="2081" spans="1:15" hidden="1"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IF(orders[[#This Row],[Customer Gender]] = "M", "Male", IF(orders[[#This Row],[Customer Gender]] = "F", "Female", IF(orders[[#This Row],[Customer Gender]] = "O", "Other",  "Unkown")))</f>
        <v>Male</v>
      </c>
    </row>
    <row r="2082" spans="1:15" hidden="1"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IF(orders[[#This Row],[Customer Gender]] = "M", "Male", IF(orders[[#This Row],[Customer Gender]] = "F", "Female", IF(orders[[#This Row],[Customer Gender]] = "O", "Other",  "Unkown")))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IF(orders[[#This Row],[Customer Gender]] = "M", "Male", IF(orders[[#This Row],[Customer Gender]] = "F", "Female", IF(orders[[#This Row],[Customer Gender]] = "O", "Other",  "Unkown")))</f>
        <v>Female</v>
      </c>
    </row>
    <row r="2084" spans="1:15" hidden="1"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IF(orders[[#This Row],[Customer Gender]] = "M", "Male", IF(orders[[#This Row],[Customer Gender]] = "F", "Female", IF(orders[[#This Row],[Customer Gender]] = "O", "Other",  "Unkown")))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IF(orders[[#This Row],[Customer Gender]] = "M", "Male", IF(orders[[#This Row],[Customer Gender]] = "F", "Female", IF(orders[[#This Row],[Customer Gender]] = "O", "Other",  "Unkown")))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IF(orders[[#This Row],[Customer Gender]] = "M", "Male", IF(orders[[#This Row],[Customer Gender]] = "F", "Female", IF(orders[[#This Row],[Customer Gender]] = "O", "Other",  "Unkown")))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IF(orders[[#This Row],[Customer Gender]] = "M", "Male", IF(orders[[#This Row],[Customer Gender]] = "F", "Female", IF(orders[[#This Row],[Customer Gender]] = "O", "Other",  "Unkown")))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IF(orders[[#This Row],[Customer Gender]] = "M", "Male", IF(orders[[#This Row],[Customer Gender]] = "F", "Female", IF(orders[[#This Row],[Customer Gender]] = "O", "Other",  "Unkown")))</f>
        <v>Female</v>
      </c>
    </row>
    <row r="2089" spans="1:15" hidden="1"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IF(orders[[#This Row],[Customer Gender]] = "M", "Male", IF(orders[[#This Row],[Customer Gender]] = "F", "Female", IF(orders[[#This Row],[Customer Gender]] = "O", "Other",  "Unkown")))</f>
        <v>Male</v>
      </c>
    </row>
    <row r="2090" spans="1:15" hidden="1"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IF(orders[[#This Row],[Customer Gender]] = "M", "Male", IF(orders[[#This Row],[Customer Gender]] = "F", "Female", IF(orders[[#This Row],[Customer Gender]] = "O", "Other",  "Unkown")))</f>
        <v>Male</v>
      </c>
    </row>
    <row r="2091" spans="1:15" hidden="1"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IF(orders[[#This Row],[Customer Gender]] = "M", "Male", IF(orders[[#This Row],[Customer Gender]] = "F", "Female", IF(orders[[#This Row],[Customer Gender]] = "O", "Other",  "Unkown")))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IF(orders[[#This Row],[Customer Gender]] = "M", "Male", IF(orders[[#This Row],[Customer Gender]] = "F", "Female", IF(orders[[#This Row],[Customer Gender]] = "O", "Other",  "Unkown")))</f>
        <v>Female</v>
      </c>
    </row>
    <row r="2093" spans="1:15" hidden="1"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IF(orders[[#This Row],[Customer Gender]] = "M", "Male", IF(orders[[#This Row],[Customer Gender]] = "F", "Female", IF(orders[[#This Row],[Customer Gender]] = "O", "Other",  "Unkown")))</f>
        <v>Male</v>
      </c>
    </row>
    <row r="2094" spans="1:15" hidden="1"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IF(orders[[#This Row],[Customer Gender]] = "M", "Male", IF(orders[[#This Row],[Customer Gender]] = "F", "Female", IF(orders[[#This Row],[Customer Gender]] = "O", "Other",  "Unkown")))</f>
        <v>Male</v>
      </c>
    </row>
    <row r="2095" spans="1:15" hidden="1"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IF(orders[[#This Row],[Customer Gender]] = "M", "Male", IF(orders[[#This Row],[Customer Gender]] = "F", "Female", IF(orders[[#This Row],[Customer Gender]] = "O", "Other",  "Unkown")))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IF(orders[[#This Row],[Customer Gender]] = "M", "Male", IF(orders[[#This Row],[Customer Gender]] = "F", "Female", IF(orders[[#This Row],[Customer Gender]] = "O", "Other",  "Unkown")))</f>
        <v>Female</v>
      </c>
    </row>
    <row r="2097" spans="1:15" hidden="1"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IF(orders[[#This Row],[Customer Gender]] = "M", "Male", IF(orders[[#This Row],[Customer Gender]] = "F", "Female", IF(orders[[#This Row],[Customer Gender]] = "O", "Other",  "Unkown")))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IF(orders[[#This Row],[Customer Gender]] = "M", "Male", IF(orders[[#This Row],[Customer Gender]] = "F", "Female", IF(orders[[#This Row],[Customer Gender]] = "O", "Other",  "Unkown")))</f>
        <v>Female</v>
      </c>
    </row>
    <row r="2099" spans="1:15" hidden="1"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IF(orders[[#This Row],[Customer Gender]] = "M", "Male", IF(orders[[#This Row],[Customer Gender]] = "F", "Female", IF(orders[[#This Row],[Customer Gender]] = "O", "Other",  "Unkown")))</f>
        <v>Male</v>
      </c>
    </row>
    <row r="2100" spans="1:15" hidden="1"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IF(orders[[#This Row],[Customer Gender]] = "M", "Male", IF(orders[[#This Row],[Customer Gender]] = "F", "Female", IF(orders[[#This Row],[Customer Gender]] = "O", "Other",  "Unkown")))</f>
        <v>Male</v>
      </c>
    </row>
    <row r="2101" spans="1:15" hidden="1"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IF(orders[[#This Row],[Customer Gender]] = "M", "Male", IF(orders[[#This Row],[Customer Gender]] = "F", "Female", IF(orders[[#This Row],[Customer Gender]] = "O", "Other",  "Unkown")))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IF(orders[[#This Row],[Customer Gender]] = "M", "Male", IF(orders[[#This Row],[Customer Gender]] = "F", "Female", IF(orders[[#This Row],[Customer Gender]] = "O", "Other",  "Unkown")))</f>
        <v>Female</v>
      </c>
    </row>
    <row r="2103" spans="1:15" hidden="1"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IF(orders[[#This Row],[Customer Gender]] = "M", "Male", IF(orders[[#This Row],[Customer Gender]] = "F", "Female", IF(orders[[#This Row],[Customer Gender]] = "O", "Other",  "Unkown")))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IF(orders[[#This Row],[Customer Gender]] = "M", "Male", IF(orders[[#This Row],[Customer Gender]] = "F", "Female", IF(orders[[#This Row],[Customer Gender]] = "O", "Other",  "Unkown")))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IF(orders[[#This Row],[Customer Gender]] = "M", "Male", IF(orders[[#This Row],[Customer Gender]] = "F", "Female", IF(orders[[#This Row],[Customer Gender]] = "O", "Other",  "Unkown")))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IF(orders[[#This Row],[Customer Gender]] = "M", "Male", IF(orders[[#This Row],[Customer Gender]] = "F", "Female", IF(orders[[#This Row],[Customer Gender]] = "O", "Other",  "Unkown")))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IF(orders[[#This Row],[Customer Gender]] = "M", "Male", IF(orders[[#This Row],[Customer Gender]] = "F", "Female", IF(orders[[#This Row],[Customer Gender]] = "O", "Other",  "Unkown")))</f>
        <v>Female</v>
      </c>
    </row>
    <row r="2108" spans="1:15" hidden="1"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IF(orders[[#This Row],[Customer Gender]] = "M", "Male", IF(orders[[#This Row],[Customer Gender]] = "F", "Female", IF(orders[[#This Row],[Customer Gender]] = "O", "Other",  "Unkown")))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IF(orders[[#This Row],[Customer Gender]] = "M", "Male", IF(orders[[#This Row],[Customer Gender]] = "F", "Female", IF(orders[[#This Row],[Customer Gender]] = "O", "Other",  "Unkown")))</f>
        <v>Female</v>
      </c>
    </row>
    <row r="2110" spans="1:15" hidden="1"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IF(orders[[#This Row],[Customer Gender]] = "M", "Male", IF(orders[[#This Row],[Customer Gender]] = "F", "Female", IF(orders[[#This Row],[Customer Gender]] = "O", "Other",  "Unkown")))</f>
        <v>Male</v>
      </c>
    </row>
    <row r="2111" spans="1:15" hidden="1"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IF(orders[[#This Row],[Customer Gender]] = "M", "Male", IF(orders[[#This Row],[Customer Gender]] = "F", "Female", IF(orders[[#This Row],[Customer Gender]] = "O", "Other",  "Unkown")))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IF(orders[[#This Row],[Customer Gender]] = "M", "Male", IF(orders[[#This Row],[Customer Gender]] = "F", "Female", IF(orders[[#This Row],[Customer Gender]] = "O", "Other",  "Unkown")))</f>
        <v>Female</v>
      </c>
    </row>
    <row r="2113" spans="1:15" hidden="1"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IF(orders[[#This Row],[Customer Gender]] = "M", "Male", IF(orders[[#This Row],[Customer Gender]] = "F", "Female", IF(orders[[#This Row],[Customer Gender]] = "O", "Other",  "Unkown")))</f>
        <v>Other</v>
      </c>
    </row>
    <row r="2114" spans="1:15" hidden="1"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IF(orders[[#This Row],[Customer Gender]] = "M", "Male", IF(orders[[#This Row],[Customer Gender]] = "F", "Female", IF(orders[[#This Row],[Customer Gender]] = "O", "Other",  "Unkown")))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IF(orders[[#This Row],[Customer Gender]] = "M", "Male", IF(orders[[#This Row],[Customer Gender]] = "F", "Female", IF(orders[[#This Row],[Customer Gender]] = "O", "Other",  "Unkown")))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IF(orders[[#This Row],[Customer Gender]] = "M", "Male", IF(orders[[#This Row],[Customer Gender]] = "F", "Female", IF(orders[[#This Row],[Customer Gender]] = "O", "Other",  "Unkown")))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IF(orders[[#This Row],[Customer Gender]] = "M", "Male", IF(orders[[#This Row],[Customer Gender]] = "F", "Female", IF(orders[[#This Row],[Customer Gender]] = "O", "Other",  "Unkown")))</f>
        <v>Female</v>
      </c>
    </row>
    <row r="2118" spans="1:15" hidden="1"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IF(orders[[#This Row],[Customer Gender]] = "M", "Male", IF(orders[[#This Row],[Customer Gender]] = "F", "Female", IF(orders[[#This Row],[Customer Gender]] = "O", "Other",  "Unkown")))</f>
        <v>Male</v>
      </c>
    </row>
    <row r="2119" spans="1:15" hidden="1"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IF(orders[[#This Row],[Customer Gender]] = "M", "Male", IF(orders[[#This Row],[Customer Gender]] = "F", "Female", IF(orders[[#This Row],[Customer Gender]] = "O", "Other",  "Unkown")))</f>
        <v>Male</v>
      </c>
    </row>
    <row r="2120" spans="1:15" hidden="1"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IF(orders[[#This Row],[Customer Gender]] = "M", "Male", IF(orders[[#This Row],[Customer Gender]] = "F", "Female", IF(orders[[#This Row],[Customer Gender]] = "O", "Other",  "Unkown")))</f>
        <v>Male</v>
      </c>
    </row>
    <row r="2121" spans="1:15" hidden="1"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IF(orders[[#This Row],[Customer Gender]] = "M", "Male", IF(orders[[#This Row],[Customer Gender]] = "F", "Female", IF(orders[[#This Row],[Customer Gender]] = "O", "Other",  "Unkown")))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IF(orders[[#This Row],[Customer Gender]] = "M", "Male", IF(orders[[#This Row],[Customer Gender]] = "F", "Female", IF(orders[[#This Row],[Customer Gender]] = "O", "Other",  "Unkown")))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IF(orders[[#This Row],[Customer Gender]] = "M", "Male", IF(orders[[#This Row],[Customer Gender]] = "F", "Female", IF(orders[[#This Row],[Customer Gender]] = "O", "Other",  "Unkown")))</f>
        <v>Female</v>
      </c>
    </row>
    <row r="2124" spans="1:15" hidden="1"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IF(orders[[#This Row],[Customer Gender]] = "M", "Male", IF(orders[[#This Row],[Customer Gender]] = "F", "Female", IF(orders[[#This Row],[Customer Gender]] = "O", "Other",  "Unkown")))</f>
        <v>Unkown</v>
      </c>
    </row>
    <row r="2125" spans="1:15" hidden="1"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IF(orders[[#This Row],[Customer Gender]] = "M", "Male", IF(orders[[#This Row],[Customer Gender]] = "F", "Female", IF(orders[[#This Row],[Customer Gender]] = "O", "Other",  "Unkown")))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IF(orders[[#This Row],[Customer Gender]] = "M", "Male", IF(orders[[#This Row],[Customer Gender]] = "F", "Female", IF(orders[[#This Row],[Customer Gender]] = "O", "Other",  "Unkown")))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IF(orders[[#This Row],[Customer Gender]] = "M", "Male", IF(orders[[#This Row],[Customer Gender]] = "F", "Female", IF(orders[[#This Row],[Customer Gender]] = "O", "Other",  "Unkown")))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IF(orders[[#This Row],[Customer Gender]] = "M", "Male", IF(orders[[#This Row],[Customer Gender]] = "F", "Female", IF(orders[[#This Row],[Customer Gender]] = "O", "Other",  "Unkown")))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IF(orders[[#This Row],[Customer Gender]] = "M", "Male", IF(orders[[#This Row],[Customer Gender]] = "F", "Female", IF(orders[[#This Row],[Customer Gender]] = "O", "Other",  "Unkown")))</f>
        <v>Female</v>
      </c>
    </row>
    <row r="2130" spans="1:15" hidden="1"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IF(orders[[#This Row],[Customer Gender]] = "M", "Male", IF(orders[[#This Row],[Customer Gender]] = "F", "Female", IF(orders[[#This Row],[Customer Gender]] = "O", "Other",  "Unkown")))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IF(orders[[#This Row],[Customer Gender]] = "M", "Male", IF(orders[[#This Row],[Customer Gender]] = "F", "Female", IF(orders[[#This Row],[Customer Gender]] = "O", "Other",  "Unkown")))</f>
        <v>Female</v>
      </c>
    </row>
    <row r="2132" spans="1:15" hidden="1"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IF(orders[[#This Row],[Customer Gender]] = "M", "Male", IF(orders[[#This Row],[Customer Gender]] = "F", "Female", IF(orders[[#This Row],[Customer Gender]] = "O", "Other",  "Unkown")))</f>
        <v>Unkown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IF(orders[[#This Row],[Customer Gender]] = "M", "Male", IF(orders[[#This Row],[Customer Gender]] = "F", "Female", IF(orders[[#This Row],[Customer Gender]] = "O", "Other",  "Unkown")))</f>
        <v>Female</v>
      </c>
    </row>
    <row r="2134" spans="1:15" hidden="1"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IF(orders[[#This Row],[Customer Gender]] = "M", "Male", IF(orders[[#This Row],[Customer Gender]] = "F", "Female", IF(orders[[#This Row],[Customer Gender]] = "O", "Other",  "Unkown")))</f>
        <v>Male</v>
      </c>
    </row>
    <row r="2135" spans="1:15" hidden="1"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IF(orders[[#This Row],[Customer Gender]] = "M", "Male", IF(orders[[#This Row],[Customer Gender]] = "F", "Female", IF(orders[[#This Row],[Customer Gender]] = "O", "Other",  "Unkown")))</f>
        <v>Male</v>
      </c>
    </row>
    <row r="2136" spans="1:15" hidden="1"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IF(orders[[#This Row],[Customer Gender]] = "M", "Male", IF(orders[[#This Row],[Customer Gender]] = "F", "Female", IF(orders[[#This Row],[Customer Gender]] = "O", "Other",  "Unkown")))</f>
        <v>Male</v>
      </c>
    </row>
    <row r="2137" spans="1:15" hidden="1"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IF(orders[[#This Row],[Customer Gender]] = "M", "Male", IF(orders[[#This Row],[Customer Gender]] = "F", "Female", IF(orders[[#This Row],[Customer Gender]] = "O", "Other",  "Unkown")))</f>
        <v>Male</v>
      </c>
    </row>
    <row r="2138" spans="1:15" hidden="1"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IF(orders[[#This Row],[Customer Gender]] = "M", "Male", IF(orders[[#This Row],[Customer Gender]] = "F", "Female", IF(orders[[#This Row],[Customer Gender]] = "O", "Other",  "Unkown")))</f>
        <v>Male</v>
      </c>
    </row>
    <row r="2139" spans="1:15" hidden="1"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IF(orders[[#This Row],[Customer Gender]] = "M", "Male", IF(orders[[#This Row],[Customer Gender]] = "F", "Female", IF(orders[[#This Row],[Customer Gender]] = "O", "Other",  "Unkown")))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IF(orders[[#This Row],[Customer Gender]] = "M", "Male", IF(orders[[#This Row],[Customer Gender]] = "F", "Female", IF(orders[[#This Row],[Customer Gender]] = "O", "Other",  "Unkown")))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IF(orders[[#This Row],[Customer Gender]] = "M", "Male", IF(orders[[#This Row],[Customer Gender]] = "F", "Female", IF(orders[[#This Row],[Customer Gender]] = "O", "Other",  "Unkown")))</f>
        <v>Female</v>
      </c>
    </row>
    <row r="2142" spans="1:15" hidden="1"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IF(orders[[#This Row],[Customer Gender]] = "M", "Male", IF(orders[[#This Row],[Customer Gender]] = "F", "Female", IF(orders[[#This Row],[Customer Gender]] = "O", "Other",  "Unkown")))</f>
        <v>Male</v>
      </c>
    </row>
    <row r="2143" spans="1:15" hidden="1"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IF(orders[[#This Row],[Customer Gender]] = "M", "Male", IF(orders[[#This Row],[Customer Gender]] = "F", "Female", IF(orders[[#This Row],[Customer Gender]] = "O", "Other",  "Unkown")))</f>
        <v>Male</v>
      </c>
    </row>
    <row r="2144" spans="1:15" hidden="1"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IF(orders[[#This Row],[Customer Gender]] = "M", "Male", IF(orders[[#This Row],[Customer Gender]] = "F", "Female", IF(orders[[#This Row],[Customer Gender]] = "O", "Other",  "Unkown")))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IF(orders[[#This Row],[Customer Gender]] = "M", "Male", IF(orders[[#This Row],[Customer Gender]] = "F", "Female", IF(orders[[#This Row],[Customer Gender]] = "O", "Other",  "Unkown")))</f>
        <v>Female</v>
      </c>
    </row>
    <row r="2146" spans="1:15" hidden="1"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IF(orders[[#This Row],[Customer Gender]] = "M", "Male", IF(orders[[#This Row],[Customer Gender]] = "F", "Female", IF(orders[[#This Row],[Customer Gender]] = "O", "Other",  "Unkown")))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IF(orders[[#This Row],[Customer Gender]] = "M", "Male", IF(orders[[#This Row],[Customer Gender]] = "F", "Female", IF(orders[[#This Row],[Customer Gender]] = "O", "Other",  "Unkown")))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IF(orders[[#This Row],[Customer Gender]] = "M", "Male", IF(orders[[#This Row],[Customer Gender]] = "F", "Female", IF(orders[[#This Row],[Customer Gender]] = "O", "Other",  "Unkown")))</f>
        <v>Female</v>
      </c>
    </row>
    <row r="2149" spans="1:15" hidden="1"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IF(orders[[#This Row],[Customer Gender]] = "M", "Male", IF(orders[[#This Row],[Customer Gender]] = "F", "Female", IF(orders[[#This Row],[Customer Gender]] = "O", "Other",  "Unkown")))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IF(orders[[#This Row],[Customer Gender]] = "M", "Male", IF(orders[[#This Row],[Customer Gender]] = "F", "Female", IF(orders[[#This Row],[Customer Gender]] = "O", "Other",  "Unkown")))</f>
        <v>Female</v>
      </c>
    </row>
    <row r="2151" spans="1:15" hidden="1"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IF(orders[[#This Row],[Customer Gender]] = "M", "Male", IF(orders[[#This Row],[Customer Gender]] = "F", "Female", IF(orders[[#This Row],[Customer Gender]] = "O", "Other",  "Unkown")))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IF(orders[[#This Row],[Customer Gender]] = "M", "Male", IF(orders[[#This Row],[Customer Gender]] = "F", "Female", IF(orders[[#This Row],[Customer Gender]] = "O", "Other",  "Unkown")))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IF(orders[[#This Row],[Customer Gender]] = "M", "Male", IF(orders[[#This Row],[Customer Gender]] = "F", "Female", IF(orders[[#This Row],[Customer Gender]] = "O", "Other",  "Unkown")))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IF(orders[[#This Row],[Customer Gender]] = "M", "Male", IF(orders[[#This Row],[Customer Gender]] = "F", "Female", IF(orders[[#This Row],[Customer Gender]] = "O", "Other",  "Unkown")))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IF(orders[[#This Row],[Customer Gender]] = "M", "Male", IF(orders[[#This Row],[Customer Gender]] = "F", "Female", IF(orders[[#This Row],[Customer Gender]] = "O", "Other",  "Unkown")))</f>
        <v>Female</v>
      </c>
    </row>
    <row r="2156" spans="1:15" hidden="1"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IF(orders[[#This Row],[Customer Gender]] = "M", "Male", IF(orders[[#This Row],[Customer Gender]] = "F", "Female", IF(orders[[#This Row],[Customer Gender]] = "O", "Other",  "Unkown")))</f>
        <v>Male</v>
      </c>
    </row>
    <row r="2157" spans="1:15" hidden="1"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IF(orders[[#This Row],[Customer Gender]] = "M", "Male", IF(orders[[#This Row],[Customer Gender]] = "F", "Female", IF(orders[[#This Row],[Customer Gender]] = "O", "Other",  "Unkown")))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IF(orders[[#This Row],[Customer Gender]] = "M", "Male", IF(orders[[#This Row],[Customer Gender]] = "F", "Female", IF(orders[[#This Row],[Customer Gender]] = "O", "Other",  "Unkown")))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IF(orders[[#This Row],[Customer Gender]] = "M", "Male", IF(orders[[#This Row],[Customer Gender]] = "F", "Female", IF(orders[[#This Row],[Customer Gender]] = "O", "Other",  "Unkown")))</f>
        <v>Female</v>
      </c>
    </row>
    <row r="2160" spans="1:15" hidden="1"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IF(orders[[#This Row],[Customer Gender]] = "M", "Male", IF(orders[[#This Row],[Customer Gender]] = "F", "Female", IF(orders[[#This Row],[Customer Gender]] = "O", "Other",  "Unkown")))</f>
        <v>Unkown</v>
      </c>
    </row>
    <row r="2161" spans="1:15" hidden="1"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IF(orders[[#This Row],[Customer Gender]] = "M", "Male", IF(orders[[#This Row],[Customer Gender]] = "F", "Female", IF(orders[[#This Row],[Customer Gender]] = "O", "Other",  "Unkown")))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IF(orders[[#This Row],[Customer Gender]] = "M", "Male", IF(orders[[#This Row],[Customer Gender]] = "F", "Female", IF(orders[[#This Row],[Customer Gender]] = "O", "Other",  "Unkown")))</f>
        <v>Female</v>
      </c>
    </row>
    <row r="2163" spans="1:15" hidden="1"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IF(orders[[#This Row],[Customer Gender]] = "M", "Male", IF(orders[[#This Row],[Customer Gender]] = "F", "Female", IF(orders[[#This Row],[Customer Gender]] = "O", "Other",  "Unkown")))</f>
        <v>Male</v>
      </c>
    </row>
    <row r="2164" spans="1:15" hidden="1"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IF(orders[[#This Row],[Customer Gender]] = "M", "Male", IF(orders[[#This Row],[Customer Gender]] = "F", "Female", IF(orders[[#This Row],[Customer Gender]] = "O", "Other",  "Unkown")))</f>
        <v>Male</v>
      </c>
    </row>
    <row r="2165" spans="1:15" hidden="1"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IF(orders[[#This Row],[Customer Gender]] = "M", "Male", IF(orders[[#This Row],[Customer Gender]] = "F", "Female", IF(orders[[#This Row],[Customer Gender]] = "O", "Other",  "Unkown")))</f>
        <v>Male</v>
      </c>
    </row>
    <row r="2166" spans="1:15" hidden="1"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IF(orders[[#This Row],[Customer Gender]] = "M", "Male", IF(orders[[#This Row],[Customer Gender]] = "F", "Female", IF(orders[[#This Row],[Customer Gender]] = "O", "Other",  "Unkown")))</f>
        <v>Male</v>
      </c>
    </row>
    <row r="2167" spans="1:15" hidden="1"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IF(orders[[#This Row],[Customer Gender]] = "M", "Male", IF(orders[[#This Row],[Customer Gender]] = "F", "Female", IF(orders[[#This Row],[Customer Gender]] = "O", "Other",  "Unkown")))</f>
        <v>Male</v>
      </c>
    </row>
    <row r="2168" spans="1:15" hidden="1"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IF(orders[[#This Row],[Customer Gender]] = "M", "Male", IF(orders[[#This Row],[Customer Gender]] = "F", "Female", IF(orders[[#This Row],[Customer Gender]] = "O", "Other",  "Unkown")))</f>
        <v>Unkown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IF(orders[[#This Row],[Customer Gender]] = "M", "Male", IF(orders[[#This Row],[Customer Gender]] = "F", "Female", IF(orders[[#This Row],[Customer Gender]] = "O", "Other",  "Unkown")))</f>
        <v>Female</v>
      </c>
    </row>
    <row r="2170" spans="1:15" hidden="1"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IF(orders[[#This Row],[Customer Gender]] = "M", "Male", IF(orders[[#This Row],[Customer Gender]] = "F", "Female", IF(orders[[#This Row],[Customer Gender]] = "O", "Other",  "Unkown")))</f>
        <v>Male</v>
      </c>
    </row>
    <row r="2171" spans="1:15" hidden="1"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IF(orders[[#This Row],[Customer Gender]] = "M", "Male", IF(orders[[#This Row],[Customer Gender]] = "F", "Female", IF(orders[[#This Row],[Customer Gender]] = "O", "Other",  "Unkown")))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IF(orders[[#This Row],[Customer Gender]] = "M", "Male", IF(orders[[#This Row],[Customer Gender]] = "F", "Female", IF(orders[[#This Row],[Customer Gender]] = "O", "Other",  "Unkown")))</f>
        <v>Female</v>
      </c>
    </row>
    <row r="2173" spans="1:15" hidden="1"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IF(orders[[#This Row],[Customer Gender]] = "M", "Male", IF(orders[[#This Row],[Customer Gender]] = "F", "Female", IF(orders[[#This Row],[Customer Gender]] = "O", "Other",  "Unkown")))</f>
        <v>Male</v>
      </c>
    </row>
    <row r="2174" spans="1:15" hidden="1"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IF(orders[[#This Row],[Customer Gender]] = "M", "Male", IF(orders[[#This Row],[Customer Gender]] = "F", "Female", IF(orders[[#This Row],[Customer Gender]] = "O", "Other",  "Unkown")))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IF(orders[[#This Row],[Customer Gender]] = "M", "Male", IF(orders[[#This Row],[Customer Gender]] = "F", "Female", IF(orders[[#This Row],[Customer Gender]] = "O", "Other",  "Unkown")))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IF(orders[[#This Row],[Customer Gender]] = "M", "Male", IF(orders[[#This Row],[Customer Gender]] = "F", "Female", IF(orders[[#This Row],[Customer Gender]] = "O", "Other",  "Unkown")))</f>
        <v>Female</v>
      </c>
    </row>
    <row r="2177" spans="1:15" hidden="1"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IF(orders[[#This Row],[Customer Gender]] = "M", "Male", IF(orders[[#This Row],[Customer Gender]] = "F", "Female", IF(orders[[#This Row],[Customer Gender]] = "O", "Other",  "Unkown")))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IF(orders[[#This Row],[Customer Gender]] = "M", "Male", IF(orders[[#This Row],[Customer Gender]] = "F", "Female", IF(orders[[#This Row],[Customer Gender]] = "O", "Other",  "Unkown")))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IF(orders[[#This Row],[Customer Gender]] = "M", "Male", IF(orders[[#This Row],[Customer Gender]] = "F", "Female", IF(orders[[#This Row],[Customer Gender]] = "O", "Other",  "Unkown")))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IF(orders[[#This Row],[Customer Gender]] = "M", "Male", IF(orders[[#This Row],[Customer Gender]] = "F", "Female", IF(orders[[#This Row],[Customer Gender]] = "O", "Other",  "Unkown")))</f>
        <v>Female</v>
      </c>
    </row>
    <row r="2181" spans="1:15" hidden="1"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IF(orders[[#This Row],[Customer Gender]] = "M", "Male", IF(orders[[#This Row],[Customer Gender]] = "F", "Female", IF(orders[[#This Row],[Customer Gender]] = "O", "Other",  "Unkown")))</f>
        <v>Male</v>
      </c>
    </row>
    <row r="2182" spans="1:15" hidden="1"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IF(orders[[#This Row],[Customer Gender]] = "M", "Male", IF(orders[[#This Row],[Customer Gender]] = "F", "Female", IF(orders[[#This Row],[Customer Gender]] = "O", "Other",  "Unkown")))</f>
        <v>Male</v>
      </c>
    </row>
    <row r="2183" spans="1:15" hidden="1"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IF(orders[[#This Row],[Customer Gender]] = "M", "Male", IF(orders[[#This Row],[Customer Gender]] = "F", "Female", IF(orders[[#This Row],[Customer Gender]] = "O", "Other",  "Unkown")))</f>
        <v>Male</v>
      </c>
    </row>
    <row r="2184" spans="1:15" hidden="1"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IF(orders[[#This Row],[Customer Gender]] = "M", "Male", IF(orders[[#This Row],[Customer Gender]] = "F", "Female", IF(orders[[#This Row],[Customer Gender]] = "O", "Other",  "Unkown")))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IF(orders[[#This Row],[Customer Gender]] = "M", "Male", IF(orders[[#This Row],[Customer Gender]] = "F", "Female", IF(orders[[#This Row],[Customer Gender]] = "O", "Other",  "Unkown")))</f>
        <v>Female</v>
      </c>
    </row>
    <row r="2186" spans="1:15" hidden="1"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IF(orders[[#This Row],[Customer Gender]] = "M", "Male", IF(orders[[#This Row],[Customer Gender]] = "F", "Female", IF(orders[[#This Row],[Customer Gender]] = "O", "Other",  "Unkown")))</f>
        <v>Male</v>
      </c>
    </row>
    <row r="2187" spans="1:15" hidden="1"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IF(orders[[#This Row],[Customer Gender]] = "M", "Male", IF(orders[[#This Row],[Customer Gender]] = "F", "Female", IF(orders[[#This Row],[Customer Gender]] = "O", "Other",  "Unkown")))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IF(orders[[#This Row],[Customer Gender]] = "M", "Male", IF(orders[[#This Row],[Customer Gender]] = "F", "Female", IF(orders[[#This Row],[Customer Gender]] = "O", "Other",  "Unkown")))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IF(orders[[#This Row],[Customer Gender]] = "M", "Male", IF(orders[[#This Row],[Customer Gender]] = "F", "Female", IF(orders[[#This Row],[Customer Gender]] = "O", "Other",  "Unkown")))</f>
        <v>Female</v>
      </c>
    </row>
    <row r="2190" spans="1:15" hidden="1"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IF(orders[[#This Row],[Customer Gender]] = "M", "Male", IF(orders[[#This Row],[Customer Gender]] = "F", "Female", IF(orders[[#This Row],[Customer Gender]] = "O", "Other",  "Unkown")))</f>
        <v>Male</v>
      </c>
    </row>
    <row r="2191" spans="1:15" hidden="1"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IF(orders[[#This Row],[Customer Gender]] = "M", "Male", IF(orders[[#This Row],[Customer Gender]] = "F", "Female", IF(orders[[#This Row],[Customer Gender]] = "O", "Other",  "Unkown")))</f>
        <v>Male</v>
      </c>
    </row>
    <row r="2192" spans="1:15" hidden="1"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IF(orders[[#This Row],[Customer Gender]] = "M", "Male", IF(orders[[#This Row],[Customer Gender]] = "F", "Female", IF(orders[[#This Row],[Customer Gender]] = "O", "Other",  "Unkown")))</f>
        <v>Male</v>
      </c>
    </row>
    <row r="2193" spans="1:15" hidden="1"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IF(orders[[#This Row],[Customer Gender]] = "M", "Male", IF(orders[[#This Row],[Customer Gender]] = "F", "Female", IF(orders[[#This Row],[Customer Gender]] = "O", "Other",  "Unkown")))</f>
        <v>Male</v>
      </c>
    </row>
    <row r="2194" spans="1:15" hidden="1"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IF(orders[[#This Row],[Customer Gender]] = "M", "Male", IF(orders[[#This Row],[Customer Gender]] = "F", "Female", IF(orders[[#This Row],[Customer Gender]] = "O", "Other",  "Unkown")))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IF(orders[[#This Row],[Customer Gender]] = "M", "Male", IF(orders[[#This Row],[Customer Gender]] = "F", "Female", IF(orders[[#This Row],[Customer Gender]] = "O", "Other",  "Unkown")))</f>
        <v>Female</v>
      </c>
    </row>
    <row r="2196" spans="1:15" hidden="1"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IF(orders[[#This Row],[Customer Gender]] = "M", "Male", IF(orders[[#This Row],[Customer Gender]] = "F", "Female", IF(orders[[#This Row],[Customer Gender]] = "O", "Other",  "Unkown")))</f>
        <v>Male</v>
      </c>
    </row>
    <row r="2197" spans="1:15" hidden="1"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IF(orders[[#This Row],[Customer Gender]] = "M", "Male", IF(orders[[#This Row],[Customer Gender]] = "F", "Female", IF(orders[[#This Row],[Customer Gender]] = "O", "Other",  "Unkown")))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IF(orders[[#This Row],[Customer Gender]] = "M", "Male", IF(orders[[#This Row],[Customer Gender]] = "F", "Female", IF(orders[[#This Row],[Customer Gender]] = "O", "Other",  "Unkown")))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IF(orders[[#This Row],[Customer Gender]] = "M", "Male", IF(orders[[#This Row],[Customer Gender]] = "F", "Female", IF(orders[[#This Row],[Customer Gender]] = "O", "Other",  "Unkown")))</f>
        <v>Female</v>
      </c>
    </row>
    <row r="2200" spans="1:15" hidden="1"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IF(orders[[#This Row],[Customer Gender]] = "M", "Male", IF(orders[[#This Row],[Customer Gender]] = "F", "Female", IF(orders[[#This Row],[Customer Gender]] = "O", "Other",  "Unkown")))</f>
        <v>Male</v>
      </c>
    </row>
    <row r="2201" spans="1:15" hidden="1"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IF(orders[[#This Row],[Customer Gender]] = "M", "Male", IF(orders[[#This Row],[Customer Gender]] = "F", "Female", IF(orders[[#This Row],[Customer Gender]] = "O", "Other",  "Unkown")))</f>
        <v>Male</v>
      </c>
    </row>
    <row r="2202" spans="1:15" hidden="1"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IF(orders[[#This Row],[Customer Gender]] = "M", "Male", IF(orders[[#This Row],[Customer Gender]] = "F", "Female", IF(orders[[#This Row],[Customer Gender]] = "O", "Other",  "Unkown")))</f>
        <v>Male</v>
      </c>
    </row>
    <row r="2203" spans="1:15" hidden="1"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IF(orders[[#This Row],[Customer Gender]] = "M", "Male", IF(orders[[#This Row],[Customer Gender]] = "F", "Female", IF(orders[[#This Row],[Customer Gender]] = "O", "Other",  "Unkown")))</f>
        <v>Male</v>
      </c>
    </row>
    <row r="2204" spans="1:15" hidden="1"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IF(orders[[#This Row],[Customer Gender]] = "M", "Male", IF(orders[[#This Row],[Customer Gender]] = "F", "Female", IF(orders[[#This Row],[Customer Gender]] = "O", "Other",  "Unkown")))</f>
        <v>Male</v>
      </c>
    </row>
    <row r="2205" spans="1:15" hidden="1"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IF(orders[[#This Row],[Customer Gender]] = "M", "Male", IF(orders[[#This Row],[Customer Gender]] = "F", "Female", IF(orders[[#This Row],[Customer Gender]] = "O", "Other",  "Unkown")))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IF(orders[[#This Row],[Customer Gender]] = "M", "Male", IF(orders[[#This Row],[Customer Gender]] = "F", "Female", IF(orders[[#This Row],[Customer Gender]] = "O", "Other",  "Unkown")))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IF(orders[[#This Row],[Customer Gender]] = "M", "Male", IF(orders[[#This Row],[Customer Gender]] = "F", "Female", IF(orders[[#This Row],[Customer Gender]] = "O", "Other",  "Unkown")))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IF(orders[[#This Row],[Customer Gender]] = "M", "Male", IF(orders[[#This Row],[Customer Gender]] = "F", "Female", IF(orders[[#This Row],[Customer Gender]] = "O", "Other",  "Unkown")))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IF(orders[[#This Row],[Customer Gender]] = "M", "Male", IF(orders[[#This Row],[Customer Gender]] = "F", "Female", IF(orders[[#This Row],[Customer Gender]] = "O", "Other",  "Unkown")))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IF(orders[[#This Row],[Customer Gender]] = "M", "Male", IF(orders[[#This Row],[Customer Gender]] = "F", "Female", IF(orders[[#This Row],[Customer Gender]] = "O", "Other",  "Unkown")))</f>
        <v>Female</v>
      </c>
    </row>
    <row r="2211" spans="1:15" hidden="1"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IF(orders[[#This Row],[Customer Gender]] = "M", "Male", IF(orders[[#This Row],[Customer Gender]] = "F", "Female", IF(orders[[#This Row],[Customer Gender]] = "O", "Other",  "Unkown")))</f>
        <v>Male</v>
      </c>
    </row>
    <row r="2212" spans="1:15" hidden="1"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IF(orders[[#This Row],[Customer Gender]] = "M", "Male", IF(orders[[#This Row],[Customer Gender]] = "F", "Female", IF(orders[[#This Row],[Customer Gender]] = "O", "Other",  "Unkown")))</f>
        <v>Unkown</v>
      </c>
    </row>
    <row r="2213" spans="1:15" hidden="1"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IF(orders[[#This Row],[Customer Gender]] = "M", "Male", IF(orders[[#This Row],[Customer Gender]] = "F", "Female", IF(orders[[#This Row],[Customer Gender]] = "O", "Other",  "Unkown")))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IF(orders[[#This Row],[Customer Gender]] = "M", "Male", IF(orders[[#This Row],[Customer Gender]] = "F", "Female", IF(orders[[#This Row],[Customer Gender]] = "O", "Other",  "Unkown")))</f>
        <v>Female</v>
      </c>
    </row>
    <row r="2215" spans="1:15" hidden="1"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IF(orders[[#This Row],[Customer Gender]] = "M", "Male", IF(orders[[#This Row],[Customer Gender]] = "F", "Female", IF(orders[[#This Row],[Customer Gender]] = "O", "Other",  "Unkown")))</f>
        <v>Male</v>
      </c>
    </row>
    <row r="2216" spans="1:15" hidden="1"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IF(orders[[#This Row],[Customer Gender]] = "M", "Male", IF(orders[[#This Row],[Customer Gender]] = "F", "Female", IF(orders[[#This Row],[Customer Gender]] = "O", "Other",  "Unkown")))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IF(orders[[#This Row],[Customer Gender]] = "M", "Male", IF(orders[[#This Row],[Customer Gender]] = "F", "Female", IF(orders[[#This Row],[Customer Gender]] = "O", "Other",  "Unkown")))</f>
        <v>Female</v>
      </c>
    </row>
    <row r="2218" spans="1:15" hidden="1"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IF(orders[[#This Row],[Customer Gender]] = "M", "Male", IF(orders[[#This Row],[Customer Gender]] = "F", "Female", IF(orders[[#This Row],[Customer Gender]] = "O", "Other",  "Unkown")))</f>
        <v>Male</v>
      </c>
    </row>
    <row r="2219" spans="1:15" hidden="1"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IF(orders[[#This Row],[Customer Gender]] = "M", "Male", IF(orders[[#This Row],[Customer Gender]] = "F", "Female", IF(orders[[#This Row],[Customer Gender]] = "O", "Other",  "Unkown")))</f>
        <v>Male</v>
      </c>
    </row>
    <row r="2220" spans="1:15" hidden="1"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IF(orders[[#This Row],[Customer Gender]] = "M", "Male", IF(orders[[#This Row],[Customer Gender]] = "F", "Female", IF(orders[[#This Row],[Customer Gender]] = "O", "Other",  "Unkown")))</f>
        <v>Male</v>
      </c>
    </row>
    <row r="2221" spans="1:15" hidden="1"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IF(orders[[#This Row],[Customer Gender]] = "M", "Male", IF(orders[[#This Row],[Customer Gender]] = "F", "Female", IF(orders[[#This Row],[Customer Gender]] = "O", "Other",  "Unkown")))</f>
        <v>Male</v>
      </c>
    </row>
    <row r="2222" spans="1:15" hidden="1"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IF(orders[[#This Row],[Customer Gender]] = "M", "Male", IF(orders[[#This Row],[Customer Gender]] = "F", "Female", IF(orders[[#This Row],[Customer Gender]] = "O", "Other",  "Unkown")))</f>
        <v>Male</v>
      </c>
    </row>
    <row r="2223" spans="1:15" hidden="1"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IF(orders[[#This Row],[Customer Gender]] = "M", "Male", IF(orders[[#This Row],[Customer Gender]] = "F", "Female", IF(orders[[#This Row],[Customer Gender]] = "O", "Other",  "Unkown")))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IF(orders[[#This Row],[Customer Gender]] = "M", "Male", IF(orders[[#This Row],[Customer Gender]] = "F", "Female", IF(orders[[#This Row],[Customer Gender]] = "O", "Other",  "Unkown")))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IF(orders[[#This Row],[Customer Gender]] = "M", "Male", IF(orders[[#This Row],[Customer Gender]] = "F", "Female", IF(orders[[#This Row],[Customer Gender]] = "O", "Other",  "Unkown")))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IF(orders[[#This Row],[Customer Gender]] = "M", "Male", IF(orders[[#This Row],[Customer Gender]] = "F", "Female", IF(orders[[#This Row],[Customer Gender]] = "O", "Other",  "Unkown")))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IF(orders[[#This Row],[Customer Gender]] = "M", "Male", IF(orders[[#This Row],[Customer Gender]] = "F", "Female", IF(orders[[#This Row],[Customer Gender]] = "O", "Other",  "Unkown")))</f>
        <v>Female</v>
      </c>
    </row>
    <row r="2228" spans="1:15" hidden="1"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IF(orders[[#This Row],[Customer Gender]] = "M", "Male", IF(orders[[#This Row],[Customer Gender]] = "F", "Female", IF(orders[[#This Row],[Customer Gender]] = "O", "Other",  "Unkown")))</f>
        <v>Male</v>
      </c>
    </row>
    <row r="2229" spans="1:15" hidden="1"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IF(orders[[#This Row],[Customer Gender]] = "M", "Male", IF(orders[[#This Row],[Customer Gender]] = "F", "Female", IF(orders[[#This Row],[Customer Gender]] = "O", "Other",  "Unkown")))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IF(orders[[#This Row],[Customer Gender]] = "M", "Male", IF(orders[[#This Row],[Customer Gender]] = "F", "Female", IF(orders[[#This Row],[Customer Gender]] = "O", "Other",  "Unkown")))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IF(orders[[#This Row],[Customer Gender]] = "M", "Male", IF(orders[[#This Row],[Customer Gender]] = "F", "Female", IF(orders[[#This Row],[Customer Gender]] = "O", "Other",  "Unkown")))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IF(orders[[#This Row],[Customer Gender]] = "M", "Male", IF(orders[[#This Row],[Customer Gender]] = "F", "Female", IF(orders[[#This Row],[Customer Gender]] = "O", "Other",  "Unkown")))</f>
        <v>Female</v>
      </c>
    </row>
    <row r="2233" spans="1:15" hidden="1"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IF(orders[[#This Row],[Customer Gender]] = "M", "Male", IF(orders[[#This Row],[Customer Gender]] = "F", "Female", IF(orders[[#This Row],[Customer Gender]] = "O", "Other",  "Unkown")))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IF(orders[[#This Row],[Customer Gender]] = "M", "Male", IF(orders[[#This Row],[Customer Gender]] = "F", "Female", IF(orders[[#This Row],[Customer Gender]] = "O", "Other",  "Unkown")))</f>
        <v>Female</v>
      </c>
    </row>
    <row r="2235" spans="1:15" hidden="1"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IF(orders[[#This Row],[Customer Gender]] = "M", "Male", IF(orders[[#This Row],[Customer Gender]] = "F", "Female", IF(orders[[#This Row],[Customer Gender]] = "O", "Other",  "Unkown")))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IF(orders[[#This Row],[Customer Gender]] = "M", "Male", IF(orders[[#This Row],[Customer Gender]] = "F", "Female", IF(orders[[#This Row],[Customer Gender]] = "O", "Other",  "Unkown")))</f>
        <v>Female</v>
      </c>
    </row>
    <row r="2237" spans="1:15" hidden="1"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IF(orders[[#This Row],[Customer Gender]] = "M", "Male", IF(orders[[#This Row],[Customer Gender]] = "F", "Female", IF(orders[[#This Row],[Customer Gender]] = "O", "Other",  "Unkown")))</f>
        <v>Unkown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IF(orders[[#This Row],[Customer Gender]] = "M", "Male", IF(orders[[#This Row],[Customer Gender]] = "F", "Female", IF(orders[[#This Row],[Customer Gender]] = "O", "Other",  "Unkown")))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IF(orders[[#This Row],[Customer Gender]] = "M", "Male", IF(orders[[#This Row],[Customer Gender]] = "F", "Female", IF(orders[[#This Row],[Customer Gender]] = "O", "Other",  "Unkown")))</f>
        <v>Female</v>
      </c>
    </row>
    <row r="2240" spans="1:15" hidden="1"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IF(orders[[#This Row],[Customer Gender]] = "M", "Male", IF(orders[[#This Row],[Customer Gender]] = "F", "Female", IF(orders[[#This Row],[Customer Gender]] = "O", "Other",  "Unkown")))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IF(orders[[#This Row],[Customer Gender]] = "M", "Male", IF(orders[[#This Row],[Customer Gender]] = "F", "Female", IF(orders[[#This Row],[Customer Gender]] = "O", "Other",  "Unkown")))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IF(orders[[#This Row],[Customer Gender]] = "M", "Male", IF(orders[[#This Row],[Customer Gender]] = "F", "Female", IF(orders[[#This Row],[Customer Gender]] = "O", "Other",  "Unkown")))</f>
        <v>Female</v>
      </c>
    </row>
    <row r="2243" spans="1:15" hidden="1"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IF(orders[[#This Row],[Customer Gender]] = "M", "Male", IF(orders[[#This Row],[Customer Gender]] = "F", "Female", IF(orders[[#This Row],[Customer Gender]] = "O", "Other",  "Unkown")))</f>
        <v>Male</v>
      </c>
    </row>
    <row r="2244" spans="1:15" hidden="1"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IF(orders[[#This Row],[Customer Gender]] = "M", "Male", IF(orders[[#This Row],[Customer Gender]] = "F", "Female", IF(orders[[#This Row],[Customer Gender]] = "O", "Other",  "Unkown")))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IF(orders[[#This Row],[Customer Gender]] = "M", "Male", IF(orders[[#This Row],[Customer Gender]] = "F", "Female", IF(orders[[#This Row],[Customer Gender]] = "O", "Other",  "Unkown")))</f>
        <v>Female</v>
      </c>
    </row>
    <row r="2246" spans="1:15" hidden="1"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IF(orders[[#This Row],[Customer Gender]] = "M", "Male", IF(orders[[#This Row],[Customer Gender]] = "F", "Female", IF(orders[[#This Row],[Customer Gender]] = "O", "Other",  "Unkown")))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IF(orders[[#This Row],[Customer Gender]] = "M", "Male", IF(orders[[#This Row],[Customer Gender]] = "F", "Female", IF(orders[[#This Row],[Customer Gender]] = "O", "Other",  "Unkown")))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IF(orders[[#This Row],[Customer Gender]] = "M", "Male", IF(orders[[#This Row],[Customer Gender]] = "F", "Female", IF(orders[[#This Row],[Customer Gender]] = "O", "Other",  "Unkown")))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IF(orders[[#This Row],[Customer Gender]] = "M", "Male", IF(orders[[#This Row],[Customer Gender]] = "F", "Female", IF(orders[[#This Row],[Customer Gender]] = "O", "Other",  "Unkown")))</f>
        <v>Female</v>
      </c>
    </row>
    <row r="2250" spans="1:15" hidden="1"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IF(orders[[#This Row],[Customer Gender]] = "M", "Male", IF(orders[[#This Row],[Customer Gender]] = "F", "Female", IF(orders[[#This Row],[Customer Gender]] = "O", "Other",  "Unkown")))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IF(orders[[#This Row],[Customer Gender]] = "M", "Male", IF(orders[[#This Row],[Customer Gender]] = "F", "Female", IF(orders[[#This Row],[Customer Gender]] = "O", "Other",  "Unkown")))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IF(orders[[#This Row],[Customer Gender]] = "M", "Male", IF(orders[[#This Row],[Customer Gender]] = "F", "Female", IF(orders[[#This Row],[Customer Gender]] = "O", "Other",  "Unkown")))</f>
        <v>Female</v>
      </c>
    </row>
    <row r="2253" spans="1:15" hidden="1"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IF(orders[[#This Row],[Customer Gender]] = "M", "Male", IF(orders[[#This Row],[Customer Gender]] = "F", "Female", IF(orders[[#This Row],[Customer Gender]] = "O", "Other",  "Unkown")))</f>
        <v>Male</v>
      </c>
    </row>
    <row r="2254" spans="1:15" hidden="1"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IF(orders[[#This Row],[Customer Gender]] = "M", "Male", IF(orders[[#This Row],[Customer Gender]] = "F", "Female", IF(orders[[#This Row],[Customer Gender]] = "O", "Other",  "Unkown")))</f>
        <v>Male</v>
      </c>
    </row>
    <row r="2255" spans="1:15" hidden="1"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IF(orders[[#This Row],[Customer Gender]] = "M", "Male", IF(orders[[#This Row],[Customer Gender]] = "F", "Female", IF(orders[[#This Row],[Customer Gender]] = "O", "Other",  "Unkown")))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IF(orders[[#This Row],[Customer Gender]] = "M", "Male", IF(orders[[#This Row],[Customer Gender]] = "F", "Female", IF(orders[[#This Row],[Customer Gender]] = "O", "Other",  "Unkown")))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IF(orders[[#This Row],[Customer Gender]] = "M", "Male", IF(orders[[#This Row],[Customer Gender]] = "F", "Female", IF(orders[[#This Row],[Customer Gender]] = "O", "Other",  "Unkown")))</f>
        <v>Female</v>
      </c>
    </row>
    <row r="2258" spans="1:15" hidden="1"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IF(orders[[#This Row],[Customer Gender]] = "M", "Male", IF(orders[[#This Row],[Customer Gender]] = "F", "Female", IF(orders[[#This Row],[Customer Gender]] = "O", "Other",  "Unkown")))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IF(orders[[#This Row],[Customer Gender]] = "M", "Male", IF(orders[[#This Row],[Customer Gender]] = "F", "Female", IF(orders[[#This Row],[Customer Gender]] = "O", "Other",  "Unkown")))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IF(orders[[#This Row],[Customer Gender]] = "M", "Male", IF(orders[[#This Row],[Customer Gender]] = "F", "Female", IF(orders[[#This Row],[Customer Gender]] = "O", "Other",  "Unkown")))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IF(orders[[#This Row],[Customer Gender]] = "M", "Male", IF(orders[[#This Row],[Customer Gender]] = "F", "Female", IF(orders[[#This Row],[Customer Gender]] = "O", "Other",  "Unkown")))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IF(orders[[#This Row],[Customer Gender]] = "M", "Male", IF(orders[[#This Row],[Customer Gender]] = "F", "Female", IF(orders[[#This Row],[Customer Gender]] = "O", "Other",  "Unkown")))</f>
        <v>Female</v>
      </c>
    </row>
    <row r="2263" spans="1:15" hidden="1"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IF(orders[[#This Row],[Customer Gender]] = "M", "Male", IF(orders[[#This Row],[Customer Gender]] = "F", "Female", IF(orders[[#This Row],[Customer Gender]] = "O", "Other",  "Unkown")))</f>
        <v>Male</v>
      </c>
    </row>
    <row r="2264" spans="1:15" hidden="1"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IF(orders[[#This Row],[Customer Gender]] = "M", "Male", IF(orders[[#This Row],[Customer Gender]] = "F", "Female", IF(orders[[#This Row],[Customer Gender]] = "O", "Other",  "Unkown")))</f>
        <v>Male</v>
      </c>
    </row>
    <row r="2265" spans="1:15" hidden="1"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IF(orders[[#This Row],[Customer Gender]] = "M", "Male", IF(orders[[#This Row],[Customer Gender]] = "F", "Female", IF(orders[[#This Row],[Customer Gender]] = "O", "Other",  "Unkown")))</f>
        <v>Male</v>
      </c>
    </row>
    <row r="2266" spans="1:15" hidden="1"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IF(orders[[#This Row],[Customer Gender]] = "M", "Male", IF(orders[[#This Row],[Customer Gender]] = "F", "Female", IF(orders[[#This Row],[Customer Gender]] = "O", "Other",  "Unkown")))</f>
        <v>Male</v>
      </c>
    </row>
    <row r="2267" spans="1:15" hidden="1"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IF(orders[[#This Row],[Customer Gender]] = "M", "Male", IF(orders[[#This Row],[Customer Gender]] = "F", "Female", IF(orders[[#This Row],[Customer Gender]] = "O", "Other",  "Unkown")))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IF(orders[[#This Row],[Customer Gender]] = "M", "Male", IF(orders[[#This Row],[Customer Gender]] = "F", "Female", IF(orders[[#This Row],[Customer Gender]] = "O", "Other",  "Unkown")))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IF(orders[[#This Row],[Customer Gender]] = "M", "Male", IF(orders[[#This Row],[Customer Gender]] = "F", "Female", IF(orders[[#This Row],[Customer Gender]] = "O", "Other",  "Unkown")))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IF(orders[[#This Row],[Customer Gender]] = "M", "Male", IF(orders[[#This Row],[Customer Gender]] = "F", "Female", IF(orders[[#This Row],[Customer Gender]] = "O", "Other",  "Unkown")))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IF(orders[[#This Row],[Customer Gender]] = "M", "Male", IF(orders[[#This Row],[Customer Gender]] = "F", "Female", IF(orders[[#This Row],[Customer Gender]] = "O", "Other",  "Unkown")))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IF(orders[[#This Row],[Customer Gender]] = "M", "Male", IF(orders[[#This Row],[Customer Gender]] = "F", "Female", IF(orders[[#This Row],[Customer Gender]] = "O", "Other",  "Unkown")))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IF(orders[[#This Row],[Customer Gender]] = "M", "Male", IF(orders[[#This Row],[Customer Gender]] = "F", "Female", IF(orders[[#This Row],[Customer Gender]] = "O", "Other",  "Unkown")))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IF(orders[[#This Row],[Customer Gender]] = "M", "Male", IF(orders[[#This Row],[Customer Gender]] = "F", "Female", IF(orders[[#This Row],[Customer Gender]] = "O", "Other",  "Unkown")))</f>
        <v>Female</v>
      </c>
    </row>
    <row r="2275" spans="1:15" hidden="1"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IF(orders[[#This Row],[Customer Gender]] = "M", "Male", IF(orders[[#This Row],[Customer Gender]] = "F", "Female", IF(orders[[#This Row],[Customer Gender]] = "O", "Other",  "Unkown")))</f>
        <v>Male</v>
      </c>
    </row>
    <row r="2276" spans="1:15" hidden="1"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IF(orders[[#This Row],[Customer Gender]] = "M", "Male", IF(orders[[#This Row],[Customer Gender]] = "F", "Female", IF(orders[[#This Row],[Customer Gender]] = "O", "Other",  "Unkown")))</f>
        <v>Male</v>
      </c>
    </row>
    <row r="2277" spans="1:15" hidden="1"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IF(orders[[#This Row],[Customer Gender]] = "M", "Male", IF(orders[[#This Row],[Customer Gender]] = "F", "Female", IF(orders[[#This Row],[Customer Gender]] = "O", "Other",  "Unkown")))</f>
        <v>Unkown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IF(orders[[#This Row],[Customer Gender]] = "M", "Male", IF(orders[[#This Row],[Customer Gender]] = "F", "Female", IF(orders[[#This Row],[Customer Gender]] = "O", "Other",  "Unkown")))</f>
        <v>Female</v>
      </c>
    </row>
    <row r="2279" spans="1:15" hidden="1"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IF(orders[[#This Row],[Customer Gender]] = "M", "Male", IF(orders[[#This Row],[Customer Gender]] = "F", "Female", IF(orders[[#This Row],[Customer Gender]] = "O", "Other",  "Unkown")))</f>
        <v>Male</v>
      </c>
    </row>
    <row r="2280" spans="1:15" hidden="1"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IF(orders[[#This Row],[Customer Gender]] = "M", "Male", IF(orders[[#This Row],[Customer Gender]] = "F", "Female", IF(orders[[#This Row],[Customer Gender]] = "O", "Other",  "Unkown")))</f>
        <v>Male</v>
      </c>
    </row>
    <row r="2281" spans="1:15" hidden="1"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IF(orders[[#This Row],[Customer Gender]] = "M", "Male", IF(orders[[#This Row],[Customer Gender]] = "F", "Female", IF(orders[[#This Row],[Customer Gender]] = "O", "Other",  "Unkown")))</f>
        <v>Male</v>
      </c>
    </row>
    <row r="2282" spans="1:15" hidden="1"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IF(orders[[#This Row],[Customer Gender]] = "M", "Male", IF(orders[[#This Row],[Customer Gender]] = "F", "Female", IF(orders[[#This Row],[Customer Gender]] = "O", "Other",  "Unkown")))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IF(orders[[#This Row],[Customer Gender]] = "M", "Male", IF(orders[[#This Row],[Customer Gender]] = "F", "Female", IF(orders[[#This Row],[Customer Gender]] = "O", "Other",  "Unkown")))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IF(orders[[#This Row],[Customer Gender]] = "M", "Male", IF(orders[[#This Row],[Customer Gender]] = "F", "Female", IF(orders[[#This Row],[Customer Gender]] = "O", "Other",  "Unkown")))</f>
        <v>Female</v>
      </c>
    </row>
    <row r="2285" spans="1:15" hidden="1"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IF(orders[[#This Row],[Customer Gender]] = "M", "Male", IF(orders[[#This Row],[Customer Gender]] = "F", "Female", IF(orders[[#This Row],[Customer Gender]] = "O", "Other",  "Unkown")))</f>
        <v>Male</v>
      </c>
    </row>
    <row r="2286" spans="1:15" hidden="1"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IF(orders[[#This Row],[Customer Gender]] = "M", "Male", IF(orders[[#This Row],[Customer Gender]] = "F", "Female", IF(orders[[#This Row],[Customer Gender]] = "O", "Other",  "Unkown")))</f>
        <v>Male</v>
      </c>
    </row>
    <row r="2287" spans="1:15" hidden="1"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IF(orders[[#This Row],[Customer Gender]] = "M", "Male", IF(orders[[#This Row],[Customer Gender]] = "F", "Female", IF(orders[[#This Row],[Customer Gender]] = "O", "Other",  "Unkown")))</f>
        <v>Male</v>
      </c>
    </row>
    <row r="2288" spans="1:15" hidden="1"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IF(orders[[#This Row],[Customer Gender]] = "M", "Male", IF(orders[[#This Row],[Customer Gender]] = "F", "Female", IF(orders[[#This Row],[Customer Gender]] = "O", "Other",  "Unkown")))</f>
        <v>Male</v>
      </c>
    </row>
    <row r="2289" spans="1:15" hidden="1"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IF(orders[[#This Row],[Customer Gender]] = "M", "Male", IF(orders[[#This Row],[Customer Gender]] = "F", "Female", IF(orders[[#This Row],[Customer Gender]] = "O", "Other",  "Unkown")))</f>
        <v>Male</v>
      </c>
    </row>
    <row r="2290" spans="1:15" hidden="1"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IF(orders[[#This Row],[Customer Gender]] = "M", "Male", IF(orders[[#This Row],[Customer Gender]] = "F", "Female", IF(orders[[#This Row],[Customer Gender]] = "O", "Other",  "Unkown")))</f>
        <v>Other</v>
      </c>
    </row>
    <row r="2291" spans="1:15" hidden="1"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IF(orders[[#This Row],[Customer Gender]] = "M", "Male", IF(orders[[#This Row],[Customer Gender]] = "F", "Female", IF(orders[[#This Row],[Customer Gender]] = "O", "Other",  "Unkown")))</f>
        <v>Male</v>
      </c>
    </row>
    <row r="2292" spans="1:15" hidden="1"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IF(orders[[#This Row],[Customer Gender]] = "M", "Male", IF(orders[[#This Row],[Customer Gender]] = "F", "Female", IF(orders[[#This Row],[Customer Gender]] = "O", "Other",  "Unkown")))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IF(orders[[#This Row],[Customer Gender]] = "M", "Male", IF(orders[[#This Row],[Customer Gender]] = "F", "Female", IF(orders[[#This Row],[Customer Gender]] = "O", "Other",  "Unkown")))</f>
        <v>Female</v>
      </c>
    </row>
    <row r="2294" spans="1:15" hidden="1"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IF(orders[[#This Row],[Customer Gender]] = "M", "Male", IF(orders[[#This Row],[Customer Gender]] = "F", "Female", IF(orders[[#This Row],[Customer Gender]] = "O", "Other",  "Unkown")))</f>
        <v>Male</v>
      </c>
    </row>
    <row r="2295" spans="1:15" hidden="1"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IF(orders[[#This Row],[Customer Gender]] = "M", "Male", IF(orders[[#This Row],[Customer Gender]] = "F", "Female", IF(orders[[#This Row],[Customer Gender]] = "O", "Other",  "Unkown")))</f>
        <v>Other</v>
      </c>
    </row>
    <row r="2296" spans="1:15" hidden="1"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IF(orders[[#This Row],[Customer Gender]] = "M", "Male", IF(orders[[#This Row],[Customer Gender]] = "F", "Female", IF(orders[[#This Row],[Customer Gender]] = "O", "Other",  "Unkown")))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IF(orders[[#This Row],[Customer Gender]] = "M", "Male", IF(orders[[#This Row],[Customer Gender]] = "F", "Female", IF(orders[[#This Row],[Customer Gender]] = "O", "Other",  "Unkown")))</f>
        <v>Female</v>
      </c>
    </row>
    <row r="2298" spans="1:15" hidden="1"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IF(orders[[#This Row],[Customer Gender]] = "M", "Male", IF(orders[[#This Row],[Customer Gender]] = "F", "Female", IF(orders[[#This Row],[Customer Gender]] = "O", "Other",  "Unkown")))</f>
        <v>Male</v>
      </c>
    </row>
    <row r="2299" spans="1:15" hidden="1"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IF(orders[[#This Row],[Customer Gender]] = "M", "Male", IF(orders[[#This Row],[Customer Gender]] = "F", "Female", IF(orders[[#This Row],[Customer Gender]] = "O", "Other",  "Unkown")))</f>
        <v>Male</v>
      </c>
    </row>
    <row r="2300" spans="1:15" hidden="1"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IF(orders[[#This Row],[Customer Gender]] = "M", "Male", IF(orders[[#This Row],[Customer Gender]] = "F", "Female", IF(orders[[#This Row],[Customer Gender]] = "O", "Other",  "Unkown")))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IF(orders[[#This Row],[Customer Gender]] = "M", "Male", IF(orders[[#This Row],[Customer Gender]] = "F", "Female", IF(orders[[#This Row],[Customer Gender]] = "O", "Other",  "Unkown")))</f>
        <v>Female</v>
      </c>
    </row>
    <row r="2302" spans="1:15" hidden="1"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IF(orders[[#This Row],[Customer Gender]] = "M", "Male", IF(orders[[#This Row],[Customer Gender]] = "F", "Female", IF(orders[[#This Row],[Customer Gender]] = "O", "Other",  "Unkown")))</f>
        <v>Male</v>
      </c>
    </row>
    <row r="2303" spans="1:15" hidden="1"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IF(orders[[#This Row],[Customer Gender]] = "M", "Male", IF(orders[[#This Row],[Customer Gender]] = "F", "Female", IF(orders[[#This Row],[Customer Gender]] = "O", "Other",  "Unkown")))</f>
        <v>Male</v>
      </c>
    </row>
    <row r="2304" spans="1:15" hidden="1"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IF(orders[[#This Row],[Customer Gender]] = "M", "Male", IF(orders[[#This Row],[Customer Gender]] = "F", "Female", IF(orders[[#This Row],[Customer Gender]] = "O", "Other",  "Unkown")))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IF(orders[[#This Row],[Customer Gender]] = "M", "Male", IF(orders[[#This Row],[Customer Gender]] = "F", "Female", IF(orders[[#This Row],[Customer Gender]] = "O", "Other",  "Unkown")))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IF(orders[[#This Row],[Customer Gender]] = "M", "Male", IF(orders[[#This Row],[Customer Gender]] = "F", "Female", IF(orders[[#This Row],[Customer Gender]] = "O", "Other",  "Unkown")))</f>
        <v>Female</v>
      </c>
    </row>
    <row r="2307" spans="1:15" hidden="1"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IF(orders[[#This Row],[Customer Gender]] = "M", "Male", IF(orders[[#This Row],[Customer Gender]] = "F", "Female", IF(orders[[#This Row],[Customer Gender]] = "O", "Other",  "Unkown")))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IF(orders[[#This Row],[Customer Gender]] = "M", "Male", IF(orders[[#This Row],[Customer Gender]] = "F", "Female", IF(orders[[#This Row],[Customer Gender]] = "O", "Other",  "Unkown")))</f>
        <v>Female</v>
      </c>
    </row>
    <row r="2309" spans="1:15" hidden="1"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IF(orders[[#This Row],[Customer Gender]] = "M", "Male", IF(orders[[#This Row],[Customer Gender]] = "F", "Female", IF(orders[[#This Row],[Customer Gender]] = "O", "Other",  "Unkown")))</f>
        <v>Unkown</v>
      </c>
    </row>
    <row r="2310" spans="1:15" hidden="1"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IF(orders[[#This Row],[Customer Gender]] = "M", "Male", IF(orders[[#This Row],[Customer Gender]] = "F", "Female", IF(orders[[#This Row],[Customer Gender]] = "O", "Other",  "Unkown")))</f>
        <v>Male</v>
      </c>
    </row>
    <row r="2311" spans="1:15" hidden="1"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IF(orders[[#This Row],[Customer Gender]] = "M", "Male", IF(orders[[#This Row],[Customer Gender]] = "F", "Female", IF(orders[[#This Row],[Customer Gender]] = "O", "Other",  "Unkown")))</f>
        <v>Male</v>
      </c>
    </row>
    <row r="2312" spans="1:15" hidden="1"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IF(orders[[#This Row],[Customer Gender]] = "M", "Male", IF(orders[[#This Row],[Customer Gender]] = "F", "Female", IF(orders[[#This Row],[Customer Gender]] = "O", "Other",  "Unkown")))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IF(orders[[#This Row],[Customer Gender]] = "M", "Male", IF(orders[[#This Row],[Customer Gender]] = "F", "Female", IF(orders[[#This Row],[Customer Gender]] = "O", "Other",  "Unkown")))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IF(orders[[#This Row],[Customer Gender]] = "M", "Male", IF(orders[[#This Row],[Customer Gender]] = "F", "Female", IF(orders[[#This Row],[Customer Gender]] = "O", "Other",  "Unkown")))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IF(orders[[#This Row],[Customer Gender]] = "M", "Male", IF(orders[[#This Row],[Customer Gender]] = "F", "Female", IF(orders[[#This Row],[Customer Gender]] = "O", "Other",  "Unkown")))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IF(orders[[#This Row],[Customer Gender]] = "M", "Male", IF(orders[[#This Row],[Customer Gender]] = "F", "Female", IF(orders[[#This Row],[Customer Gender]] = "O", "Other",  "Unkown")))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IF(orders[[#This Row],[Customer Gender]] = "M", "Male", IF(orders[[#This Row],[Customer Gender]] = "F", "Female", IF(orders[[#This Row],[Customer Gender]] = "O", "Other",  "Unkown")))</f>
        <v>Female</v>
      </c>
    </row>
    <row r="2318" spans="1:15" hidden="1"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IF(orders[[#This Row],[Customer Gender]] = "M", "Male", IF(orders[[#This Row],[Customer Gender]] = "F", "Female", IF(orders[[#This Row],[Customer Gender]] = "O", "Other",  "Unkown")))</f>
        <v>Male</v>
      </c>
    </row>
    <row r="2319" spans="1:15" hidden="1"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IF(orders[[#This Row],[Customer Gender]] = "M", "Male", IF(orders[[#This Row],[Customer Gender]] = "F", "Female", IF(orders[[#This Row],[Customer Gender]] = "O", "Other",  "Unkown")))</f>
        <v>Unkown</v>
      </c>
    </row>
    <row r="2320" spans="1:15" hidden="1"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IF(orders[[#This Row],[Customer Gender]] = "M", "Male", IF(orders[[#This Row],[Customer Gender]] = "F", "Female", IF(orders[[#This Row],[Customer Gender]] = "O", "Other",  "Unkown")))</f>
        <v>Unkown</v>
      </c>
    </row>
    <row r="2321" spans="1:15" hidden="1"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IF(orders[[#This Row],[Customer Gender]] = "M", "Male", IF(orders[[#This Row],[Customer Gender]] = "F", "Female", IF(orders[[#This Row],[Customer Gender]] = "O", "Other",  "Unkown")))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IF(orders[[#This Row],[Customer Gender]] = "M", "Male", IF(orders[[#This Row],[Customer Gender]] = "F", "Female", IF(orders[[#This Row],[Customer Gender]] = "O", "Other",  "Unkown")))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IF(orders[[#This Row],[Customer Gender]] = "M", "Male", IF(orders[[#This Row],[Customer Gender]] = "F", "Female", IF(orders[[#This Row],[Customer Gender]] = "O", "Other",  "Unkown")))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IF(orders[[#This Row],[Customer Gender]] = "M", "Male", IF(orders[[#This Row],[Customer Gender]] = "F", "Female", IF(orders[[#This Row],[Customer Gender]] = "O", "Other",  "Unkown")))</f>
        <v>Female</v>
      </c>
    </row>
    <row r="2325" spans="1:15" hidden="1"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IF(orders[[#This Row],[Customer Gender]] = "M", "Male", IF(orders[[#This Row],[Customer Gender]] = "F", "Female", IF(orders[[#This Row],[Customer Gender]] = "O", "Other",  "Unkown")))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IF(orders[[#This Row],[Customer Gender]] = "M", "Male", IF(orders[[#This Row],[Customer Gender]] = "F", "Female", IF(orders[[#This Row],[Customer Gender]] = "O", "Other",  "Unkown")))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IF(orders[[#This Row],[Customer Gender]] = "M", "Male", IF(orders[[#This Row],[Customer Gender]] = "F", "Female", IF(orders[[#This Row],[Customer Gender]] = "O", "Other",  "Unkown")))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IF(orders[[#This Row],[Customer Gender]] = "M", "Male", IF(orders[[#This Row],[Customer Gender]] = "F", "Female", IF(orders[[#This Row],[Customer Gender]] = "O", "Other",  "Unkown")))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IF(orders[[#This Row],[Customer Gender]] = "M", "Male", IF(orders[[#This Row],[Customer Gender]] = "F", "Female", IF(orders[[#This Row],[Customer Gender]] = "O", "Other",  "Unkown")))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IF(orders[[#This Row],[Customer Gender]] = "M", "Male", IF(orders[[#This Row],[Customer Gender]] = "F", "Female", IF(orders[[#This Row],[Customer Gender]] = "O", "Other",  "Unkown")))</f>
        <v>Female</v>
      </c>
    </row>
    <row r="2331" spans="1:15" hidden="1"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IF(orders[[#This Row],[Customer Gender]] = "M", "Male", IF(orders[[#This Row],[Customer Gender]] = "F", "Female", IF(orders[[#This Row],[Customer Gender]] = "O", "Other",  "Unkown")))</f>
        <v>Male</v>
      </c>
    </row>
    <row r="2332" spans="1:15" hidden="1"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IF(orders[[#This Row],[Customer Gender]] = "M", "Male", IF(orders[[#This Row],[Customer Gender]] = "F", "Female", IF(orders[[#This Row],[Customer Gender]] = "O", "Other",  "Unkown")))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IF(orders[[#This Row],[Customer Gender]] = "M", "Male", IF(orders[[#This Row],[Customer Gender]] = "F", "Female", IF(orders[[#This Row],[Customer Gender]] = "O", "Other",  "Unkown")))</f>
        <v>Female</v>
      </c>
    </row>
    <row r="2334" spans="1:15" hidden="1"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IF(orders[[#This Row],[Customer Gender]] = "M", "Male", IF(orders[[#This Row],[Customer Gender]] = "F", "Female", IF(orders[[#This Row],[Customer Gender]] = "O", "Other",  "Unkown")))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IF(orders[[#This Row],[Customer Gender]] = "M", "Male", IF(orders[[#This Row],[Customer Gender]] = "F", "Female", IF(orders[[#This Row],[Customer Gender]] = "O", "Other",  "Unkown")))</f>
        <v>Female</v>
      </c>
    </row>
    <row r="2336" spans="1:15" hidden="1"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IF(orders[[#This Row],[Customer Gender]] = "M", "Male", IF(orders[[#This Row],[Customer Gender]] = "F", "Female", IF(orders[[#This Row],[Customer Gender]] = "O", "Other",  "Unkown")))</f>
        <v>Male</v>
      </c>
    </row>
    <row r="2337" spans="1:15" hidden="1"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IF(orders[[#This Row],[Customer Gender]] = "M", "Male", IF(orders[[#This Row],[Customer Gender]] = "F", "Female", IF(orders[[#This Row],[Customer Gender]] = "O", "Other",  "Unkown")))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IF(orders[[#This Row],[Customer Gender]] = "M", "Male", IF(orders[[#This Row],[Customer Gender]] = "F", "Female", IF(orders[[#This Row],[Customer Gender]] = "O", "Other",  "Unkown")))</f>
        <v>Female</v>
      </c>
    </row>
    <row r="2339" spans="1:15" hidden="1"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IF(orders[[#This Row],[Customer Gender]] = "M", "Male", IF(orders[[#This Row],[Customer Gender]] = "F", "Female", IF(orders[[#This Row],[Customer Gender]] = "O", "Other",  "Unkown")))</f>
        <v>Male</v>
      </c>
    </row>
    <row r="2340" spans="1:15" hidden="1"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IF(orders[[#This Row],[Customer Gender]] = "M", "Male", IF(orders[[#This Row],[Customer Gender]] = "F", "Female", IF(orders[[#This Row],[Customer Gender]] = "O", "Other",  "Unkown")))</f>
        <v>Male</v>
      </c>
    </row>
    <row r="2341" spans="1:15" hidden="1"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IF(orders[[#This Row],[Customer Gender]] = "M", "Male", IF(orders[[#This Row],[Customer Gender]] = "F", "Female", IF(orders[[#This Row],[Customer Gender]] = "O", "Other",  "Unkown")))</f>
        <v>Male</v>
      </c>
    </row>
    <row r="2342" spans="1:15" hidden="1"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IF(orders[[#This Row],[Customer Gender]] = "M", "Male", IF(orders[[#This Row],[Customer Gender]] = "F", "Female", IF(orders[[#This Row],[Customer Gender]] = "O", "Other",  "Unkown")))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IF(orders[[#This Row],[Customer Gender]] = "M", "Male", IF(orders[[#This Row],[Customer Gender]] = "F", "Female", IF(orders[[#This Row],[Customer Gender]] = "O", "Other",  "Unkown")))</f>
        <v>Female</v>
      </c>
    </row>
    <row r="2344" spans="1:15" hidden="1"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IF(orders[[#This Row],[Customer Gender]] = "M", "Male", IF(orders[[#This Row],[Customer Gender]] = "F", "Female", IF(orders[[#This Row],[Customer Gender]] = "O", "Other",  "Unkown")))</f>
        <v>Male</v>
      </c>
    </row>
    <row r="2345" spans="1:15" hidden="1"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IF(orders[[#This Row],[Customer Gender]] = "M", "Male", IF(orders[[#This Row],[Customer Gender]] = "F", "Female", IF(orders[[#This Row],[Customer Gender]] = "O", "Other",  "Unkown")))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IF(orders[[#This Row],[Customer Gender]] = "M", "Male", IF(orders[[#This Row],[Customer Gender]] = "F", "Female", IF(orders[[#This Row],[Customer Gender]] = "O", "Other",  "Unkown")))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IF(orders[[#This Row],[Customer Gender]] = "M", "Male", IF(orders[[#This Row],[Customer Gender]] = "F", "Female", IF(orders[[#This Row],[Customer Gender]] = "O", "Other",  "Unkown")))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IF(orders[[#This Row],[Customer Gender]] = "M", "Male", IF(orders[[#This Row],[Customer Gender]] = "F", "Female", IF(orders[[#This Row],[Customer Gender]] = "O", "Other",  "Unkown")))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IF(orders[[#This Row],[Customer Gender]] = "M", "Male", IF(orders[[#This Row],[Customer Gender]] = "F", "Female", IF(orders[[#This Row],[Customer Gender]] = "O", "Other",  "Unkown")))</f>
        <v>Female</v>
      </c>
    </row>
    <row r="2350" spans="1:15" hidden="1"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IF(orders[[#This Row],[Customer Gender]] = "M", "Male", IF(orders[[#This Row],[Customer Gender]] = "F", "Female", IF(orders[[#This Row],[Customer Gender]] = "O", "Other",  "Unkown")))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IF(orders[[#This Row],[Customer Gender]] = "M", "Male", IF(orders[[#This Row],[Customer Gender]] = "F", "Female", IF(orders[[#This Row],[Customer Gender]] = "O", "Other",  "Unkown")))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IF(orders[[#This Row],[Customer Gender]] = "M", "Male", IF(orders[[#This Row],[Customer Gender]] = "F", "Female", IF(orders[[#This Row],[Customer Gender]] = "O", "Other",  "Unkown")))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IF(orders[[#This Row],[Customer Gender]] = "M", "Male", IF(orders[[#This Row],[Customer Gender]] = "F", "Female", IF(orders[[#This Row],[Customer Gender]] = "O", "Other",  "Unkown")))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IF(orders[[#This Row],[Customer Gender]] = "M", "Male", IF(orders[[#This Row],[Customer Gender]] = "F", "Female", IF(orders[[#This Row],[Customer Gender]] = "O", "Other",  "Unkown")))</f>
        <v>Female</v>
      </c>
    </row>
    <row r="2355" spans="1:15" hidden="1"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IF(orders[[#This Row],[Customer Gender]] = "M", "Male", IF(orders[[#This Row],[Customer Gender]] = "F", "Female", IF(orders[[#This Row],[Customer Gender]] = "O", "Other",  "Unkown")))</f>
        <v>Unkown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IF(orders[[#This Row],[Customer Gender]] = "M", "Male", IF(orders[[#This Row],[Customer Gender]] = "F", "Female", IF(orders[[#This Row],[Customer Gender]] = "O", "Other",  "Unkown")))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IF(orders[[#This Row],[Customer Gender]] = "M", "Male", IF(orders[[#This Row],[Customer Gender]] = "F", "Female", IF(orders[[#This Row],[Customer Gender]] = "O", "Other",  "Unkown")))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IF(orders[[#This Row],[Customer Gender]] = "M", "Male", IF(orders[[#This Row],[Customer Gender]] = "F", "Female", IF(orders[[#This Row],[Customer Gender]] = "O", "Other",  "Unkown")))</f>
        <v>Female</v>
      </c>
    </row>
    <row r="2359" spans="1:15" hidden="1"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IF(orders[[#This Row],[Customer Gender]] = "M", "Male", IF(orders[[#This Row],[Customer Gender]] = "F", "Female", IF(orders[[#This Row],[Customer Gender]] = "O", "Other",  "Unkown")))</f>
        <v>Male</v>
      </c>
    </row>
    <row r="2360" spans="1:15" hidden="1"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IF(orders[[#This Row],[Customer Gender]] = "M", "Male", IF(orders[[#This Row],[Customer Gender]] = "F", "Female", IF(orders[[#This Row],[Customer Gender]] = "O", "Other",  "Unkown")))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IF(orders[[#This Row],[Customer Gender]] = "M", "Male", IF(orders[[#This Row],[Customer Gender]] = "F", "Female", IF(orders[[#This Row],[Customer Gender]] = "O", "Other",  "Unkown")))</f>
        <v>Female</v>
      </c>
    </row>
    <row r="2362" spans="1:15" hidden="1"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IF(orders[[#This Row],[Customer Gender]] = "M", "Male", IF(orders[[#This Row],[Customer Gender]] = "F", "Female", IF(orders[[#This Row],[Customer Gender]] = "O", "Other",  "Unkown")))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IF(orders[[#This Row],[Customer Gender]] = "M", "Male", IF(orders[[#This Row],[Customer Gender]] = "F", "Female", IF(orders[[#This Row],[Customer Gender]] = "O", "Other",  "Unkown")))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IF(orders[[#This Row],[Customer Gender]] = "M", "Male", IF(orders[[#This Row],[Customer Gender]] = "F", "Female", IF(orders[[#This Row],[Customer Gender]] = "O", "Other",  "Unkown")))</f>
        <v>Female</v>
      </c>
    </row>
    <row r="2365" spans="1:15" hidden="1"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IF(orders[[#This Row],[Customer Gender]] = "M", "Male", IF(orders[[#This Row],[Customer Gender]] = "F", "Female", IF(orders[[#This Row],[Customer Gender]] = "O", "Other",  "Unkown")))</f>
        <v>Male</v>
      </c>
    </row>
    <row r="2366" spans="1:15" hidden="1"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IF(orders[[#This Row],[Customer Gender]] = "M", "Male", IF(orders[[#This Row],[Customer Gender]] = "F", "Female", IF(orders[[#This Row],[Customer Gender]] = "O", "Other",  "Unkown")))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IF(orders[[#This Row],[Customer Gender]] = "M", "Male", IF(orders[[#This Row],[Customer Gender]] = "F", "Female", IF(orders[[#This Row],[Customer Gender]] = "O", "Other",  "Unkown")))</f>
        <v>Female</v>
      </c>
    </row>
    <row r="2368" spans="1:15" hidden="1"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IF(orders[[#This Row],[Customer Gender]] = "M", "Male", IF(orders[[#This Row],[Customer Gender]] = "F", "Female", IF(orders[[#This Row],[Customer Gender]] = "O", "Other",  "Unkown")))</f>
        <v>Male</v>
      </c>
    </row>
    <row r="2369" spans="1:15" hidden="1"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IF(orders[[#This Row],[Customer Gender]] = "M", "Male", IF(orders[[#This Row],[Customer Gender]] = "F", "Female", IF(orders[[#This Row],[Customer Gender]] = "O", "Other",  "Unkown")))</f>
        <v>Unkown</v>
      </c>
    </row>
    <row r="2370" spans="1:15" hidden="1"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IF(orders[[#This Row],[Customer Gender]] = "M", "Male", IF(orders[[#This Row],[Customer Gender]] = "F", "Female", IF(orders[[#This Row],[Customer Gender]] = "O", "Other",  "Unkown")))</f>
        <v>Male</v>
      </c>
    </row>
    <row r="2371" spans="1:15" hidden="1"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IF(orders[[#This Row],[Customer Gender]] = "M", "Male", IF(orders[[#This Row],[Customer Gender]] = "F", "Female", IF(orders[[#This Row],[Customer Gender]] = "O", "Other",  "Unkown")))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IF(orders[[#This Row],[Customer Gender]] = "M", "Male", IF(orders[[#This Row],[Customer Gender]] = "F", "Female", IF(orders[[#This Row],[Customer Gender]] = "O", "Other",  "Unkown")))</f>
        <v>Female</v>
      </c>
    </row>
    <row r="2373" spans="1:15" hidden="1"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IF(orders[[#This Row],[Customer Gender]] = "M", "Male", IF(orders[[#This Row],[Customer Gender]] = "F", "Female", IF(orders[[#This Row],[Customer Gender]] = "O", "Other",  "Unkown")))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IF(orders[[#This Row],[Customer Gender]] = "M", "Male", IF(orders[[#This Row],[Customer Gender]] = "F", "Female", IF(orders[[#This Row],[Customer Gender]] = "O", "Other",  "Unkown")))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IF(orders[[#This Row],[Customer Gender]] = "M", "Male", IF(orders[[#This Row],[Customer Gender]] = "F", "Female", IF(orders[[#This Row],[Customer Gender]] = "O", "Other",  "Unkown")))</f>
        <v>Female</v>
      </c>
    </row>
    <row r="2376" spans="1:15" hidden="1"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IF(orders[[#This Row],[Customer Gender]] = "M", "Male", IF(orders[[#This Row],[Customer Gender]] = "F", "Female", IF(orders[[#This Row],[Customer Gender]] = "O", "Other",  "Unkown")))</f>
        <v>Male</v>
      </c>
    </row>
    <row r="2377" spans="1:15" hidden="1"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IF(orders[[#This Row],[Customer Gender]] = "M", "Male", IF(orders[[#This Row],[Customer Gender]] = "F", "Female", IF(orders[[#This Row],[Customer Gender]] = "O", "Other",  "Unkown")))</f>
        <v>Unkown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IF(orders[[#This Row],[Customer Gender]] = "M", "Male", IF(orders[[#This Row],[Customer Gender]] = "F", "Female", IF(orders[[#This Row],[Customer Gender]] = "O", "Other",  "Unkown")))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IF(orders[[#This Row],[Customer Gender]] = "M", "Male", IF(orders[[#This Row],[Customer Gender]] = "F", "Female", IF(orders[[#This Row],[Customer Gender]] = "O", "Other",  "Unkown")))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IF(orders[[#This Row],[Customer Gender]] = "M", "Male", IF(orders[[#This Row],[Customer Gender]] = "F", "Female", IF(orders[[#This Row],[Customer Gender]] = "O", "Other",  "Unkown")))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IF(orders[[#This Row],[Customer Gender]] = "M", "Male", IF(orders[[#This Row],[Customer Gender]] = "F", "Female", IF(orders[[#This Row],[Customer Gender]] = "O", "Other",  "Unkown")))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IF(orders[[#This Row],[Customer Gender]] = "M", "Male", IF(orders[[#This Row],[Customer Gender]] = "F", "Female", IF(orders[[#This Row],[Customer Gender]] = "O", "Other",  "Unkown")))</f>
        <v>Female</v>
      </c>
    </row>
    <row r="2383" spans="1:15" hidden="1"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IF(orders[[#This Row],[Customer Gender]] = "M", "Male", IF(orders[[#This Row],[Customer Gender]] = "F", "Female", IF(orders[[#This Row],[Customer Gender]] = "O", "Other",  "Unkown")))</f>
        <v>Male</v>
      </c>
    </row>
    <row r="2384" spans="1:15" hidden="1"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IF(orders[[#This Row],[Customer Gender]] = "M", "Male", IF(orders[[#This Row],[Customer Gender]] = "F", "Female", IF(orders[[#This Row],[Customer Gender]] = "O", "Other",  "Unkown")))</f>
        <v>Unkown</v>
      </c>
    </row>
    <row r="2385" spans="1:15" hidden="1"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IF(orders[[#This Row],[Customer Gender]] = "M", "Male", IF(orders[[#This Row],[Customer Gender]] = "F", "Female", IF(orders[[#This Row],[Customer Gender]] = "O", "Other",  "Unkown")))</f>
        <v>Male</v>
      </c>
    </row>
    <row r="2386" spans="1:15" hidden="1"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IF(orders[[#This Row],[Customer Gender]] = "M", "Male", IF(orders[[#This Row],[Customer Gender]] = "F", "Female", IF(orders[[#This Row],[Customer Gender]] = "O", "Other",  "Unkown")))</f>
        <v>Male</v>
      </c>
    </row>
    <row r="2387" spans="1:15" hidden="1"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IF(orders[[#This Row],[Customer Gender]] = "M", "Male", IF(orders[[#This Row],[Customer Gender]] = "F", "Female", IF(orders[[#This Row],[Customer Gender]] = "O", "Other",  "Unkown")))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IF(orders[[#This Row],[Customer Gender]] = "M", "Male", IF(orders[[#This Row],[Customer Gender]] = "F", "Female", IF(orders[[#This Row],[Customer Gender]] = "O", "Other",  "Unkown")))</f>
        <v>Female</v>
      </c>
    </row>
    <row r="2389" spans="1:15" hidden="1"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IF(orders[[#This Row],[Customer Gender]] = "M", "Male", IF(orders[[#This Row],[Customer Gender]] = "F", "Female", IF(orders[[#This Row],[Customer Gender]] = "O", "Other",  "Unkown")))</f>
        <v>Male</v>
      </c>
    </row>
    <row r="2390" spans="1:15" hidden="1"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IF(orders[[#This Row],[Customer Gender]] = "M", "Male", IF(orders[[#This Row],[Customer Gender]] = "F", "Female", IF(orders[[#This Row],[Customer Gender]] = "O", "Other",  "Unkown")))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IF(orders[[#This Row],[Customer Gender]] = "M", "Male", IF(orders[[#This Row],[Customer Gender]] = "F", "Female", IF(orders[[#This Row],[Customer Gender]] = "O", "Other",  "Unkown")))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IF(orders[[#This Row],[Customer Gender]] = "M", "Male", IF(orders[[#This Row],[Customer Gender]] = "F", "Female", IF(orders[[#This Row],[Customer Gender]] = "O", "Other",  "Unkown")))</f>
        <v>Female</v>
      </c>
    </row>
    <row r="2393" spans="1:15" hidden="1"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IF(orders[[#This Row],[Customer Gender]] = "M", "Male", IF(orders[[#This Row],[Customer Gender]] = "F", "Female", IF(orders[[#This Row],[Customer Gender]] = "O", "Other",  "Unkown")))</f>
        <v>Unkown</v>
      </c>
    </row>
    <row r="2394" spans="1:15" hidden="1"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IF(orders[[#This Row],[Customer Gender]] = "M", "Male", IF(orders[[#This Row],[Customer Gender]] = "F", "Female", IF(orders[[#This Row],[Customer Gender]] = "O", "Other",  "Unkown")))</f>
        <v>Male</v>
      </c>
    </row>
    <row r="2395" spans="1:15" hidden="1"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IF(orders[[#This Row],[Customer Gender]] = "M", "Male", IF(orders[[#This Row],[Customer Gender]] = "F", "Female", IF(orders[[#This Row],[Customer Gender]] = "O", "Other",  "Unkown")))</f>
        <v>Male</v>
      </c>
    </row>
    <row r="2396" spans="1:15" hidden="1"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IF(orders[[#This Row],[Customer Gender]] = "M", "Male", IF(orders[[#This Row],[Customer Gender]] = "F", "Female", IF(orders[[#This Row],[Customer Gender]] = "O", "Other",  "Unkown")))</f>
        <v>Male</v>
      </c>
    </row>
    <row r="2397" spans="1:15" hidden="1"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IF(orders[[#This Row],[Customer Gender]] = "M", "Male", IF(orders[[#This Row],[Customer Gender]] = "F", "Female", IF(orders[[#This Row],[Customer Gender]] = "O", "Other",  "Unkown")))</f>
        <v>Male</v>
      </c>
    </row>
    <row r="2398" spans="1:15" hidden="1"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IF(orders[[#This Row],[Customer Gender]] = "M", "Male", IF(orders[[#This Row],[Customer Gender]] = "F", "Female", IF(orders[[#This Row],[Customer Gender]] = "O", "Other",  "Unkown")))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IF(orders[[#This Row],[Customer Gender]] = "M", "Male", IF(orders[[#This Row],[Customer Gender]] = "F", "Female", IF(orders[[#This Row],[Customer Gender]] = "O", "Other",  "Unkown")))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IF(orders[[#This Row],[Customer Gender]] = "M", "Male", IF(orders[[#This Row],[Customer Gender]] = "F", "Female", IF(orders[[#This Row],[Customer Gender]] = "O", "Other",  "Unkown")))</f>
        <v>Female</v>
      </c>
    </row>
    <row r="2401" spans="1:15" hidden="1"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IF(orders[[#This Row],[Customer Gender]] = "M", "Male", IF(orders[[#This Row],[Customer Gender]] = "F", "Female", IF(orders[[#This Row],[Customer Gender]] = "O", "Other",  "Unkown")))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3" workbookViewId="0">
      <selection activeCell="E13" sqref="E13"/>
    </sheetView>
  </sheetViews>
  <sheetFormatPr defaultRowHeight="14.5" x14ac:dyDescent="0.35"/>
  <cols>
    <col min="1" max="1" width="3.7265625" customWidth="1"/>
    <col min="2" max="2" width="52.7265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1DB8-3EAB-4A69-A52E-3A7944CC2D23}">
  <dimension ref="A2:I174"/>
  <sheetViews>
    <sheetView tabSelected="1" topLeftCell="E147" workbookViewId="0">
      <selection activeCell="A165" sqref="A165"/>
    </sheetView>
  </sheetViews>
  <sheetFormatPr defaultRowHeight="14.5" x14ac:dyDescent="0.35"/>
  <cols>
    <col min="1" max="1" width="12.453125" bestFit="1" customWidth="1"/>
    <col min="2" max="2" width="14.26953125" bestFit="1" customWidth="1"/>
    <col min="3" max="3" width="13.6328125" bestFit="1" customWidth="1"/>
    <col min="4" max="4" width="7.6328125" bestFit="1" customWidth="1"/>
    <col min="5" max="5" width="10.36328125" bestFit="1" customWidth="1"/>
    <col min="6" max="6" width="3.81640625" bestFit="1" customWidth="1"/>
    <col min="7" max="7" width="10.36328125" bestFit="1" customWidth="1"/>
    <col min="8" max="8" width="13.453125" bestFit="1" customWidth="1"/>
    <col min="9" max="9" width="12.7265625" bestFit="1" customWidth="1"/>
  </cols>
  <sheetData>
    <row r="2" spans="1:5" x14ac:dyDescent="0.35">
      <c r="A2" s="17" t="s">
        <v>2525</v>
      </c>
      <c r="B2" s="17"/>
      <c r="C2" s="17"/>
      <c r="D2" s="17"/>
      <c r="E2" s="17"/>
    </row>
    <row r="3" spans="1:5" x14ac:dyDescent="0.35">
      <c r="A3" t="s">
        <v>2520</v>
      </c>
      <c r="B3" t="s">
        <v>2521</v>
      </c>
      <c r="C3" t="s">
        <v>2522</v>
      </c>
      <c r="D3" t="s">
        <v>2523</v>
      </c>
      <c r="E3" t="s">
        <v>2524</v>
      </c>
    </row>
    <row r="4" spans="1:5" x14ac:dyDescent="0.35">
      <c r="A4" s="18">
        <v>868</v>
      </c>
      <c r="B4" s="18">
        <v>4220</v>
      </c>
      <c r="C4" s="18">
        <v>229393.50000000023</v>
      </c>
      <c r="D4" s="18">
        <v>3.9965437788018434</v>
      </c>
      <c r="E4" s="18">
        <v>2.5184331797235022</v>
      </c>
    </row>
    <row r="6" spans="1:5" x14ac:dyDescent="0.35">
      <c r="A6" s="17" t="s">
        <v>2526</v>
      </c>
      <c r="B6" s="17"/>
      <c r="C6" s="17"/>
      <c r="D6" s="17"/>
      <c r="E6" s="17"/>
    </row>
    <row r="7" spans="1:5" x14ac:dyDescent="0.35">
      <c r="A7" t="s">
        <v>2504</v>
      </c>
      <c r="B7" t="s">
        <v>2505</v>
      </c>
      <c r="C7" t="s">
        <v>2506</v>
      </c>
      <c r="D7" t="s">
        <v>2527</v>
      </c>
      <c r="E7" t="s">
        <v>2528</v>
      </c>
    </row>
    <row r="8" spans="1:5" x14ac:dyDescent="0.35">
      <c r="A8" t="str">
        <f>TEXT(GETPIVOTDATA("Count of TX ID",$A$3), "#,##")</f>
        <v>868</v>
      </c>
      <c r="B8" t="str">
        <f>TEXT(GETPIVOTDATA("Sum of Quantity",$A$3), "##,##")</f>
        <v>4,220</v>
      </c>
      <c r="C8" t="str">
        <f>TEXT(C4, "$#,##,.0k")</f>
        <v>$229.4k</v>
      </c>
      <c r="D8" t="str">
        <f>TEXT(D4, "0.0")</f>
        <v>4.0</v>
      </c>
      <c r="E8" t="str">
        <f>TEXT(E4, "0.0")</f>
        <v>2.5</v>
      </c>
    </row>
    <row r="12" spans="1:5" x14ac:dyDescent="0.35">
      <c r="A12" s="17" t="s">
        <v>2529</v>
      </c>
      <c r="B12" s="17"/>
      <c r="C12" s="17"/>
      <c r="D12" s="17"/>
      <c r="E12" s="17"/>
    </row>
    <row r="13" spans="1:5" x14ac:dyDescent="0.35">
      <c r="A13" s="5" t="s">
        <v>2518</v>
      </c>
      <c r="B13" t="s">
        <v>2521</v>
      </c>
      <c r="C13" t="s">
        <v>2522</v>
      </c>
    </row>
    <row r="14" spans="1:5" x14ac:dyDescent="0.35">
      <c r="A14" s="6">
        <v>1</v>
      </c>
      <c r="B14" s="18">
        <v>211</v>
      </c>
      <c r="C14" s="7">
        <v>11642</v>
      </c>
    </row>
    <row r="15" spans="1:5" x14ac:dyDescent="0.35">
      <c r="A15" s="6">
        <v>2</v>
      </c>
      <c r="B15" s="18">
        <v>304</v>
      </c>
      <c r="C15" s="7">
        <v>17823.7</v>
      </c>
    </row>
    <row r="16" spans="1:5" x14ac:dyDescent="0.35">
      <c r="A16" s="6">
        <v>3</v>
      </c>
      <c r="B16" s="18">
        <v>262</v>
      </c>
      <c r="C16" s="7">
        <v>12389.9</v>
      </c>
    </row>
    <row r="17" spans="1:5" x14ac:dyDescent="0.35">
      <c r="A17" s="6">
        <v>4</v>
      </c>
      <c r="B17" s="18">
        <v>265</v>
      </c>
      <c r="C17" s="7">
        <v>15169.500000000004</v>
      </c>
    </row>
    <row r="18" spans="1:5" x14ac:dyDescent="0.35">
      <c r="A18" s="6">
        <v>5</v>
      </c>
      <c r="B18" s="18">
        <v>315</v>
      </c>
      <c r="C18" s="7">
        <v>15742.1</v>
      </c>
    </row>
    <row r="19" spans="1:5" x14ac:dyDescent="0.35">
      <c r="A19" s="6">
        <v>6</v>
      </c>
      <c r="B19" s="18">
        <v>448</v>
      </c>
      <c r="C19" s="7">
        <v>22307.799999999996</v>
      </c>
    </row>
    <row r="20" spans="1:5" x14ac:dyDescent="0.35">
      <c r="A20" s="6">
        <v>7</v>
      </c>
      <c r="B20" s="18">
        <v>339</v>
      </c>
      <c r="C20" s="7">
        <v>17440.099999999995</v>
      </c>
    </row>
    <row r="21" spans="1:5" x14ac:dyDescent="0.35">
      <c r="A21" s="6">
        <v>8</v>
      </c>
      <c r="B21" s="18">
        <v>393</v>
      </c>
      <c r="C21" s="7">
        <v>18864.500000000004</v>
      </c>
    </row>
    <row r="22" spans="1:5" x14ac:dyDescent="0.35">
      <c r="A22" s="6">
        <v>9</v>
      </c>
      <c r="B22" s="18">
        <v>434</v>
      </c>
      <c r="C22" s="7">
        <v>25660.899999999994</v>
      </c>
    </row>
    <row r="23" spans="1:5" x14ac:dyDescent="0.35">
      <c r="A23" s="6">
        <v>10</v>
      </c>
      <c r="B23" s="18">
        <v>413</v>
      </c>
      <c r="C23" s="7">
        <v>21198.799999999999</v>
      </c>
    </row>
    <row r="24" spans="1:5" x14ac:dyDescent="0.35">
      <c r="A24" s="6">
        <v>11</v>
      </c>
      <c r="B24" s="18">
        <v>280</v>
      </c>
      <c r="C24" s="7">
        <v>14714.600000000008</v>
      </c>
    </row>
    <row r="25" spans="1:5" x14ac:dyDescent="0.35">
      <c r="A25" s="6">
        <v>12</v>
      </c>
      <c r="B25" s="18">
        <v>297</v>
      </c>
      <c r="C25" s="7">
        <v>17761.400000000001</v>
      </c>
    </row>
    <row r="26" spans="1:5" x14ac:dyDescent="0.35">
      <c r="A26" s="6">
        <v>13</v>
      </c>
      <c r="B26" s="18">
        <v>259</v>
      </c>
      <c r="C26" s="7">
        <v>18678.2</v>
      </c>
    </row>
    <row r="27" spans="1:5" x14ac:dyDescent="0.35">
      <c r="A27" s="6" t="s">
        <v>2519</v>
      </c>
      <c r="B27" s="18">
        <v>4220</v>
      </c>
      <c r="C27" s="7">
        <v>229393.5</v>
      </c>
    </row>
    <row r="30" spans="1:5" x14ac:dyDescent="0.35">
      <c r="A30" s="17" t="s">
        <v>2536</v>
      </c>
      <c r="B30" s="17"/>
      <c r="C30" s="17"/>
      <c r="D30" s="17"/>
      <c r="E30" s="17"/>
    </row>
    <row r="31" spans="1:5" x14ac:dyDescent="0.35">
      <c r="A31" s="5" t="s">
        <v>2518</v>
      </c>
      <c r="B31" t="s">
        <v>2520</v>
      </c>
    </row>
    <row r="32" spans="1:5" x14ac:dyDescent="0.35">
      <c r="A32" s="6">
        <v>1</v>
      </c>
      <c r="B32" s="18">
        <v>166</v>
      </c>
    </row>
    <row r="33" spans="1:5" x14ac:dyDescent="0.35">
      <c r="A33" s="6">
        <v>2</v>
      </c>
      <c r="B33" s="18">
        <v>197</v>
      </c>
    </row>
    <row r="34" spans="1:5" x14ac:dyDescent="0.35">
      <c r="A34" s="6">
        <v>3</v>
      </c>
      <c r="B34" s="18">
        <v>123</v>
      </c>
    </row>
    <row r="35" spans="1:5" x14ac:dyDescent="0.35">
      <c r="A35" s="6">
        <v>4</v>
      </c>
      <c r="B35" s="18">
        <v>87</v>
      </c>
    </row>
    <row r="36" spans="1:5" x14ac:dyDescent="0.35">
      <c r="A36" s="6">
        <v>5</v>
      </c>
      <c r="B36" s="18">
        <v>77</v>
      </c>
    </row>
    <row r="37" spans="1:5" x14ac:dyDescent="0.35">
      <c r="A37" s="6" t="s">
        <v>2537</v>
      </c>
      <c r="B37" s="18">
        <v>134</v>
      </c>
    </row>
    <row r="38" spans="1:5" x14ac:dyDescent="0.35">
      <c r="A38" s="6" t="s">
        <v>2538</v>
      </c>
      <c r="B38" s="18">
        <v>84</v>
      </c>
    </row>
    <row r="39" spans="1:5" x14ac:dyDescent="0.35">
      <c r="A39" s="6" t="s">
        <v>2519</v>
      </c>
      <c r="B39" s="18">
        <v>868</v>
      </c>
    </row>
    <row r="47" spans="1:5" x14ac:dyDescent="0.35">
      <c r="A47" s="17" t="s">
        <v>2539</v>
      </c>
      <c r="B47" s="17"/>
      <c r="C47" s="17"/>
      <c r="D47" s="17"/>
      <c r="E47" s="17"/>
    </row>
    <row r="48" spans="1:5" x14ac:dyDescent="0.35">
      <c r="A48" s="5" t="s">
        <v>2521</v>
      </c>
      <c r="B48" s="5" t="s">
        <v>2533</v>
      </c>
    </row>
    <row r="49" spans="1:5" x14ac:dyDescent="0.35">
      <c r="A49" s="5" t="s">
        <v>2518</v>
      </c>
      <c r="B49" t="s">
        <v>2530</v>
      </c>
      <c r="C49" t="s">
        <v>2531</v>
      </c>
      <c r="D49" t="s">
        <v>2532</v>
      </c>
      <c r="E49" t="s">
        <v>2519</v>
      </c>
    </row>
    <row r="50" spans="1:5" x14ac:dyDescent="0.35">
      <c r="A50" s="6" t="s">
        <v>39</v>
      </c>
      <c r="B50" s="18">
        <v>318</v>
      </c>
      <c r="C50" s="18">
        <v>149</v>
      </c>
      <c r="D50" s="18">
        <v>79</v>
      </c>
      <c r="E50" s="18">
        <v>546</v>
      </c>
    </row>
    <row r="51" spans="1:5" x14ac:dyDescent="0.35">
      <c r="A51" s="6" t="s">
        <v>44</v>
      </c>
      <c r="B51" s="18">
        <v>240</v>
      </c>
      <c r="C51" s="18">
        <v>203</v>
      </c>
      <c r="D51" s="18">
        <v>59</v>
      </c>
      <c r="E51" s="18">
        <v>502</v>
      </c>
    </row>
    <row r="52" spans="1:5" x14ac:dyDescent="0.35">
      <c r="A52" s="6" t="s">
        <v>26</v>
      </c>
      <c r="B52" s="18">
        <v>266</v>
      </c>
      <c r="C52" s="18">
        <v>131</v>
      </c>
      <c r="D52" s="18">
        <v>97</v>
      </c>
      <c r="E52" s="18">
        <v>494</v>
      </c>
    </row>
    <row r="53" spans="1:5" x14ac:dyDescent="0.35">
      <c r="A53" s="6" t="s">
        <v>16</v>
      </c>
      <c r="B53" s="18">
        <v>163</v>
      </c>
      <c r="C53" s="18">
        <v>140</v>
      </c>
      <c r="D53" s="18">
        <v>12</v>
      </c>
      <c r="E53" s="18">
        <v>315</v>
      </c>
    </row>
    <row r="54" spans="1:5" x14ac:dyDescent="0.35">
      <c r="A54" s="6" t="s">
        <v>22</v>
      </c>
      <c r="B54" s="18">
        <v>192</v>
      </c>
      <c r="C54" s="18">
        <v>76</v>
      </c>
      <c r="D54" s="18">
        <v>11</v>
      </c>
      <c r="E54" s="18">
        <v>279</v>
      </c>
    </row>
    <row r="55" spans="1:5" x14ac:dyDescent="0.35">
      <c r="A55" s="6" t="s">
        <v>54</v>
      </c>
      <c r="B55" s="18">
        <v>152</v>
      </c>
      <c r="C55" s="18">
        <v>101</v>
      </c>
      <c r="D55" s="18">
        <v>1</v>
      </c>
      <c r="E55" s="18">
        <v>254</v>
      </c>
    </row>
    <row r="56" spans="1:5" x14ac:dyDescent="0.35">
      <c r="A56" s="6" t="s">
        <v>123</v>
      </c>
      <c r="B56" s="18">
        <v>61</v>
      </c>
      <c r="C56" s="18">
        <v>176</v>
      </c>
      <c r="D56" s="18">
        <v>16</v>
      </c>
      <c r="E56" s="18">
        <v>253</v>
      </c>
    </row>
    <row r="57" spans="1:5" x14ac:dyDescent="0.35">
      <c r="A57" s="6" t="s">
        <v>42</v>
      </c>
      <c r="B57" s="18">
        <v>96</v>
      </c>
      <c r="C57" s="18">
        <v>151</v>
      </c>
      <c r="D57" s="18"/>
      <c r="E57" s="18">
        <v>247</v>
      </c>
    </row>
    <row r="58" spans="1:5" x14ac:dyDescent="0.35">
      <c r="A58" s="6" t="s">
        <v>46</v>
      </c>
      <c r="B58" s="18">
        <v>164</v>
      </c>
      <c r="C58" s="18">
        <v>63</v>
      </c>
      <c r="D58" s="18">
        <v>15</v>
      </c>
      <c r="E58" s="18">
        <v>242</v>
      </c>
    </row>
    <row r="59" spans="1:5" x14ac:dyDescent="0.35">
      <c r="A59" s="6" t="s">
        <v>32</v>
      </c>
      <c r="B59" s="18">
        <v>152</v>
      </c>
      <c r="C59" s="18">
        <v>60</v>
      </c>
      <c r="D59" s="18">
        <v>11</v>
      </c>
      <c r="E59" s="18">
        <v>223</v>
      </c>
    </row>
    <row r="60" spans="1:5" x14ac:dyDescent="0.35">
      <c r="A60" s="6" t="s">
        <v>37</v>
      </c>
      <c r="B60" s="18">
        <v>116</v>
      </c>
      <c r="C60" s="18">
        <v>73</v>
      </c>
      <c r="D60" s="18">
        <v>3</v>
      </c>
      <c r="E60" s="18">
        <v>192</v>
      </c>
    </row>
    <row r="61" spans="1:5" x14ac:dyDescent="0.35">
      <c r="A61" s="6" t="s">
        <v>69</v>
      </c>
      <c r="B61" s="18">
        <v>84</v>
      </c>
      <c r="C61" s="18">
        <v>45</v>
      </c>
      <c r="D61" s="18">
        <v>12</v>
      </c>
      <c r="E61" s="18">
        <v>141</v>
      </c>
    </row>
    <row r="62" spans="1:5" x14ac:dyDescent="0.35">
      <c r="A62" s="6" t="s">
        <v>146</v>
      </c>
      <c r="B62" s="18">
        <v>72</v>
      </c>
      <c r="C62" s="18">
        <v>61</v>
      </c>
      <c r="D62" s="18">
        <v>6</v>
      </c>
      <c r="E62" s="18">
        <v>139</v>
      </c>
    </row>
    <row r="63" spans="1:5" x14ac:dyDescent="0.35">
      <c r="A63" s="6" t="s">
        <v>30</v>
      </c>
      <c r="B63" s="18">
        <v>39</v>
      </c>
      <c r="C63" s="18">
        <v>46</v>
      </c>
      <c r="D63" s="18">
        <v>18</v>
      </c>
      <c r="E63" s="18">
        <v>103</v>
      </c>
    </row>
    <row r="64" spans="1:5" x14ac:dyDescent="0.35">
      <c r="A64" s="6" t="s">
        <v>67</v>
      </c>
      <c r="B64" s="18">
        <v>37</v>
      </c>
      <c r="C64" s="18">
        <v>30</v>
      </c>
      <c r="D64" s="18">
        <v>3</v>
      </c>
      <c r="E64" s="18">
        <v>70</v>
      </c>
    </row>
    <row r="65" spans="1:5" x14ac:dyDescent="0.35">
      <c r="A65" s="6" t="s">
        <v>76</v>
      </c>
      <c r="B65" s="18">
        <v>22</v>
      </c>
      <c r="C65" s="18">
        <v>39</v>
      </c>
      <c r="D65" s="18">
        <v>4</v>
      </c>
      <c r="E65" s="18">
        <v>65</v>
      </c>
    </row>
    <row r="66" spans="1:5" x14ac:dyDescent="0.35">
      <c r="A66" s="6" t="s">
        <v>128</v>
      </c>
      <c r="B66" s="18">
        <v>35</v>
      </c>
      <c r="C66" s="18">
        <v>29</v>
      </c>
      <c r="D66" s="18"/>
      <c r="E66" s="18">
        <v>64</v>
      </c>
    </row>
    <row r="67" spans="1:5" x14ac:dyDescent="0.35">
      <c r="A67" s="6" t="s">
        <v>81</v>
      </c>
      <c r="B67" s="18">
        <v>11</v>
      </c>
      <c r="C67" s="18">
        <v>32</v>
      </c>
      <c r="D67" s="18">
        <v>14</v>
      </c>
      <c r="E67" s="18">
        <v>57</v>
      </c>
    </row>
    <row r="68" spans="1:5" x14ac:dyDescent="0.35">
      <c r="A68" s="6" t="s">
        <v>135</v>
      </c>
      <c r="B68" s="18">
        <v>17</v>
      </c>
      <c r="C68" s="18"/>
      <c r="D68" s="18">
        <v>12</v>
      </c>
      <c r="E68" s="18">
        <v>29</v>
      </c>
    </row>
    <row r="69" spans="1:5" x14ac:dyDescent="0.35">
      <c r="A69" s="6" t="s">
        <v>171</v>
      </c>
      <c r="B69" s="18">
        <v>3</v>
      </c>
      <c r="C69" s="18"/>
      <c r="D69" s="18">
        <v>2</v>
      </c>
      <c r="E69" s="18">
        <v>5</v>
      </c>
    </row>
    <row r="70" spans="1:5" x14ac:dyDescent="0.35">
      <c r="A70" s="6" t="s">
        <v>2519</v>
      </c>
      <c r="B70" s="18">
        <v>2240</v>
      </c>
      <c r="C70" s="18">
        <v>1605</v>
      </c>
      <c r="D70" s="18">
        <v>375</v>
      </c>
      <c r="E70" s="18">
        <v>4220</v>
      </c>
    </row>
    <row r="72" spans="1:5" x14ac:dyDescent="0.35">
      <c r="A72" s="6" t="s">
        <v>2540</v>
      </c>
    </row>
    <row r="73" spans="1:5" x14ac:dyDescent="0.35">
      <c r="A73" s="5" t="s">
        <v>2518</v>
      </c>
      <c r="B73" t="s">
        <v>2521</v>
      </c>
    </row>
    <row r="74" spans="1:5" x14ac:dyDescent="0.35">
      <c r="A74" s="6" t="s">
        <v>2530</v>
      </c>
      <c r="B74" s="18">
        <v>2240</v>
      </c>
    </row>
    <row r="75" spans="1:5" x14ac:dyDescent="0.35">
      <c r="A75" s="6" t="s">
        <v>2531</v>
      </c>
      <c r="B75" s="18">
        <v>1605</v>
      </c>
    </row>
    <row r="76" spans="1:5" x14ac:dyDescent="0.35">
      <c r="A76" s="6" t="s">
        <v>2532</v>
      </c>
      <c r="B76" s="18">
        <v>375</v>
      </c>
    </row>
    <row r="77" spans="1:5" x14ac:dyDescent="0.35">
      <c r="A77" s="6" t="s">
        <v>2519</v>
      </c>
      <c r="B77" s="18">
        <v>4220</v>
      </c>
    </row>
    <row r="86" spans="1:9" x14ac:dyDescent="0.35">
      <c r="A86" s="17" t="s">
        <v>2541</v>
      </c>
      <c r="B86" s="17"/>
      <c r="C86" s="17"/>
      <c r="D86" s="17"/>
      <c r="E86" s="17"/>
      <c r="G86" s="17" t="s">
        <v>2542</v>
      </c>
      <c r="H86" s="17"/>
      <c r="I86" s="17"/>
    </row>
    <row r="87" spans="1:9" x14ac:dyDescent="0.35">
      <c r="A87" s="5" t="s">
        <v>10</v>
      </c>
      <c r="B87" s="5" t="s">
        <v>11</v>
      </c>
      <c r="C87" t="s">
        <v>2521</v>
      </c>
      <c r="D87" t="s">
        <v>2522</v>
      </c>
      <c r="G87" t="s">
        <v>11</v>
      </c>
      <c r="H87" t="s">
        <v>2505</v>
      </c>
      <c r="I87" t="s">
        <v>2506</v>
      </c>
    </row>
    <row r="88" spans="1:9" x14ac:dyDescent="0.35">
      <c r="A88" t="s">
        <v>19</v>
      </c>
      <c r="B88" t="s">
        <v>115</v>
      </c>
      <c r="C88" s="18">
        <v>195</v>
      </c>
      <c r="D88" s="18">
        <v>10372.200000000001</v>
      </c>
      <c r="G88" t="str">
        <f>B88</f>
        <v>Alameda County</v>
      </c>
      <c r="H88">
        <f>C88</f>
        <v>195</v>
      </c>
      <c r="I88">
        <f>D88</f>
        <v>10372.200000000001</v>
      </c>
    </row>
    <row r="89" spans="1:9" x14ac:dyDescent="0.35">
      <c r="A89" t="s">
        <v>19</v>
      </c>
      <c r="B89" t="s">
        <v>20</v>
      </c>
      <c r="C89" s="18">
        <v>1</v>
      </c>
      <c r="D89" s="18">
        <v>10.9</v>
      </c>
      <c r="G89" t="str">
        <f t="shared" ref="G89:G145" si="0">B89</f>
        <v>Alpine County</v>
      </c>
      <c r="H89">
        <f t="shared" ref="H89:H145" si="1">C89</f>
        <v>1</v>
      </c>
      <c r="I89">
        <f t="shared" ref="I89:I145" si="2">D89</f>
        <v>10.9</v>
      </c>
    </row>
    <row r="90" spans="1:9" x14ac:dyDescent="0.35">
      <c r="A90" t="s">
        <v>19</v>
      </c>
      <c r="B90" t="s">
        <v>641</v>
      </c>
      <c r="C90" s="18">
        <v>2</v>
      </c>
      <c r="D90" s="18">
        <v>348.2</v>
      </c>
      <c r="G90" t="str">
        <f t="shared" si="0"/>
        <v>Amador County</v>
      </c>
      <c r="H90">
        <f t="shared" si="1"/>
        <v>2</v>
      </c>
      <c r="I90">
        <f t="shared" si="2"/>
        <v>348.2</v>
      </c>
    </row>
    <row r="91" spans="1:9" x14ac:dyDescent="0.35">
      <c r="A91" t="s">
        <v>19</v>
      </c>
      <c r="B91" t="s">
        <v>967</v>
      </c>
      <c r="C91" s="18">
        <v>9</v>
      </c>
      <c r="D91" s="18">
        <v>192.6</v>
      </c>
      <c r="G91" t="str">
        <f t="shared" si="0"/>
        <v>Butte County</v>
      </c>
      <c r="H91">
        <f t="shared" si="1"/>
        <v>9</v>
      </c>
      <c r="I91">
        <f t="shared" si="2"/>
        <v>192.6</v>
      </c>
    </row>
    <row r="92" spans="1:9" x14ac:dyDescent="0.35">
      <c r="A92" t="s">
        <v>19</v>
      </c>
      <c r="B92" t="s">
        <v>84</v>
      </c>
      <c r="C92" s="18">
        <v>12</v>
      </c>
      <c r="D92" s="18">
        <v>326.20000000000005</v>
      </c>
      <c r="G92" t="str">
        <f t="shared" si="0"/>
        <v>Calaveras County</v>
      </c>
      <c r="H92">
        <f t="shared" si="1"/>
        <v>12</v>
      </c>
      <c r="I92">
        <f t="shared" si="2"/>
        <v>326.20000000000005</v>
      </c>
    </row>
    <row r="93" spans="1:9" x14ac:dyDescent="0.35">
      <c r="A93" t="s">
        <v>19</v>
      </c>
      <c r="B93" t="s">
        <v>1383</v>
      </c>
      <c r="C93" s="18">
        <v>3</v>
      </c>
      <c r="D93" s="18">
        <v>127.19999999999999</v>
      </c>
      <c r="G93" t="str">
        <f t="shared" si="0"/>
        <v>Colusa County</v>
      </c>
      <c r="H93">
        <f t="shared" si="1"/>
        <v>3</v>
      </c>
      <c r="I93">
        <f t="shared" si="2"/>
        <v>127.19999999999999</v>
      </c>
    </row>
    <row r="94" spans="1:9" x14ac:dyDescent="0.35">
      <c r="A94" t="s">
        <v>19</v>
      </c>
      <c r="B94" t="s">
        <v>24</v>
      </c>
      <c r="C94" s="18">
        <v>79</v>
      </c>
      <c r="D94" s="18">
        <v>3781.2999999999988</v>
      </c>
      <c r="G94" t="str">
        <f t="shared" si="0"/>
        <v>Contra Costa County</v>
      </c>
      <c r="H94">
        <f t="shared" si="1"/>
        <v>79</v>
      </c>
      <c r="I94">
        <f t="shared" si="2"/>
        <v>3781.2999999999988</v>
      </c>
    </row>
    <row r="95" spans="1:9" x14ac:dyDescent="0.35">
      <c r="A95" t="s">
        <v>19</v>
      </c>
      <c r="B95" t="s">
        <v>2204</v>
      </c>
      <c r="C95" s="18">
        <v>13</v>
      </c>
      <c r="D95" s="18">
        <v>322.40000000000003</v>
      </c>
      <c r="G95" t="str">
        <f t="shared" si="0"/>
        <v>Del Norte County</v>
      </c>
      <c r="H95">
        <f t="shared" si="1"/>
        <v>13</v>
      </c>
      <c r="I95">
        <f t="shared" si="2"/>
        <v>322.40000000000003</v>
      </c>
    </row>
    <row r="96" spans="1:9" x14ac:dyDescent="0.35">
      <c r="A96" t="s">
        <v>19</v>
      </c>
      <c r="B96" t="s">
        <v>437</v>
      </c>
      <c r="C96" s="18">
        <v>22</v>
      </c>
      <c r="D96" s="18">
        <v>1253.8000000000002</v>
      </c>
      <c r="G96" t="str">
        <f t="shared" si="0"/>
        <v>El Dorado County</v>
      </c>
      <c r="H96">
        <f t="shared" si="1"/>
        <v>22</v>
      </c>
      <c r="I96">
        <f t="shared" si="2"/>
        <v>1253.8000000000002</v>
      </c>
    </row>
    <row r="97" spans="1:9" x14ac:dyDescent="0.35">
      <c r="A97" t="s">
        <v>19</v>
      </c>
      <c r="B97" t="s">
        <v>28</v>
      </c>
      <c r="C97" s="18">
        <v>104</v>
      </c>
      <c r="D97" s="18">
        <v>4417.3999999999996</v>
      </c>
      <c r="G97" t="str">
        <f t="shared" si="0"/>
        <v>Fresno County</v>
      </c>
      <c r="H97">
        <f t="shared" si="1"/>
        <v>104</v>
      </c>
      <c r="I97">
        <f t="shared" si="2"/>
        <v>4417.3999999999996</v>
      </c>
    </row>
    <row r="98" spans="1:9" x14ac:dyDescent="0.35">
      <c r="A98" t="s">
        <v>19</v>
      </c>
      <c r="B98" t="s">
        <v>587</v>
      </c>
      <c r="C98" s="18">
        <v>19</v>
      </c>
      <c r="D98" s="18">
        <v>460.09999999999997</v>
      </c>
      <c r="G98" t="str">
        <f t="shared" si="0"/>
        <v>Humboldt County</v>
      </c>
      <c r="H98">
        <f t="shared" si="1"/>
        <v>19</v>
      </c>
      <c r="I98">
        <f t="shared" si="2"/>
        <v>460.09999999999997</v>
      </c>
    </row>
    <row r="99" spans="1:9" x14ac:dyDescent="0.35">
      <c r="A99" t="s">
        <v>19</v>
      </c>
      <c r="B99" t="s">
        <v>331</v>
      </c>
      <c r="C99" s="18">
        <v>22</v>
      </c>
      <c r="D99" s="18">
        <v>1218.5999999999999</v>
      </c>
      <c r="G99" t="str">
        <f t="shared" si="0"/>
        <v>Imperial County</v>
      </c>
      <c r="H99">
        <f t="shared" si="1"/>
        <v>22</v>
      </c>
      <c r="I99">
        <f t="shared" si="2"/>
        <v>1218.5999999999999</v>
      </c>
    </row>
    <row r="100" spans="1:9" x14ac:dyDescent="0.35">
      <c r="A100" t="s">
        <v>19</v>
      </c>
      <c r="B100" t="s">
        <v>86</v>
      </c>
      <c r="C100" s="18">
        <v>8</v>
      </c>
      <c r="D100" s="18">
        <v>887.5</v>
      </c>
      <c r="G100" t="str">
        <f t="shared" si="0"/>
        <v>Inyo County</v>
      </c>
      <c r="H100">
        <f t="shared" si="1"/>
        <v>8</v>
      </c>
      <c r="I100">
        <f t="shared" si="2"/>
        <v>887.5</v>
      </c>
    </row>
    <row r="101" spans="1:9" x14ac:dyDescent="0.35">
      <c r="A101" t="s">
        <v>19</v>
      </c>
      <c r="B101" t="s">
        <v>147</v>
      </c>
      <c r="C101" s="18">
        <v>84</v>
      </c>
      <c r="D101" s="18">
        <v>4014.2000000000003</v>
      </c>
      <c r="G101" t="str">
        <f t="shared" si="0"/>
        <v>Kern County</v>
      </c>
      <c r="H101">
        <f t="shared" si="1"/>
        <v>84</v>
      </c>
      <c r="I101">
        <f t="shared" si="2"/>
        <v>4014.2000000000003</v>
      </c>
    </row>
    <row r="102" spans="1:9" x14ac:dyDescent="0.35">
      <c r="A102" t="s">
        <v>19</v>
      </c>
      <c r="B102" t="s">
        <v>334</v>
      </c>
      <c r="C102" s="18">
        <v>11</v>
      </c>
      <c r="D102" s="18">
        <v>370.90000000000003</v>
      </c>
      <c r="G102" t="str">
        <f t="shared" si="0"/>
        <v>Kings County</v>
      </c>
      <c r="H102">
        <f t="shared" si="1"/>
        <v>11</v>
      </c>
      <c r="I102">
        <f t="shared" si="2"/>
        <v>370.90000000000003</v>
      </c>
    </row>
    <row r="103" spans="1:9" x14ac:dyDescent="0.35">
      <c r="A103" t="s">
        <v>19</v>
      </c>
      <c r="B103" t="s">
        <v>949</v>
      </c>
      <c r="C103" s="18">
        <v>18</v>
      </c>
      <c r="D103" s="18">
        <v>1279</v>
      </c>
      <c r="G103" t="str">
        <f t="shared" si="0"/>
        <v>Lake County</v>
      </c>
      <c r="H103">
        <f t="shared" si="1"/>
        <v>18</v>
      </c>
      <c r="I103">
        <f t="shared" si="2"/>
        <v>1279</v>
      </c>
    </row>
    <row r="104" spans="1:9" x14ac:dyDescent="0.35">
      <c r="A104" t="s">
        <v>19</v>
      </c>
      <c r="B104" t="s">
        <v>33</v>
      </c>
      <c r="C104" s="18">
        <v>1363</v>
      </c>
      <c r="D104" s="18">
        <v>71609.89999999998</v>
      </c>
      <c r="G104" t="str">
        <f t="shared" si="0"/>
        <v>Los Angeles County</v>
      </c>
      <c r="H104">
        <f t="shared" si="1"/>
        <v>1363</v>
      </c>
      <c r="I104">
        <f t="shared" si="2"/>
        <v>71609.89999999998</v>
      </c>
    </row>
    <row r="105" spans="1:9" x14ac:dyDescent="0.35">
      <c r="A105" t="s">
        <v>19</v>
      </c>
      <c r="B105" t="s">
        <v>364</v>
      </c>
      <c r="C105" s="18">
        <v>22</v>
      </c>
      <c r="D105" s="18">
        <v>1180.4000000000001</v>
      </c>
      <c r="G105" t="str">
        <f t="shared" si="0"/>
        <v>Madera County</v>
      </c>
      <c r="H105">
        <f t="shared" si="1"/>
        <v>22</v>
      </c>
      <c r="I105">
        <f t="shared" si="2"/>
        <v>1180.4000000000001</v>
      </c>
    </row>
    <row r="106" spans="1:9" x14ac:dyDescent="0.35">
      <c r="A106" t="s">
        <v>19</v>
      </c>
      <c r="B106" t="s">
        <v>545</v>
      </c>
      <c r="C106" s="18">
        <v>17</v>
      </c>
      <c r="D106" s="18">
        <v>328.1</v>
      </c>
      <c r="G106" t="str">
        <f t="shared" si="0"/>
        <v>Marin County</v>
      </c>
      <c r="H106">
        <f t="shared" si="1"/>
        <v>17</v>
      </c>
      <c r="I106">
        <f t="shared" si="2"/>
        <v>328.1</v>
      </c>
    </row>
    <row r="107" spans="1:9" x14ac:dyDescent="0.35">
      <c r="A107" t="s">
        <v>19</v>
      </c>
      <c r="B107" t="s">
        <v>416</v>
      </c>
      <c r="C107" s="18">
        <v>6</v>
      </c>
      <c r="D107" s="18">
        <v>445.79999999999995</v>
      </c>
      <c r="G107" t="str">
        <f t="shared" si="0"/>
        <v>Mariposa County</v>
      </c>
      <c r="H107">
        <f t="shared" si="1"/>
        <v>6</v>
      </c>
      <c r="I107">
        <f t="shared" si="2"/>
        <v>445.79999999999995</v>
      </c>
    </row>
    <row r="108" spans="1:9" x14ac:dyDescent="0.35">
      <c r="A108" t="s">
        <v>19</v>
      </c>
      <c r="B108" t="s">
        <v>258</v>
      </c>
      <c r="C108" s="18">
        <v>3</v>
      </c>
      <c r="D108" s="18">
        <v>172.2</v>
      </c>
      <c r="G108" t="str">
        <f t="shared" si="0"/>
        <v>Mendocino County</v>
      </c>
      <c r="H108">
        <f t="shared" si="1"/>
        <v>3</v>
      </c>
      <c r="I108">
        <f t="shared" si="2"/>
        <v>172.2</v>
      </c>
    </row>
    <row r="109" spans="1:9" x14ac:dyDescent="0.35">
      <c r="A109" t="s">
        <v>19</v>
      </c>
      <c r="B109" t="s">
        <v>186</v>
      </c>
      <c r="C109" s="18">
        <v>9</v>
      </c>
      <c r="D109" s="18">
        <v>479.90000000000003</v>
      </c>
      <c r="G109" t="str">
        <f t="shared" si="0"/>
        <v>Merced County</v>
      </c>
      <c r="H109">
        <f t="shared" si="1"/>
        <v>9</v>
      </c>
      <c r="I109">
        <f t="shared" si="2"/>
        <v>479.90000000000003</v>
      </c>
    </row>
    <row r="110" spans="1:9" x14ac:dyDescent="0.35">
      <c r="A110" t="s">
        <v>19</v>
      </c>
      <c r="B110" t="s">
        <v>802</v>
      </c>
      <c r="C110" s="18">
        <v>1</v>
      </c>
      <c r="D110" s="18">
        <v>57.6</v>
      </c>
      <c r="G110" t="str">
        <f t="shared" si="0"/>
        <v>Monterey County</v>
      </c>
      <c r="H110">
        <f t="shared" si="1"/>
        <v>1</v>
      </c>
      <c r="I110">
        <f t="shared" si="2"/>
        <v>57.6</v>
      </c>
    </row>
    <row r="111" spans="1:9" x14ac:dyDescent="0.35">
      <c r="A111" t="s">
        <v>19</v>
      </c>
      <c r="B111" t="s">
        <v>98</v>
      </c>
      <c r="C111" s="18">
        <v>31</v>
      </c>
      <c r="D111" s="18">
        <v>1741.4</v>
      </c>
      <c r="G111" t="str">
        <f t="shared" si="0"/>
        <v>Napa County</v>
      </c>
      <c r="H111">
        <f t="shared" si="1"/>
        <v>31</v>
      </c>
      <c r="I111">
        <f t="shared" si="2"/>
        <v>1741.4</v>
      </c>
    </row>
    <row r="112" spans="1:9" x14ac:dyDescent="0.35">
      <c r="A112" t="s">
        <v>19</v>
      </c>
      <c r="B112" t="s">
        <v>49</v>
      </c>
      <c r="C112" s="18">
        <v>13</v>
      </c>
      <c r="D112" s="18">
        <v>642</v>
      </c>
      <c r="G112" t="str">
        <f t="shared" si="0"/>
        <v>Nevada County</v>
      </c>
      <c r="H112">
        <f t="shared" si="1"/>
        <v>13</v>
      </c>
      <c r="I112">
        <f t="shared" si="2"/>
        <v>642</v>
      </c>
    </row>
    <row r="113" spans="1:9" x14ac:dyDescent="0.35">
      <c r="A113" t="s">
        <v>19</v>
      </c>
      <c r="B113" t="s">
        <v>188</v>
      </c>
      <c r="C113" s="18">
        <v>57</v>
      </c>
      <c r="D113" s="18">
        <v>2915.4</v>
      </c>
      <c r="G113" t="str">
        <f t="shared" si="0"/>
        <v>Orange County</v>
      </c>
      <c r="H113">
        <f t="shared" si="1"/>
        <v>57</v>
      </c>
      <c r="I113">
        <f t="shared" si="2"/>
        <v>2915.4</v>
      </c>
    </row>
    <row r="114" spans="1:9" x14ac:dyDescent="0.35">
      <c r="A114" t="s">
        <v>19</v>
      </c>
      <c r="B114" t="s">
        <v>52</v>
      </c>
      <c r="C114" s="18">
        <v>55</v>
      </c>
      <c r="D114" s="18">
        <v>3426.2000000000003</v>
      </c>
      <c r="G114" t="str">
        <f t="shared" si="0"/>
        <v>Placer County</v>
      </c>
      <c r="H114">
        <f t="shared" si="1"/>
        <v>55</v>
      </c>
      <c r="I114">
        <f t="shared" si="2"/>
        <v>3426.2000000000003</v>
      </c>
    </row>
    <row r="115" spans="1:9" x14ac:dyDescent="0.35">
      <c r="A115" t="s">
        <v>19</v>
      </c>
      <c r="B115" t="s">
        <v>338</v>
      </c>
      <c r="C115" s="18">
        <v>6</v>
      </c>
      <c r="D115" s="18">
        <v>206.1</v>
      </c>
      <c r="G115" t="str">
        <f t="shared" si="0"/>
        <v>Plumas County</v>
      </c>
      <c r="H115">
        <f t="shared" si="1"/>
        <v>6</v>
      </c>
      <c r="I115">
        <f t="shared" si="2"/>
        <v>206.1</v>
      </c>
    </row>
    <row r="116" spans="1:9" x14ac:dyDescent="0.35">
      <c r="A116" t="s">
        <v>19</v>
      </c>
      <c r="B116" t="s">
        <v>158</v>
      </c>
      <c r="C116" s="18">
        <v>105</v>
      </c>
      <c r="D116" s="18">
        <v>5305.7000000000007</v>
      </c>
      <c r="G116" t="str">
        <f t="shared" si="0"/>
        <v>Riverside County</v>
      </c>
      <c r="H116">
        <f t="shared" si="1"/>
        <v>105</v>
      </c>
      <c r="I116">
        <f t="shared" si="2"/>
        <v>5305.7000000000007</v>
      </c>
    </row>
    <row r="117" spans="1:9" x14ac:dyDescent="0.35">
      <c r="A117" t="s">
        <v>19</v>
      </c>
      <c r="B117" t="s">
        <v>55</v>
      </c>
      <c r="C117" s="18">
        <v>301</v>
      </c>
      <c r="D117" s="18">
        <v>17770.599999999999</v>
      </c>
      <c r="G117" t="str">
        <f t="shared" si="0"/>
        <v>Sacramento County</v>
      </c>
      <c r="H117">
        <f t="shared" si="1"/>
        <v>301</v>
      </c>
      <c r="I117">
        <f t="shared" si="2"/>
        <v>17770.599999999999</v>
      </c>
    </row>
    <row r="118" spans="1:9" x14ac:dyDescent="0.35">
      <c r="A118" t="s">
        <v>19</v>
      </c>
      <c r="B118" t="s">
        <v>342</v>
      </c>
      <c r="C118" s="18">
        <v>13</v>
      </c>
      <c r="D118" s="18">
        <v>476.2</v>
      </c>
      <c r="G118" t="str">
        <f t="shared" si="0"/>
        <v>San Benito County</v>
      </c>
      <c r="H118">
        <f t="shared" si="1"/>
        <v>13</v>
      </c>
      <c r="I118">
        <f t="shared" si="2"/>
        <v>476.2</v>
      </c>
    </row>
    <row r="119" spans="1:9" x14ac:dyDescent="0.35">
      <c r="A119" t="s">
        <v>19</v>
      </c>
      <c r="B119" t="s">
        <v>59</v>
      </c>
      <c r="C119" s="18">
        <v>136</v>
      </c>
      <c r="D119" s="18">
        <v>6874.0000000000009</v>
      </c>
      <c r="G119" t="str">
        <f t="shared" si="0"/>
        <v>San Bernardino County</v>
      </c>
      <c r="H119">
        <f t="shared" si="1"/>
        <v>136</v>
      </c>
      <c r="I119">
        <f t="shared" si="2"/>
        <v>6874.0000000000009</v>
      </c>
    </row>
    <row r="120" spans="1:9" x14ac:dyDescent="0.35">
      <c r="A120" t="s">
        <v>19</v>
      </c>
      <c r="B120" t="s">
        <v>62</v>
      </c>
      <c r="C120" s="18">
        <v>645</v>
      </c>
      <c r="D120" s="18">
        <v>34093.899999999994</v>
      </c>
      <c r="G120" t="str">
        <f t="shared" si="0"/>
        <v>San Diego County</v>
      </c>
      <c r="H120">
        <f t="shared" si="1"/>
        <v>645</v>
      </c>
      <c r="I120">
        <f t="shared" si="2"/>
        <v>34093.899999999994</v>
      </c>
    </row>
    <row r="121" spans="1:9" x14ac:dyDescent="0.35">
      <c r="A121" t="s">
        <v>19</v>
      </c>
      <c r="B121" t="s">
        <v>103</v>
      </c>
      <c r="C121" s="18">
        <v>141</v>
      </c>
      <c r="D121" s="18">
        <v>12278.400000000001</v>
      </c>
      <c r="G121" t="str">
        <f t="shared" si="0"/>
        <v>San Francisco</v>
      </c>
      <c r="H121">
        <f t="shared" si="1"/>
        <v>141</v>
      </c>
      <c r="I121">
        <f t="shared" si="2"/>
        <v>12278.400000000001</v>
      </c>
    </row>
    <row r="122" spans="1:9" x14ac:dyDescent="0.35">
      <c r="A122" t="s">
        <v>19</v>
      </c>
      <c r="B122" t="s">
        <v>201</v>
      </c>
      <c r="C122" s="18">
        <v>29</v>
      </c>
      <c r="D122" s="18">
        <v>885.2</v>
      </c>
      <c r="G122" t="str">
        <f t="shared" si="0"/>
        <v>San Joaquin County</v>
      </c>
      <c r="H122">
        <f t="shared" si="1"/>
        <v>29</v>
      </c>
      <c r="I122">
        <f t="shared" si="2"/>
        <v>885.2</v>
      </c>
    </row>
    <row r="123" spans="1:9" x14ac:dyDescent="0.35">
      <c r="A123" t="s">
        <v>19</v>
      </c>
      <c r="B123" t="s">
        <v>429</v>
      </c>
      <c r="C123" s="18">
        <v>6</v>
      </c>
      <c r="D123" s="18">
        <v>290.60000000000002</v>
      </c>
      <c r="G123" t="str">
        <f t="shared" si="0"/>
        <v>San Luis Obispo County</v>
      </c>
      <c r="H123">
        <f t="shared" si="1"/>
        <v>6</v>
      </c>
      <c r="I123">
        <f t="shared" si="2"/>
        <v>290.60000000000002</v>
      </c>
    </row>
    <row r="124" spans="1:9" x14ac:dyDescent="0.35">
      <c r="A124" t="s">
        <v>19</v>
      </c>
      <c r="B124" t="s">
        <v>72</v>
      </c>
      <c r="C124" s="18">
        <v>117</v>
      </c>
      <c r="D124" s="18">
        <v>5494.5000000000009</v>
      </c>
      <c r="G124" t="str">
        <f t="shared" si="0"/>
        <v>San Mateo County</v>
      </c>
      <c r="H124">
        <f t="shared" si="1"/>
        <v>117</v>
      </c>
      <c r="I124">
        <f t="shared" si="2"/>
        <v>5494.5000000000009</v>
      </c>
    </row>
    <row r="125" spans="1:9" x14ac:dyDescent="0.35">
      <c r="A125" t="s">
        <v>19</v>
      </c>
      <c r="B125" t="s">
        <v>74</v>
      </c>
      <c r="C125" s="18">
        <v>42</v>
      </c>
      <c r="D125" s="18">
        <v>1800.4</v>
      </c>
      <c r="G125" t="str">
        <f t="shared" si="0"/>
        <v>Santa Barbara County</v>
      </c>
      <c r="H125">
        <f t="shared" si="1"/>
        <v>42</v>
      </c>
      <c r="I125">
        <f t="shared" si="2"/>
        <v>1800.4</v>
      </c>
    </row>
    <row r="126" spans="1:9" x14ac:dyDescent="0.35">
      <c r="A126" t="s">
        <v>19</v>
      </c>
      <c r="B126" t="s">
        <v>77</v>
      </c>
      <c r="C126" s="18">
        <v>249</v>
      </c>
      <c r="D126" s="18">
        <v>14569.000000000005</v>
      </c>
      <c r="G126" t="str">
        <f t="shared" si="0"/>
        <v>Santa Clara County</v>
      </c>
      <c r="H126">
        <f t="shared" si="1"/>
        <v>249</v>
      </c>
      <c r="I126">
        <f t="shared" si="2"/>
        <v>14569.000000000005</v>
      </c>
    </row>
    <row r="127" spans="1:9" x14ac:dyDescent="0.35">
      <c r="A127" t="s">
        <v>19</v>
      </c>
      <c r="B127" t="s">
        <v>309</v>
      </c>
      <c r="C127" s="18">
        <v>8</v>
      </c>
      <c r="D127" s="18">
        <v>261.60000000000002</v>
      </c>
      <c r="G127" t="str">
        <f t="shared" si="0"/>
        <v>Santa Cruz County</v>
      </c>
      <c r="H127">
        <f t="shared" si="1"/>
        <v>8</v>
      </c>
      <c r="I127">
        <f t="shared" si="2"/>
        <v>261.60000000000002</v>
      </c>
    </row>
    <row r="128" spans="1:9" x14ac:dyDescent="0.35">
      <c r="A128" t="s">
        <v>19</v>
      </c>
      <c r="B128" t="s">
        <v>1116</v>
      </c>
      <c r="C128" s="18">
        <v>16</v>
      </c>
      <c r="D128" s="18">
        <v>890</v>
      </c>
      <c r="G128" t="str">
        <f t="shared" si="0"/>
        <v>Shasta County</v>
      </c>
      <c r="H128">
        <f t="shared" si="1"/>
        <v>16</v>
      </c>
      <c r="I128">
        <f t="shared" si="2"/>
        <v>890</v>
      </c>
    </row>
    <row r="129" spans="1:9" x14ac:dyDescent="0.35">
      <c r="A129" t="s">
        <v>19</v>
      </c>
      <c r="B129" t="s">
        <v>268</v>
      </c>
      <c r="C129" s="18">
        <v>3</v>
      </c>
      <c r="D129" s="18">
        <v>91.6</v>
      </c>
      <c r="G129" t="str">
        <f t="shared" si="0"/>
        <v>Siskiyou County</v>
      </c>
      <c r="H129">
        <f t="shared" si="1"/>
        <v>3</v>
      </c>
      <c r="I129">
        <f t="shared" si="2"/>
        <v>91.6</v>
      </c>
    </row>
    <row r="130" spans="1:9" x14ac:dyDescent="0.35">
      <c r="A130" t="s">
        <v>19</v>
      </c>
      <c r="B130" t="s">
        <v>377</v>
      </c>
      <c r="C130" s="18">
        <v>11</v>
      </c>
      <c r="D130" s="18">
        <v>413.6</v>
      </c>
      <c r="G130" t="str">
        <f t="shared" si="0"/>
        <v>Solano County</v>
      </c>
      <c r="H130">
        <f t="shared" si="1"/>
        <v>11</v>
      </c>
      <c r="I130">
        <f t="shared" si="2"/>
        <v>413.6</v>
      </c>
    </row>
    <row r="131" spans="1:9" x14ac:dyDescent="0.35">
      <c r="A131" t="s">
        <v>19</v>
      </c>
      <c r="B131" t="s">
        <v>108</v>
      </c>
      <c r="C131" s="18">
        <v>69</v>
      </c>
      <c r="D131" s="18">
        <v>7075.8000000000011</v>
      </c>
      <c r="G131" t="str">
        <f t="shared" si="0"/>
        <v>Sonoma County</v>
      </c>
      <c r="H131">
        <f t="shared" si="1"/>
        <v>69</v>
      </c>
      <c r="I131">
        <f t="shared" si="2"/>
        <v>7075.8000000000011</v>
      </c>
    </row>
    <row r="132" spans="1:9" x14ac:dyDescent="0.35">
      <c r="A132" t="s">
        <v>19</v>
      </c>
      <c r="B132" t="s">
        <v>110</v>
      </c>
      <c r="C132" s="18">
        <v>36</v>
      </c>
      <c r="D132" s="18">
        <v>2198.1</v>
      </c>
      <c r="G132" t="str">
        <f t="shared" si="0"/>
        <v>Stanislaus County</v>
      </c>
      <c r="H132">
        <f t="shared" si="1"/>
        <v>36</v>
      </c>
      <c r="I132">
        <f t="shared" si="2"/>
        <v>2198.1</v>
      </c>
    </row>
    <row r="133" spans="1:9" x14ac:dyDescent="0.35">
      <c r="A133" t="s">
        <v>19</v>
      </c>
      <c r="B133" t="s">
        <v>292</v>
      </c>
      <c r="C133" s="18">
        <v>7</v>
      </c>
      <c r="D133" s="18">
        <v>264.60000000000002</v>
      </c>
      <c r="G133" t="str">
        <f t="shared" si="0"/>
        <v>Sutter County</v>
      </c>
      <c r="H133">
        <f t="shared" si="1"/>
        <v>7</v>
      </c>
      <c r="I133">
        <f t="shared" si="2"/>
        <v>264.60000000000002</v>
      </c>
    </row>
    <row r="134" spans="1:9" x14ac:dyDescent="0.35">
      <c r="A134" t="s">
        <v>19</v>
      </c>
      <c r="B134" t="s">
        <v>113</v>
      </c>
      <c r="C134" s="18">
        <v>34</v>
      </c>
      <c r="D134" s="18">
        <v>1743.4999999999998</v>
      </c>
      <c r="G134" t="str">
        <f t="shared" si="0"/>
        <v>Tulare County</v>
      </c>
      <c r="H134">
        <f t="shared" si="1"/>
        <v>34</v>
      </c>
      <c r="I134">
        <f t="shared" si="2"/>
        <v>1743.4999999999998</v>
      </c>
    </row>
    <row r="135" spans="1:9" x14ac:dyDescent="0.35">
      <c r="A135" t="s">
        <v>19</v>
      </c>
      <c r="B135" t="s">
        <v>997</v>
      </c>
      <c r="C135" s="18">
        <v>16</v>
      </c>
      <c r="D135" s="18">
        <v>515.79999999999995</v>
      </c>
      <c r="G135" t="str">
        <f t="shared" si="0"/>
        <v>Tuolumne County</v>
      </c>
      <c r="H135">
        <f t="shared" si="1"/>
        <v>16</v>
      </c>
      <c r="I135">
        <f t="shared" si="2"/>
        <v>515.79999999999995</v>
      </c>
    </row>
    <row r="136" spans="1:9" x14ac:dyDescent="0.35">
      <c r="A136" t="s">
        <v>19</v>
      </c>
      <c r="B136" t="s">
        <v>82</v>
      </c>
      <c r="C136" s="18">
        <v>49</v>
      </c>
      <c r="D136" s="18">
        <v>3371.2999999999993</v>
      </c>
      <c r="G136" t="str">
        <f t="shared" si="0"/>
        <v>Ventura County</v>
      </c>
      <c r="H136">
        <f t="shared" si="1"/>
        <v>49</v>
      </c>
      <c r="I136">
        <f t="shared" si="2"/>
        <v>3371.2999999999993</v>
      </c>
    </row>
    <row r="137" spans="1:9" x14ac:dyDescent="0.35">
      <c r="A137" t="s">
        <v>19</v>
      </c>
      <c r="B137" t="s">
        <v>243</v>
      </c>
      <c r="C137" s="18">
        <v>2</v>
      </c>
      <c r="D137" s="18">
        <v>141.6</v>
      </c>
      <c r="G137" t="str">
        <f t="shared" si="0"/>
        <v>Yolo County</v>
      </c>
      <c r="H137">
        <f t="shared" si="1"/>
        <v>2</v>
      </c>
      <c r="I137">
        <f t="shared" si="2"/>
        <v>141.6</v>
      </c>
    </row>
    <row r="138" spans="1:9" x14ac:dyDescent="0.35">
      <c r="G138">
        <f t="shared" si="0"/>
        <v>0</v>
      </c>
      <c r="H138">
        <f t="shared" si="1"/>
        <v>0</v>
      </c>
      <c r="I138">
        <f t="shared" si="2"/>
        <v>0</v>
      </c>
    </row>
    <row r="139" spans="1:9" x14ac:dyDescent="0.35">
      <c r="G139">
        <f t="shared" si="0"/>
        <v>0</v>
      </c>
      <c r="H139">
        <f t="shared" si="1"/>
        <v>0</v>
      </c>
      <c r="I139">
        <f t="shared" si="2"/>
        <v>0</v>
      </c>
    </row>
    <row r="140" spans="1:9" x14ac:dyDescent="0.35">
      <c r="G140">
        <f t="shared" si="0"/>
        <v>0</v>
      </c>
      <c r="H140">
        <f t="shared" si="1"/>
        <v>0</v>
      </c>
      <c r="I140">
        <f t="shared" si="2"/>
        <v>0</v>
      </c>
    </row>
    <row r="141" spans="1:9" x14ac:dyDescent="0.35">
      <c r="G141">
        <f t="shared" si="0"/>
        <v>0</v>
      </c>
      <c r="H141">
        <f t="shared" si="1"/>
        <v>0</v>
      </c>
      <c r="I141">
        <f t="shared" si="2"/>
        <v>0</v>
      </c>
    </row>
    <row r="142" spans="1:9" x14ac:dyDescent="0.35">
      <c r="G142">
        <f t="shared" si="0"/>
        <v>0</v>
      </c>
      <c r="H142">
        <f t="shared" si="1"/>
        <v>0</v>
      </c>
      <c r="I142">
        <f t="shared" si="2"/>
        <v>0</v>
      </c>
    </row>
    <row r="143" spans="1:9" x14ac:dyDescent="0.35">
      <c r="G143">
        <f t="shared" si="0"/>
        <v>0</v>
      </c>
      <c r="H143">
        <f t="shared" si="1"/>
        <v>0</v>
      </c>
      <c r="I143">
        <f t="shared" si="2"/>
        <v>0</v>
      </c>
    </row>
    <row r="144" spans="1:9" x14ac:dyDescent="0.35">
      <c r="G144">
        <f t="shared" si="0"/>
        <v>0</v>
      </c>
      <c r="H144">
        <f t="shared" si="1"/>
        <v>0</v>
      </c>
      <c r="I144">
        <f t="shared" si="2"/>
        <v>0</v>
      </c>
    </row>
    <row r="145" spans="1:9" x14ac:dyDescent="0.35">
      <c r="G145">
        <f t="shared" si="0"/>
        <v>0</v>
      </c>
      <c r="H145">
        <f t="shared" si="1"/>
        <v>0</v>
      </c>
      <c r="I145">
        <f t="shared" si="2"/>
        <v>0</v>
      </c>
    </row>
    <row r="148" spans="1:9" x14ac:dyDescent="0.35">
      <c r="A148" s="17" t="s">
        <v>2543</v>
      </c>
      <c r="B148" s="17"/>
      <c r="C148" s="17"/>
      <c r="D148" s="17"/>
      <c r="E148" s="17"/>
      <c r="G148" s="17"/>
      <c r="H148" s="17"/>
    </row>
    <row r="149" spans="1:9" x14ac:dyDescent="0.35">
      <c r="A149" s="5" t="s">
        <v>2518</v>
      </c>
      <c r="B149" t="s">
        <v>2520</v>
      </c>
    </row>
    <row r="150" spans="1:9" x14ac:dyDescent="0.35">
      <c r="A150" s="6">
        <v>0</v>
      </c>
      <c r="B150" s="18">
        <v>55</v>
      </c>
    </row>
    <row r="151" spans="1:9" x14ac:dyDescent="0.35">
      <c r="A151" s="6">
        <v>1</v>
      </c>
      <c r="B151" s="18">
        <v>323</v>
      </c>
    </row>
    <row r="152" spans="1:9" x14ac:dyDescent="0.35">
      <c r="A152" s="6">
        <v>2</v>
      </c>
      <c r="B152" s="18">
        <v>179</v>
      </c>
    </row>
    <row r="153" spans="1:9" x14ac:dyDescent="0.35">
      <c r="A153" s="6">
        <v>3</v>
      </c>
      <c r="B153" s="18">
        <v>123</v>
      </c>
    </row>
    <row r="154" spans="1:9" x14ac:dyDescent="0.35">
      <c r="A154" s="6">
        <v>4</v>
      </c>
      <c r="B154" s="18">
        <v>71</v>
      </c>
    </row>
    <row r="155" spans="1:9" x14ac:dyDescent="0.35">
      <c r="A155" s="6">
        <v>5</v>
      </c>
      <c r="B155" s="18">
        <v>44</v>
      </c>
    </row>
    <row r="156" spans="1:9" x14ac:dyDescent="0.35">
      <c r="A156" s="6">
        <v>6</v>
      </c>
      <c r="B156" s="18">
        <v>19</v>
      </c>
    </row>
    <row r="157" spans="1:9" x14ac:dyDescent="0.35">
      <c r="A157" s="6">
        <v>7</v>
      </c>
      <c r="B157" s="18">
        <v>14</v>
      </c>
    </row>
    <row r="158" spans="1:9" x14ac:dyDescent="0.35">
      <c r="A158" s="6">
        <v>8</v>
      </c>
      <c r="B158" s="18">
        <v>13</v>
      </c>
    </row>
    <row r="159" spans="1:9" x14ac:dyDescent="0.35">
      <c r="A159" s="6">
        <v>9</v>
      </c>
      <c r="B159" s="18">
        <v>3</v>
      </c>
    </row>
    <row r="160" spans="1:9" x14ac:dyDescent="0.35">
      <c r="A160" s="6">
        <v>10</v>
      </c>
      <c r="B160" s="18">
        <v>5</v>
      </c>
    </row>
    <row r="161" spans="1:7" x14ac:dyDescent="0.35">
      <c r="A161" s="6">
        <v>11</v>
      </c>
      <c r="B161" s="18">
        <v>6</v>
      </c>
    </row>
    <row r="162" spans="1:7" x14ac:dyDescent="0.35">
      <c r="A162" s="6">
        <v>12</v>
      </c>
      <c r="B162" s="18">
        <v>3</v>
      </c>
    </row>
    <row r="163" spans="1:7" x14ac:dyDescent="0.35">
      <c r="A163" s="6">
        <v>13</v>
      </c>
      <c r="B163" s="18">
        <v>3</v>
      </c>
    </row>
    <row r="164" spans="1:7" x14ac:dyDescent="0.35">
      <c r="A164" s="6">
        <v>14</v>
      </c>
      <c r="B164" s="18">
        <v>7</v>
      </c>
    </row>
    <row r="165" spans="1:7" x14ac:dyDescent="0.35">
      <c r="A165" s="6" t="s">
        <v>2519</v>
      </c>
      <c r="B165" s="18">
        <v>868</v>
      </c>
    </row>
    <row r="168" spans="1:7" x14ac:dyDescent="0.35">
      <c r="A168" s="17" t="s">
        <v>2544</v>
      </c>
      <c r="B168" s="17"/>
      <c r="C168" s="17"/>
      <c r="D168" s="17"/>
      <c r="E168" s="17"/>
    </row>
    <row r="169" spans="1:7" x14ac:dyDescent="0.35">
      <c r="A169" s="5" t="s">
        <v>2520</v>
      </c>
      <c r="B169" s="5" t="s">
        <v>2533</v>
      </c>
    </row>
    <row r="170" spans="1:7" x14ac:dyDescent="0.35">
      <c r="A170" s="5" t="s">
        <v>2518</v>
      </c>
      <c r="B170">
        <v>1</v>
      </c>
      <c r="C170">
        <v>2</v>
      </c>
      <c r="D170">
        <v>3</v>
      </c>
      <c r="E170">
        <v>4</v>
      </c>
      <c r="F170">
        <v>5</v>
      </c>
      <c r="G170" t="s">
        <v>2519</v>
      </c>
    </row>
    <row r="171" spans="1:7" x14ac:dyDescent="0.35">
      <c r="A171" s="6" t="s">
        <v>2545</v>
      </c>
      <c r="B171" s="18">
        <v>2</v>
      </c>
      <c r="C171" s="18">
        <v>11</v>
      </c>
      <c r="D171" s="18">
        <v>39</v>
      </c>
      <c r="E171" s="18">
        <v>113</v>
      </c>
      <c r="F171" s="18">
        <v>92</v>
      </c>
      <c r="G171" s="18">
        <v>257</v>
      </c>
    </row>
    <row r="172" spans="1:7" x14ac:dyDescent="0.35">
      <c r="A172" s="6" t="s">
        <v>2546</v>
      </c>
      <c r="B172" s="18">
        <v>5</v>
      </c>
      <c r="C172" s="18">
        <v>11</v>
      </c>
      <c r="D172" s="18">
        <v>70</v>
      </c>
      <c r="E172" s="18">
        <v>150</v>
      </c>
      <c r="F172" s="18">
        <v>84</v>
      </c>
      <c r="G172" s="18">
        <v>320</v>
      </c>
    </row>
    <row r="173" spans="1:7" x14ac:dyDescent="0.35">
      <c r="A173" s="6" t="s">
        <v>2547</v>
      </c>
      <c r="B173" s="18">
        <v>2</v>
      </c>
      <c r="C173" s="18">
        <v>10</v>
      </c>
      <c r="D173" s="18">
        <v>64</v>
      </c>
      <c r="E173" s="18">
        <v>130</v>
      </c>
      <c r="F173" s="18">
        <v>85</v>
      </c>
      <c r="G173" s="18">
        <v>291</v>
      </c>
    </row>
    <row r="174" spans="1:7" x14ac:dyDescent="0.35">
      <c r="A174" s="6" t="s">
        <v>2519</v>
      </c>
      <c r="B174" s="18">
        <v>9</v>
      </c>
      <c r="C174" s="18">
        <v>32</v>
      </c>
      <c r="D174" s="18">
        <v>173</v>
      </c>
      <c r="E174" s="18">
        <v>393</v>
      </c>
      <c r="F174" s="18">
        <v>261</v>
      </c>
      <c r="G174" s="18">
        <v>868</v>
      </c>
    </row>
  </sheetData>
  <mergeCells count="10">
    <mergeCell ref="A168:E168"/>
    <mergeCell ref="A86:E86"/>
    <mergeCell ref="G86:I86"/>
    <mergeCell ref="A148:E148"/>
    <mergeCell ref="A2:E2"/>
    <mergeCell ref="A6:E6"/>
    <mergeCell ref="A12:E12"/>
    <mergeCell ref="A30:E30"/>
    <mergeCell ref="A47:E47"/>
    <mergeCell ref="G148:H148"/>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EE97-7C6B-4A5B-BDEE-81204D824A67}">
  <dimension ref="A1"/>
  <sheetViews>
    <sheetView workbookViewId="0">
      <selection activeCell="G12" sqref="G12"/>
    </sheetView>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250B-11DD-4456-B0F0-28A9B4FED48E}">
  <dimension ref="A1:E17"/>
  <sheetViews>
    <sheetView workbookViewId="0">
      <selection activeCell="C13" sqref="C13:C17"/>
    </sheetView>
  </sheetViews>
  <sheetFormatPr defaultRowHeight="14.5" x14ac:dyDescent="0.35"/>
  <cols>
    <col min="1" max="1" width="13.6328125" bestFit="1" customWidth="1"/>
    <col min="2" max="2" width="15.6328125" bestFit="1" customWidth="1"/>
    <col min="3" max="3" width="6.90625" bestFit="1" customWidth="1"/>
    <col min="4" max="4" width="7.6328125" bestFit="1" customWidth="1"/>
    <col min="5" max="5" width="10.36328125" bestFit="1" customWidth="1"/>
  </cols>
  <sheetData>
    <row r="1" spans="1:5" x14ac:dyDescent="0.35">
      <c r="A1" s="17" t="s">
        <v>2534</v>
      </c>
      <c r="B1" s="17"/>
      <c r="C1" s="17"/>
      <c r="D1" s="17"/>
      <c r="E1" s="17"/>
    </row>
    <row r="2" spans="1:5" x14ac:dyDescent="0.35">
      <c r="A2" s="5" t="s">
        <v>2522</v>
      </c>
      <c r="B2" s="5" t="s">
        <v>2533</v>
      </c>
    </row>
    <row r="3" spans="1:5" x14ac:dyDescent="0.35">
      <c r="A3" s="5" t="s">
        <v>2518</v>
      </c>
      <c r="B3" t="s">
        <v>2530</v>
      </c>
      <c r="C3" t="s">
        <v>2531</v>
      </c>
      <c r="D3" t="s">
        <v>2532</v>
      </c>
      <c r="E3" t="s">
        <v>2519</v>
      </c>
    </row>
    <row r="4" spans="1:5" x14ac:dyDescent="0.35">
      <c r="A4" s="6" t="s">
        <v>18</v>
      </c>
      <c r="B4" s="8">
        <v>0.53648425086151108</v>
      </c>
      <c r="C4" s="8">
        <v>0.34693615991734705</v>
      </c>
      <c r="D4" s="8">
        <v>0.11657958922114182</v>
      </c>
      <c r="E4" s="8">
        <v>1</v>
      </c>
    </row>
    <row r="5" spans="1:5" x14ac:dyDescent="0.35">
      <c r="A5" s="6" t="s">
        <v>2519</v>
      </c>
      <c r="B5" s="8">
        <v>0.53648425086151108</v>
      </c>
      <c r="C5" s="8">
        <v>0.34693615991734705</v>
      </c>
      <c r="D5" s="8">
        <v>0.11657958922114182</v>
      </c>
      <c r="E5" s="8">
        <v>1</v>
      </c>
    </row>
    <row r="11" spans="1:5" x14ac:dyDescent="0.35">
      <c r="A11" s="17" t="s">
        <v>2535</v>
      </c>
      <c r="B11" s="17"/>
      <c r="C11" s="17"/>
      <c r="D11" s="17"/>
      <c r="E11" s="17"/>
    </row>
    <row r="12" spans="1:5" x14ac:dyDescent="0.35">
      <c r="B12" t="str">
        <f>B3</f>
        <v>Female</v>
      </c>
      <c r="C12" t="str">
        <f t="shared" ref="C12:D12" si="0">C3</f>
        <v>Male</v>
      </c>
      <c r="D12" t="str">
        <f t="shared" si="0"/>
        <v>Unkown</v>
      </c>
    </row>
    <row r="13" spans="1:5" x14ac:dyDescent="0.35">
      <c r="A13" t="str">
        <f>A4</f>
        <v>App</v>
      </c>
      <c r="B13" s="11">
        <f>B4</f>
        <v>0.53648425086151108</v>
      </c>
      <c r="C13" s="12">
        <f t="shared" ref="C13:D13" si="1">C4</f>
        <v>0.34693615991734705</v>
      </c>
      <c r="D13" s="13">
        <f t="shared" si="1"/>
        <v>0.11657958922114182</v>
      </c>
    </row>
    <row r="14" spans="1:5" x14ac:dyDescent="0.35">
      <c r="A14" t="str">
        <f t="shared" ref="A14:D17" si="2">A5</f>
        <v>Grand Total</v>
      </c>
      <c r="B14" s="14">
        <f t="shared" si="2"/>
        <v>0.53648425086151108</v>
      </c>
      <c r="C14" s="10">
        <f t="shared" si="2"/>
        <v>0.34693615991734705</v>
      </c>
      <c r="D14" s="15">
        <f t="shared" si="2"/>
        <v>0.11657958922114182</v>
      </c>
    </row>
    <row r="15" spans="1:5" x14ac:dyDescent="0.35">
      <c r="A15">
        <f t="shared" si="2"/>
        <v>0</v>
      </c>
      <c r="B15" s="14">
        <f t="shared" si="2"/>
        <v>0</v>
      </c>
      <c r="C15" s="10">
        <f t="shared" si="2"/>
        <v>0</v>
      </c>
      <c r="D15" s="15">
        <f t="shared" si="2"/>
        <v>0</v>
      </c>
    </row>
    <row r="16" spans="1:5" x14ac:dyDescent="0.35">
      <c r="A16">
        <f t="shared" si="2"/>
        <v>0</v>
      </c>
      <c r="B16" s="14">
        <f t="shared" si="2"/>
        <v>0</v>
      </c>
      <c r="C16" s="10">
        <f t="shared" si="2"/>
        <v>0</v>
      </c>
      <c r="D16" s="15">
        <f t="shared" si="2"/>
        <v>0</v>
      </c>
    </row>
    <row r="17" spans="1:4" x14ac:dyDescent="0.35">
      <c r="A17" s="9">
        <f t="shared" si="2"/>
        <v>0</v>
      </c>
      <c r="B17" s="14">
        <f t="shared" si="2"/>
        <v>0</v>
      </c>
      <c r="C17" s="10">
        <f t="shared" si="2"/>
        <v>0</v>
      </c>
      <c r="D17" s="15">
        <f t="shared" si="2"/>
        <v>0</v>
      </c>
    </row>
  </sheetData>
  <mergeCells count="2">
    <mergeCell ref="A1:E1"/>
    <mergeCell ref="A11:E11"/>
  </mergeCells>
  <conditionalFormatting sqref="A12:D17">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9FC3-D274-4B37-B6DB-0DDD0BB0629C}">
  <dimension ref="I36:L36"/>
  <sheetViews>
    <sheetView topLeftCell="S1" zoomScale="86" workbookViewId="0">
      <selection activeCell="T13" sqref="T1:T1048576"/>
    </sheetView>
  </sheetViews>
  <sheetFormatPr defaultRowHeight="14.5" x14ac:dyDescent="0.35"/>
  <cols>
    <col min="4" max="4" width="11.6328125" customWidth="1"/>
    <col min="18" max="18" width="3.36328125" customWidth="1"/>
    <col min="19" max="19" width="57.6328125" customWidth="1"/>
    <col min="23" max="23" width="62.08984375" customWidth="1"/>
  </cols>
  <sheetData>
    <row r="36" spans="9:12" x14ac:dyDescent="0.35">
      <c r="I36" t="s">
        <v>2548</v>
      </c>
      <c r="L36" t="s">
        <v>2550</v>
      </c>
    </row>
  </sheetData>
  <pageMargins left="0.7" right="0.7" top="0.75" bottom="0.75" header="0.3" footer="0.3"/>
  <drawing r:id="rId1"/>
  <legacy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B2894-17E8-4009-A1CD-7DFF8AFA2070}">
  <dimension ref="A1"/>
  <sheetViews>
    <sheetView zoomScale="80" zoomScaleNormal="80" workbookViewId="0">
      <selection activeCell="I30" sqref="I30"/>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F9A9-7C93-4616-9603-98B42E9D8C2B}">
  <dimension ref="A1"/>
  <sheetViews>
    <sheetView zoomScale="70" zoomScaleNormal="70" workbookViewId="0">
      <selection sqref="A1:C11"/>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F7D4-586F-4DE0-B22C-AC7896F7D230}">
  <dimension ref="A1:E60"/>
  <sheetViews>
    <sheetView workbookViewId="0">
      <selection activeCell="E2" sqref="E2"/>
    </sheetView>
  </sheetViews>
  <sheetFormatPr defaultRowHeight="14.5" x14ac:dyDescent="0.35"/>
  <cols>
    <col min="3" max="3" width="17.54296875" customWidth="1"/>
  </cols>
  <sheetData>
    <row r="1" spans="1:5" x14ac:dyDescent="0.35">
      <c r="A1" s="5" t="s">
        <v>2518</v>
      </c>
      <c r="B1" s="5" t="s">
        <v>2521</v>
      </c>
      <c r="C1" t="s">
        <v>2522</v>
      </c>
    </row>
    <row r="2" spans="1:5" x14ac:dyDescent="0.35">
      <c r="A2" s="6" t="s">
        <v>115</v>
      </c>
      <c r="B2">
        <v>579</v>
      </c>
      <c r="C2">
        <v>31884.999999999996</v>
      </c>
      <c r="E2">
        <f>B2</f>
        <v>579</v>
      </c>
    </row>
    <row r="3" spans="1:5" x14ac:dyDescent="0.35">
      <c r="A3" s="6" t="s">
        <v>20</v>
      </c>
      <c r="B3">
        <v>1</v>
      </c>
      <c r="C3">
        <v>10.9</v>
      </c>
    </row>
    <row r="4" spans="1:5" x14ac:dyDescent="0.35">
      <c r="A4" s="6" t="s">
        <v>641</v>
      </c>
      <c r="B4">
        <v>9</v>
      </c>
      <c r="C4">
        <v>800.3</v>
      </c>
    </row>
    <row r="5" spans="1:5" x14ac:dyDescent="0.35">
      <c r="A5" s="6" t="s">
        <v>967</v>
      </c>
      <c r="B5">
        <v>35</v>
      </c>
      <c r="C5">
        <v>1062.5999999999999</v>
      </c>
    </row>
    <row r="6" spans="1:5" x14ac:dyDescent="0.35">
      <c r="A6" s="6" t="s">
        <v>84</v>
      </c>
      <c r="B6">
        <v>12</v>
      </c>
      <c r="C6">
        <v>326.20000000000005</v>
      </c>
    </row>
    <row r="7" spans="1:5" x14ac:dyDescent="0.35">
      <c r="A7" s="6" t="s">
        <v>1383</v>
      </c>
      <c r="B7">
        <v>4</v>
      </c>
      <c r="C7">
        <v>167.5</v>
      </c>
    </row>
    <row r="8" spans="1:5" x14ac:dyDescent="0.35">
      <c r="A8" s="6" t="s">
        <v>24</v>
      </c>
      <c r="B8">
        <v>341</v>
      </c>
      <c r="C8">
        <v>16168.7</v>
      </c>
    </row>
    <row r="9" spans="1:5" x14ac:dyDescent="0.35">
      <c r="A9" s="6" t="s">
        <v>2204</v>
      </c>
      <c r="B9">
        <v>13</v>
      </c>
      <c r="C9">
        <v>322.40000000000003</v>
      </c>
    </row>
    <row r="10" spans="1:5" x14ac:dyDescent="0.35">
      <c r="A10" s="6" t="s">
        <v>437</v>
      </c>
      <c r="B10">
        <v>31</v>
      </c>
      <c r="C10">
        <v>2092.8000000000002</v>
      </c>
    </row>
    <row r="11" spans="1:5" x14ac:dyDescent="0.35">
      <c r="A11" s="6" t="s">
        <v>28</v>
      </c>
      <c r="B11">
        <v>279</v>
      </c>
      <c r="C11">
        <v>12662.500000000002</v>
      </c>
    </row>
    <row r="12" spans="1:5" x14ac:dyDescent="0.35">
      <c r="A12" s="6" t="s">
        <v>208</v>
      </c>
      <c r="B12">
        <v>9</v>
      </c>
      <c r="C12">
        <v>343.2</v>
      </c>
    </row>
    <row r="13" spans="1:5" x14ac:dyDescent="0.35">
      <c r="A13" s="6" t="s">
        <v>587</v>
      </c>
      <c r="B13">
        <v>49</v>
      </c>
      <c r="C13">
        <v>2188.2999999999997</v>
      </c>
    </row>
    <row r="14" spans="1:5" x14ac:dyDescent="0.35">
      <c r="A14" s="6" t="s">
        <v>331</v>
      </c>
      <c r="B14">
        <v>59</v>
      </c>
      <c r="C14">
        <v>2661.5999999999995</v>
      </c>
    </row>
    <row r="15" spans="1:5" x14ac:dyDescent="0.35">
      <c r="A15" s="6" t="s">
        <v>86</v>
      </c>
      <c r="B15">
        <v>8</v>
      </c>
      <c r="C15">
        <v>887.5</v>
      </c>
    </row>
    <row r="16" spans="1:5" x14ac:dyDescent="0.35">
      <c r="A16" s="6" t="s">
        <v>147</v>
      </c>
      <c r="B16">
        <v>222</v>
      </c>
      <c r="C16">
        <v>11354.199999999993</v>
      </c>
    </row>
    <row r="17" spans="1:3" x14ac:dyDescent="0.35">
      <c r="A17" s="6" t="s">
        <v>334</v>
      </c>
      <c r="B17">
        <v>36</v>
      </c>
      <c r="C17">
        <v>1558.4</v>
      </c>
    </row>
    <row r="18" spans="1:3" x14ac:dyDescent="0.35">
      <c r="A18" s="6" t="s">
        <v>949</v>
      </c>
      <c r="B18">
        <v>30</v>
      </c>
      <c r="C18">
        <v>2223.9</v>
      </c>
    </row>
    <row r="19" spans="1:3" x14ac:dyDescent="0.35">
      <c r="A19" s="6" t="s">
        <v>1426</v>
      </c>
      <c r="B19">
        <v>1</v>
      </c>
      <c r="C19">
        <v>26.2</v>
      </c>
    </row>
    <row r="20" spans="1:3" x14ac:dyDescent="0.35">
      <c r="A20" s="6" t="s">
        <v>33</v>
      </c>
      <c r="B20">
        <v>3991</v>
      </c>
      <c r="C20">
        <v>215551.19999999981</v>
      </c>
    </row>
    <row r="21" spans="1:3" x14ac:dyDescent="0.35">
      <c r="A21" s="6" t="s">
        <v>364</v>
      </c>
      <c r="B21">
        <v>45</v>
      </c>
      <c r="C21">
        <v>2687.3999999999996</v>
      </c>
    </row>
    <row r="22" spans="1:3" x14ac:dyDescent="0.35">
      <c r="A22" s="6" t="s">
        <v>545</v>
      </c>
      <c r="B22">
        <v>39</v>
      </c>
      <c r="C22">
        <v>1463.3000000000002</v>
      </c>
    </row>
    <row r="23" spans="1:3" x14ac:dyDescent="0.35">
      <c r="A23" s="6" t="s">
        <v>416</v>
      </c>
      <c r="B23">
        <v>6</v>
      </c>
      <c r="C23">
        <v>445.79999999999995</v>
      </c>
    </row>
    <row r="24" spans="1:3" x14ac:dyDescent="0.35">
      <c r="A24" s="6" t="s">
        <v>258</v>
      </c>
      <c r="B24">
        <v>9</v>
      </c>
      <c r="C24">
        <v>273.59999999999997</v>
      </c>
    </row>
    <row r="25" spans="1:3" x14ac:dyDescent="0.35">
      <c r="A25" s="6" t="s">
        <v>186</v>
      </c>
      <c r="B25">
        <v>60</v>
      </c>
      <c r="C25">
        <v>2690.4</v>
      </c>
    </row>
    <row r="26" spans="1:3" x14ac:dyDescent="0.35">
      <c r="A26" s="6" t="s">
        <v>392</v>
      </c>
      <c r="B26">
        <v>2</v>
      </c>
      <c r="C26">
        <v>28.4</v>
      </c>
    </row>
    <row r="27" spans="1:3" x14ac:dyDescent="0.35">
      <c r="A27" s="6" t="s">
        <v>670</v>
      </c>
      <c r="B27">
        <v>4</v>
      </c>
      <c r="C27">
        <v>204.8</v>
      </c>
    </row>
    <row r="28" spans="1:3" x14ac:dyDescent="0.35">
      <c r="A28" s="6" t="s">
        <v>802</v>
      </c>
      <c r="B28">
        <v>31</v>
      </c>
      <c r="C28">
        <v>1607.8999999999999</v>
      </c>
    </row>
    <row r="29" spans="1:3" x14ac:dyDescent="0.35">
      <c r="A29" s="6" t="s">
        <v>98</v>
      </c>
      <c r="B29">
        <v>88</v>
      </c>
      <c r="C29">
        <v>6444.9</v>
      </c>
    </row>
    <row r="30" spans="1:3" x14ac:dyDescent="0.35">
      <c r="A30" s="6" t="s">
        <v>49</v>
      </c>
      <c r="B30">
        <v>25</v>
      </c>
      <c r="C30">
        <v>1809.3</v>
      </c>
    </row>
    <row r="31" spans="1:3" x14ac:dyDescent="0.35">
      <c r="A31" s="6" t="s">
        <v>188</v>
      </c>
      <c r="B31">
        <v>178</v>
      </c>
      <c r="C31">
        <v>9680.399999999996</v>
      </c>
    </row>
    <row r="32" spans="1:3" x14ac:dyDescent="0.35">
      <c r="A32" s="6" t="s">
        <v>52</v>
      </c>
      <c r="B32">
        <v>141</v>
      </c>
      <c r="C32">
        <v>9414.7999999999993</v>
      </c>
    </row>
    <row r="33" spans="1:3" x14ac:dyDescent="0.35">
      <c r="A33" s="6" t="s">
        <v>338</v>
      </c>
      <c r="B33">
        <v>6</v>
      </c>
      <c r="C33">
        <v>206.1</v>
      </c>
    </row>
    <row r="34" spans="1:3" x14ac:dyDescent="0.35">
      <c r="A34" s="6" t="s">
        <v>158</v>
      </c>
      <c r="B34">
        <v>178</v>
      </c>
      <c r="C34">
        <v>7691.3</v>
      </c>
    </row>
    <row r="35" spans="1:3" x14ac:dyDescent="0.35">
      <c r="A35" s="6" t="s">
        <v>55</v>
      </c>
      <c r="B35">
        <v>699</v>
      </c>
      <c r="C35">
        <v>37784.900000000016</v>
      </c>
    </row>
    <row r="36" spans="1:3" x14ac:dyDescent="0.35">
      <c r="A36" s="6" t="s">
        <v>342</v>
      </c>
      <c r="B36">
        <v>23</v>
      </c>
      <c r="C36">
        <v>1129.7</v>
      </c>
    </row>
    <row r="37" spans="1:3" x14ac:dyDescent="0.35">
      <c r="A37" s="6" t="s">
        <v>59</v>
      </c>
      <c r="B37">
        <v>356</v>
      </c>
      <c r="C37">
        <v>20988.9</v>
      </c>
    </row>
    <row r="38" spans="1:3" x14ac:dyDescent="0.35">
      <c r="A38" s="6" t="s">
        <v>62</v>
      </c>
      <c r="B38">
        <v>1768</v>
      </c>
      <c r="C38">
        <v>98367.099999999977</v>
      </c>
    </row>
    <row r="39" spans="1:3" x14ac:dyDescent="0.35">
      <c r="A39" s="6" t="s">
        <v>103</v>
      </c>
      <c r="B39">
        <v>307</v>
      </c>
      <c r="C39">
        <v>21911.9</v>
      </c>
    </row>
    <row r="40" spans="1:3" x14ac:dyDescent="0.35">
      <c r="A40" s="6" t="s">
        <v>201</v>
      </c>
      <c r="B40">
        <v>117</v>
      </c>
      <c r="C40">
        <v>5441.2</v>
      </c>
    </row>
    <row r="41" spans="1:3" x14ac:dyDescent="0.35">
      <c r="A41" s="6" t="s">
        <v>429</v>
      </c>
      <c r="B41">
        <v>13</v>
      </c>
      <c r="C41">
        <v>392.8</v>
      </c>
    </row>
    <row r="42" spans="1:3" x14ac:dyDescent="0.35">
      <c r="A42" s="6" t="s">
        <v>72</v>
      </c>
      <c r="B42">
        <v>364</v>
      </c>
      <c r="C42">
        <v>16172.000000000005</v>
      </c>
    </row>
    <row r="43" spans="1:3" x14ac:dyDescent="0.35">
      <c r="A43" s="6" t="s">
        <v>74</v>
      </c>
      <c r="B43">
        <v>95</v>
      </c>
      <c r="C43">
        <v>4334.9999999999991</v>
      </c>
    </row>
    <row r="44" spans="1:3" x14ac:dyDescent="0.35">
      <c r="A44" s="6" t="s">
        <v>77</v>
      </c>
      <c r="B44">
        <v>737</v>
      </c>
      <c r="C44">
        <v>37449.000000000007</v>
      </c>
    </row>
    <row r="45" spans="1:3" x14ac:dyDescent="0.35">
      <c r="A45" s="6" t="s">
        <v>309</v>
      </c>
      <c r="B45">
        <v>39</v>
      </c>
      <c r="C45">
        <v>2447.5</v>
      </c>
    </row>
    <row r="46" spans="1:3" x14ac:dyDescent="0.35">
      <c r="A46" s="6" t="s">
        <v>1116</v>
      </c>
      <c r="B46">
        <v>56</v>
      </c>
      <c r="C46">
        <v>3391.1</v>
      </c>
    </row>
    <row r="47" spans="1:3" x14ac:dyDescent="0.35">
      <c r="A47" s="6" t="s">
        <v>700</v>
      </c>
      <c r="B47">
        <v>2</v>
      </c>
      <c r="C47">
        <v>30.8</v>
      </c>
    </row>
    <row r="48" spans="1:3" x14ac:dyDescent="0.35">
      <c r="A48" s="6" t="s">
        <v>268</v>
      </c>
      <c r="B48">
        <v>8</v>
      </c>
      <c r="C48">
        <v>332.3</v>
      </c>
    </row>
    <row r="49" spans="1:3" x14ac:dyDescent="0.35">
      <c r="A49" s="6" t="s">
        <v>377</v>
      </c>
      <c r="B49">
        <v>52</v>
      </c>
      <c r="C49">
        <v>3175.9999999999995</v>
      </c>
    </row>
    <row r="50" spans="1:3" x14ac:dyDescent="0.35">
      <c r="A50" s="6" t="s">
        <v>108</v>
      </c>
      <c r="B50">
        <v>295</v>
      </c>
      <c r="C50">
        <v>20939.600000000002</v>
      </c>
    </row>
    <row r="51" spans="1:3" x14ac:dyDescent="0.35">
      <c r="A51" s="6" t="s">
        <v>110</v>
      </c>
      <c r="B51">
        <v>195</v>
      </c>
      <c r="C51">
        <v>10185.899999999996</v>
      </c>
    </row>
    <row r="52" spans="1:3" x14ac:dyDescent="0.35">
      <c r="A52" s="6" t="s">
        <v>292</v>
      </c>
      <c r="B52">
        <v>20</v>
      </c>
      <c r="C52">
        <v>958.7</v>
      </c>
    </row>
    <row r="53" spans="1:3" x14ac:dyDescent="0.35">
      <c r="A53" s="6" t="s">
        <v>79</v>
      </c>
      <c r="B53">
        <v>6</v>
      </c>
      <c r="C53">
        <v>323</v>
      </c>
    </row>
    <row r="54" spans="1:3" x14ac:dyDescent="0.35">
      <c r="A54" s="6" t="s">
        <v>608</v>
      </c>
      <c r="B54">
        <v>5</v>
      </c>
      <c r="C54">
        <v>167.70000000000002</v>
      </c>
    </row>
    <row r="55" spans="1:3" x14ac:dyDescent="0.35">
      <c r="A55" s="6" t="s">
        <v>113</v>
      </c>
      <c r="B55">
        <v>94</v>
      </c>
      <c r="C55">
        <v>3978.5</v>
      </c>
    </row>
    <row r="56" spans="1:3" x14ac:dyDescent="0.35">
      <c r="A56" s="6" t="s">
        <v>997</v>
      </c>
      <c r="B56">
        <v>28</v>
      </c>
      <c r="C56">
        <v>1405</v>
      </c>
    </row>
    <row r="57" spans="1:3" x14ac:dyDescent="0.35">
      <c r="A57" s="6" t="s">
        <v>82</v>
      </c>
      <c r="B57">
        <v>179</v>
      </c>
      <c r="C57">
        <v>9869.0999999999985</v>
      </c>
    </row>
    <row r="58" spans="1:3" x14ac:dyDescent="0.35">
      <c r="A58" s="6" t="s">
        <v>243</v>
      </c>
      <c r="B58">
        <v>15</v>
      </c>
      <c r="C58">
        <v>615.29999999999995</v>
      </c>
    </row>
    <row r="59" spans="1:3" x14ac:dyDescent="0.35">
      <c r="A59" s="6" t="s">
        <v>1911</v>
      </c>
      <c r="B59">
        <v>3</v>
      </c>
      <c r="C59">
        <v>285</v>
      </c>
    </row>
    <row r="60" spans="1:3" x14ac:dyDescent="0.35">
      <c r="A60" s="6" t="s">
        <v>2519</v>
      </c>
      <c r="B60">
        <v>11997</v>
      </c>
      <c r="C60">
        <v>649019.79999999981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Pivot Tutor</vt:lpstr>
      <vt:lpstr>Pivot-Order Mode</vt:lpstr>
      <vt:lpstr>Sheet7</vt:lpstr>
      <vt:lpstr>Sheet8</vt:lpstr>
      <vt:lpstr>Sheet9</vt:lpstr>
      <vt:lpstr>Sheet10</vt:lpstr>
      <vt:lpstr>Sheet14</vt:lpstr>
      <vt:lpstr>Sheet17</vt:lpstr>
      <vt:lpstr>Data</vt:lpstr>
      <vt:lpstr>Questions &amp; KPIs</vt:lpstr>
      <vt:lpstr>Pivots</vt:lpstr>
      <vt:lpstr>Pivot worksheet</vt:lpstr>
      <vt:lpstr>Pivot_2</vt:lpstr>
      <vt:lpstr>Dashboard Tutorial</vt:lpstr>
      <vt:lpstr>Dashboard</vt:lpstr>
      <vt:lpstr>Sheet13</vt:lpstr>
      <vt:lpstr>Sheet16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Oluwatoyin Matthew</cp:lastModifiedBy>
  <dcterms:created xsi:type="dcterms:W3CDTF">2025-06-13T02:42:26Z</dcterms:created>
  <dcterms:modified xsi:type="dcterms:W3CDTF">2026-05-13T03:39:25Z</dcterms:modified>
</cp:coreProperties>
</file>